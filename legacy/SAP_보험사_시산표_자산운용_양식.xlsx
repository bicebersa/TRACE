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계정과목" sheetId="2" state="visible" r:id="rId2"/>
    <sheet name="전표" sheetId="3" state="visible" r:id="rId3"/>
    <sheet name="시산표" sheetId="4" state="visible" r:id="rId4"/>
    <sheet name="자산운용명세" sheetId="5" state="visible" r:id="rId5"/>
    <sheet name="자산운용요약" sheetId="6" state="visible" r:id="rId6"/>
  </sheets>
  <definedNames>
    <definedName name="_xlnm._FilterDatabase" localSheetId="1" hidden="1">'계정과목'!$A$4:$G$48</definedName>
    <definedName name="_xlnm._FilterDatabase" localSheetId="2" hidden="1">'전표'!$A$4:$M$56</definedName>
    <definedName name="_xlnm._FilterDatabase" localSheetId="3" hidden="1">'시산표'!$A$5:$N$49</definedName>
    <definedName name="_xlnm._FilterDatabase" localSheetId="4" hidden="1">'자산운용명세'!$A$5:$Y$23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;(#,##0);&quot;-&quot;"/>
    <numFmt numFmtId="166" formatCode="#,##0.00;(#,##0.00);&quot;-&quot;"/>
    <numFmt numFmtId="167" formatCode="0.00%;(0.00%);&quot;-&quot;"/>
    <numFmt numFmtId="168" formatCode="0.0%;(0.0%);&quot;-&quot;"/>
  </numFmts>
  <fonts count="12">
    <font>
      <name val="Calibri"/>
      <family val="2"/>
      <color theme="1"/>
      <sz val="11"/>
      <scheme val="minor"/>
    </font>
    <font>
      <name val="맑은 고딕"/>
      <b val="1"/>
      <color rgb="00000000"/>
      <sz val="14"/>
    </font>
    <font>
      <name val="맑은 고딕"/>
      <color rgb="00008000"/>
      <sz val="9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color rgb="000000FF"/>
      <sz val="10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0000FF"/>
      <sz val="10"/>
    </font>
    <font>
      <name val="맑은 고딕"/>
      <b val="1"/>
      <color rgb="00008000"/>
      <sz val="10"/>
    </font>
    <font>
      <name val="맑은 고딕"/>
      <color rgb="00595959"/>
      <sz val="9"/>
    </font>
    <font>
      <name val="맑은 고딕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000000"/>
      </top>
      <bottom style="double">
        <color rgb="00000000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/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4" fillId="3" borderId="1" pivotButton="0" quotePrefix="0" xfId="0"/>
    <xf numFmtId="0" fontId="1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11" fillId="0" borderId="1" pivotButton="0" quotePrefix="0" xfId="0"/>
    <xf numFmtId="165" fontId="5" fillId="0" borderId="1" pivotButton="0" quotePrefix="0" xfId="0"/>
    <xf numFmtId="165" fontId="7" fillId="0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 vertical="center"/>
    </xf>
    <xf numFmtId="165" fontId="4" fillId="5" borderId="1" pivotButton="0" quotePrefix="0" xfId="0"/>
    <xf numFmtId="165" fontId="11" fillId="0" borderId="1" pivotButton="0" quotePrefix="0" xfId="0"/>
    <xf numFmtId="0" fontId="0" fillId="5" borderId="0" pivotButton="0" quotePrefix="0" xfId="0"/>
    <xf numFmtId="165" fontId="4" fillId="5" borderId="2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6" fillId="0" borderId="6" applyAlignment="1" pivotButton="0" quotePrefix="0" xfId="0">
      <alignment horizontal="center" vertical="center" wrapText="1"/>
    </xf>
    <xf numFmtId="165" fontId="4" fillId="2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6" fontId="11" fillId="0" borderId="1" pivotButton="0" quotePrefix="0" xfId="0"/>
    <xf numFmtId="168" fontId="7" fillId="0" borderId="1" pivotButton="0" quotePrefix="0" xfId="0"/>
    <xf numFmtId="167" fontId="11" fillId="0" borderId="1" pivotButton="0" quotePrefix="0" xfId="0"/>
    <xf numFmtId="168" fontId="4" fillId="5" borderId="2" pivotButton="0" quotePrefix="0" xfId="0"/>
    <xf numFmtId="167" fontId="9" fillId="5" borderId="2" pivotButton="0" quotePrefix="0" xfId="0"/>
    <xf numFmtId="166" fontId="9" fillId="5" borderId="2" pivotButton="0" quotePrefix="0" xfId="0"/>
    <xf numFmtId="0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SAP 보험사 시산표 · 자산운용 테이블 예시 양식</t>
        </is>
      </c>
    </row>
    <row r="2">
      <c r="A2" s="2" t="inlineStr">
        <is>
          <t>K-IFRS 17(보험계약) / K-IFRS 9(금융상품) 기준 · 예시 데이터는 가상 수치입니다</t>
        </is>
      </c>
    </row>
    <row r="4">
      <c r="A4" s="3" t="inlineStr">
        <is>
          <t>기본 정보 (노란 칸을 수정하면 전 시트에 반영)</t>
        </is>
      </c>
    </row>
    <row r="5">
      <c r="A5" s="4" t="inlineStr">
        <is>
          <t>회사코드 (BUKRS)</t>
        </is>
      </c>
      <c r="B5" s="5" t="inlineStr">
        <is>
          <t>1000</t>
        </is>
      </c>
    </row>
    <row r="6">
      <c r="A6" s="4" t="inlineStr">
        <is>
          <t>회사명</t>
        </is>
      </c>
      <c r="B6" s="5" t="inlineStr">
        <is>
          <t>예시보험㈜</t>
        </is>
      </c>
    </row>
    <row r="7">
      <c r="A7" s="4" t="inlineStr">
        <is>
          <t>원장 (RLDNR)</t>
        </is>
      </c>
      <c r="B7" s="5" t="inlineStr">
        <is>
          <t>0L</t>
        </is>
      </c>
    </row>
    <row r="8">
      <c r="A8" s="4" t="inlineStr">
        <is>
          <t>회계연도 (GJAHR)</t>
        </is>
      </c>
      <c r="B8" s="5" t="inlineStr">
        <is>
          <t>2026</t>
        </is>
      </c>
    </row>
    <row r="9">
      <c r="A9" s="4" t="inlineStr">
        <is>
          <t>기간 (POPER)</t>
        </is>
      </c>
      <c r="B9" s="5" t="inlineStr">
        <is>
          <t>009</t>
        </is>
      </c>
    </row>
    <row r="10">
      <c r="A10" s="4" t="inlineStr">
        <is>
          <t>기준일</t>
        </is>
      </c>
      <c r="B10" s="6" t="n">
        <v>46295</v>
      </c>
    </row>
    <row r="11">
      <c r="A11" s="4" t="inlineStr">
        <is>
          <t>금액 단위</t>
        </is>
      </c>
      <c r="B11" s="5" t="inlineStr">
        <is>
          <t>백만원 (KRW mn)</t>
        </is>
      </c>
    </row>
    <row r="13">
      <c r="A13" s="3" t="inlineStr">
        <is>
          <t>시트 구성</t>
        </is>
      </c>
    </row>
    <row r="14" ht="20" customHeight="1">
      <c r="A14" s="7" t="inlineStr">
        <is>
          <t>시트</t>
        </is>
      </c>
      <c r="B14" s="7" t="inlineStr">
        <is>
          <t>내용</t>
        </is>
      </c>
    </row>
    <row r="15">
      <c r="A15" s="8" t="inlineStr">
        <is>
          <t>계정과목</t>
        </is>
      </c>
      <c r="B15" s="9" t="inlineStr">
        <is>
          <t>G/L 계정 마스터 (SKA1/SKAT/SKB1 대응). 보험사 K-IFRS 17·9 계정 체계 예시</t>
        </is>
      </c>
    </row>
    <row r="16">
      <c r="A16" s="8" t="inlineStr">
        <is>
          <t>전표</t>
        </is>
      </c>
      <c r="B16" s="9" t="inlineStr">
        <is>
          <t>분개 라인 (BKPF/BSEG, S/4HANA는 ACDOCA). 시산표의 당기 차변·대변이 여기서 집계됨</t>
        </is>
      </c>
    </row>
    <row r="17">
      <c r="A17" s="8" t="inlineStr">
        <is>
          <t>시산표</t>
        </is>
      </c>
      <c r="B17" s="9" t="inlineStr">
        <is>
          <t>합계잔액시산표 (FAGLFLEXT/ACDOCA, T-code FAGLB03·S_ALR_87012277 결과와 같은 형태)</t>
        </is>
      </c>
    </row>
    <row r="18">
      <c r="A18" s="8" t="inlineStr">
        <is>
          <t>자산운용명세</t>
        </is>
      </c>
      <c r="B18" s="9" t="inlineStr">
        <is>
          <t>종목별 운용자산 포지션 (SAP TRM 증권·FS-CML 대출 등 서브원장 추출 형태)</t>
        </is>
      </c>
    </row>
    <row r="19">
      <c r="A19" s="8" t="inlineStr">
        <is>
          <t>자산운용요약</t>
        </is>
      </c>
      <c r="B19" s="9" t="inlineStr">
        <is>
          <t>자산군별·IFRS 9 분류별 요약, 듀레이션/금리 가중평균, 명세 ↔ 시산표 GL 대사</t>
        </is>
      </c>
    </row>
    <row r="21">
      <c r="A21" s="3" t="inlineStr">
        <is>
          <t>셀 색상 규칙</t>
        </is>
      </c>
    </row>
    <row r="22">
      <c r="A22" s="10" t="inlineStr">
        <is>
          <t>파란 글씨</t>
        </is>
      </c>
      <c r="B22" s="9" t="inlineStr">
        <is>
          <t>직접 입력하는 값 (예시 데이터를 지우고 실제 값으로 교체)</t>
        </is>
      </c>
    </row>
    <row r="23">
      <c r="A23" s="8" t="inlineStr">
        <is>
          <t>검정 글씨</t>
        </is>
      </c>
      <c r="B23" s="9" t="inlineStr">
        <is>
          <t>수식 (수정하지 마세요)</t>
        </is>
      </c>
    </row>
    <row r="24">
      <c r="A24" s="11" t="inlineStr">
        <is>
          <t>초록 글씨</t>
        </is>
      </c>
      <c r="B24" s="9" t="inlineStr">
        <is>
          <t>다른 시트를 참조하는 수식</t>
        </is>
      </c>
    </row>
    <row r="25">
      <c r="A25" s="12" t="inlineStr">
        <is>
          <t>노란 배경</t>
        </is>
      </c>
      <c r="B25" s="9" t="inlineStr">
        <is>
          <t>기본 정보 · 핵심 가정</t>
        </is>
      </c>
    </row>
    <row r="27">
      <c r="A27" s="3" t="inlineStr">
        <is>
          <t>SAP 필드 매핑 (시산표)</t>
        </is>
      </c>
    </row>
    <row r="28" ht="20" customHeight="1">
      <c r="A28" s="7" t="inlineStr">
        <is>
          <t>양식 열</t>
        </is>
      </c>
      <c r="B28" s="7" t="inlineStr">
        <is>
          <t>SAP 필드 (ECC FAGLFLEXT / S/4 ACDOCA)</t>
        </is>
      </c>
    </row>
    <row r="29">
      <c r="A29" s="8" t="inlineStr">
        <is>
          <t>회사코드</t>
        </is>
      </c>
      <c r="B29" s="9" t="inlineStr">
        <is>
          <t>RBUKRS</t>
        </is>
      </c>
    </row>
    <row r="30">
      <c r="A30" s="8" t="inlineStr">
        <is>
          <t>원장</t>
        </is>
      </c>
      <c r="B30" s="9" t="inlineStr">
        <is>
          <t>RLDNR (선행원장 0L)</t>
        </is>
      </c>
    </row>
    <row r="31">
      <c r="A31" s="8" t="inlineStr">
        <is>
          <t>회계연도</t>
        </is>
      </c>
      <c r="B31" s="9" t="inlineStr">
        <is>
          <t>RYEAR / GJAHR</t>
        </is>
      </c>
    </row>
    <row r="32">
      <c r="A32" s="8" t="inlineStr">
        <is>
          <t>기간</t>
        </is>
      </c>
      <c r="B32" s="9" t="inlineStr">
        <is>
          <t>POPER (001~012, 특별기간 013~016)</t>
        </is>
      </c>
    </row>
    <row r="33">
      <c r="A33" s="8" t="inlineStr">
        <is>
          <t>G/L 계정</t>
        </is>
      </c>
      <c r="B33" s="9" t="inlineStr">
        <is>
          <t>RACCT</t>
        </is>
      </c>
    </row>
    <row r="34">
      <c r="A34" s="8" t="inlineStr">
        <is>
          <t>기초잔액</t>
        </is>
      </c>
      <c r="B34" s="9" t="inlineStr">
        <is>
          <t>HSLVT (이월잔액) + 직전기간까지 HSL01~HSLnn 누계</t>
        </is>
      </c>
    </row>
    <row r="35">
      <c r="A35" s="8" t="inlineStr">
        <is>
          <t>당기 차변 / 대변</t>
        </is>
      </c>
      <c r="B35" s="9" t="inlineStr">
        <is>
          <t>DRCRK = S(차변) / H(대변) 기준 HSL 합계</t>
        </is>
      </c>
    </row>
    <row r="36">
      <c r="A36" s="8" t="inlineStr">
        <is>
          <t>금액</t>
        </is>
      </c>
      <c r="B36" s="9" t="inlineStr">
        <is>
          <t>HSL (회사코드 통화), 거래통화는 WSL / TSL</t>
        </is>
      </c>
    </row>
    <row r="37">
      <c r="A37" s="8" t="inlineStr">
        <is>
          <t>부호 규칙</t>
        </is>
      </c>
      <c r="B37" s="9" t="inlineStr">
        <is>
          <t>SAP는 차변 +, 대변 − 로 저장. 이 양식도 동일 (기말잔액 음수 = 대변잔액)</t>
        </is>
      </c>
    </row>
    <row r="39">
      <c r="A39" s="13" t="inlineStr">
        <is>
          <t>※ 자산운용 서브원장은 회사별로 SAP TRM, FS-CML, 외부 운용시스템(인터페이스) 등 구성이 달라 테이블·필드명이 다릅니다. 자산운용명세 시트의 열 구성은 공통적으로 쓰는 항목 기준입니다.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9" customWidth="1" min="3" max="3"/>
    <col width="15" customWidth="1" min="4" max="4"/>
    <col width="10" customWidth="1" min="5" max="5"/>
    <col width="10" customWidth="1" min="6" max="6"/>
    <col width="30" customWidth="1" min="7" max="7"/>
  </cols>
  <sheetData>
    <row r="1">
      <c r="A1" s="1" t="inlineStr">
        <is>
          <t>G/L 계정과목 마스터</t>
        </is>
      </c>
    </row>
    <row r="2">
      <c r="A2" s="2" t="inlineStr">
        <is>
          <t>SAP 대응: SKA1(계정과목표) · SKAT(계정명) · SKB1(회사코드별 설정)</t>
        </is>
      </c>
    </row>
    <row r="4" ht="32" customHeight="1">
      <c r="A4" s="7" t="inlineStr">
        <is>
          <t>G/L 계정
(SAKNR)</t>
        </is>
      </c>
      <c r="B4" s="7" t="inlineStr">
        <is>
          <t>계정명
(TXT50)</t>
        </is>
      </c>
      <c r="C4" s="7" t="inlineStr">
        <is>
          <t>대분류</t>
        </is>
      </c>
      <c r="D4" s="7" t="inlineStr">
        <is>
          <t>중분류</t>
        </is>
      </c>
      <c r="E4" s="7" t="inlineStr">
        <is>
          <t>재무제표
(BS/PL)</t>
        </is>
      </c>
      <c r="F4" s="7" t="inlineStr">
        <is>
          <t>정상잔액
(차/대)</t>
        </is>
      </c>
      <c r="G4" s="7" t="inlineStr">
        <is>
          <t>비고</t>
        </is>
      </c>
    </row>
    <row r="5">
      <c r="A5" s="14" t="inlineStr">
        <is>
          <t>10101000</t>
        </is>
      </c>
      <c r="B5" s="15" t="inlineStr">
        <is>
          <t>현금및현금성자산</t>
        </is>
      </c>
      <c r="C5" s="14" t="inlineStr">
        <is>
          <t>자산</t>
        </is>
      </c>
      <c r="D5" s="15" t="inlineStr">
        <is>
          <t>현금성자산</t>
        </is>
      </c>
      <c r="E5" s="14" t="inlineStr">
        <is>
          <t>BS</t>
        </is>
      </c>
      <c r="F5" s="14" t="inlineStr">
        <is>
          <t>차</t>
        </is>
      </c>
      <c r="G5" s="9" t="n"/>
    </row>
    <row r="6">
      <c r="A6" s="14" t="inlineStr">
        <is>
          <t>11101000</t>
        </is>
      </c>
      <c r="B6" s="15" t="inlineStr">
        <is>
          <t>FVPL금융자산-주식</t>
        </is>
      </c>
      <c r="C6" s="14" t="inlineStr">
        <is>
          <t>자산</t>
        </is>
      </c>
      <c r="D6" s="15" t="inlineStr">
        <is>
          <t>운용자산</t>
        </is>
      </c>
      <c r="E6" s="14" t="inlineStr">
        <is>
          <t>BS</t>
        </is>
      </c>
      <c r="F6" s="14" t="inlineStr">
        <is>
          <t>차</t>
        </is>
      </c>
      <c r="G6" s="9" t="n"/>
    </row>
    <row r="7">
      <c r="A7" s="14" t="inlineStr">
        <is>
          <t>11102000</t>
        </is>
      </c>
      <c r="B7" s="15" t="inlineStr">
        <is>
          <t>FVPL금융자산-수익증권</t>
        </is>
      </c>
      <c r="C7" s="14" t="inlineStr">
        <is>
          <t>자산</t>
        </is>
      </c>
      <c r="D7" s="15" t="inlineStr">
        <is>
          <t>운용자산</t>
        </is>
      </c>
      <c r="E7" s="14" t="inlineStr">
        <is>
          <t>BS</t>
        </is>
      </c>
      <c r="F7" s="14" t="inlineStr">
        <is>
          <t>차</t>
        </is>
      </c>
      <c r="G7" s="9" t="n"/>
    </row>
    <row r="8">
      <c r="A8" s="14" t="inlineStr">
        <is>
          <t>11201000</t>
        </is>
      </c>
      <c r="B8" s="15" t="inlineStr">
        <is>
          <t>FVOCI금융자산-국공채</t>
        </is>
      </c>
      <c r="C8" s="14" t="inlineStr">
        <is>
          <t>자산</t>
        </is>
      </c>
      <c r="D8" s="15" t="inlineStr">
        <is>
          <t>운용자산</t>
        </is>
      </c>
      <c r="E8" s="14" t="inlineStr">
        <is>
          <t>BS</t>
        </is>
      </c>
      <c r="F8" s="14" t="inlineStr">
        <is>
          <t>차</t>
        </is>
      </c>
      <c r="G8" s="9" t="n"/>
    </row>
    <row r="9">
      <c r="A9" s="14" t="inlineStr">
        <is>
          <t>11202000</t>
        </is>
      </c>
      <c r="B9" s="15" t="inlineStr">
        <is>
          <t>FVOCI금융자산-회사채</t>
        </is>
      </c>
      <c r="C9" s="14" t="inlineStr">
        <is>
          <t>자산</t>
        </is>
      </c>
      <c r="D9" s="15" t="inlineStr">
        <is>
          <t>운용자산</t>
        </is>
      </c>
      <c r="E9" s="14" t="inlineStr">
        <is>
          <t>BS</t>
        </is>
      </c>
      <c r="F9" s="14" t="inlineStr">
        <is>
          <t>차</t>
        </is>
      </c>
      <c r="G9" s="9" t="n"/>
    </row>
    <row r="10">
      <c r="A10" s="14" t="inlineStr">
        <is>
          <t>11203000</t>
        </is>
      </c>
      <c r="B10" s="15" t="inlineStr">
        <is>
          <t>FVOCI금융자산-외화채권</t>
        </is>
      </c>
      <c r="C10" s="14" t="inlineStr">
        <is>
          <t>자산</t>
        </is>
      </c>
      <c r="D10" s="15" t="inlineStr">
        <is>
          <t>운용자산</t>
        </is>
      </c>
      <c r="E10" s="14" t="inlineStr">
        <is>
          <t>BS</t>
        </is>
      </c>
      <c r="F10" s="14" t="inlineStr">
        <is>
          <t>차</t>
        </is>
      </c>
      <c r="G10" s="9" t="n"/>
    </row>
    <row r="11">
      <c r="A11" s="14" t="inlineStr">
        <is>
          <t>11301000</t>
        </is>
      </c>
      <c r="B11" s="15" t="inlineStr">
        <is>
          <t>AC금융자산-채권</t>
        </is>
      </c>
      <c r="C11" s="14" t="inlineStr">
        <is>
          <t>자산</t>
        </is>
      </c>
      <c r="D11" s="15" t="inlineStr">
        <is>
          <t>운용자산</t>
        </is>
      </c>
      <c r="E11" s="14" t="inlineStr">
        <is>
          <t>BS</t>
        </is>
      </c>
      <c r="F11" s="14" t="inlineStr">
        <is>
          <t>차</t>
        </is>
      </c>
      <c r="G11" s="9" t="n"/>
    </row>
    <row r="12">
      <c r="A12" s="14" t="inlineStr">
        <is>
          <t>11309000</t>
        </is>
      </c>
      <c r="B12" s="15" t="inlineStr">
        <is>
          <t>AC금융자산 손실충당금</t>
        </is>
      </c>
      <c r="C12" s="14" t="inlineStr">
        <is>
          <t>자산</t>
        </is>
      </c>
      <c r="D12" s="15" t="inlineStr">
        <is>
          <t>운용자산(차감)</t>
        </is>
      </c>
      <c r="E12" s="14" t="inlineStr">
        <is>
          <t>BS</t>
        </is>
      </c>
      <c r="F12" s="14" t="inlineStr">
        <is>
          <t>대</t>
        </is>
      </c>
      <c r="G12" s="9" t="n"/>
    </row>
    <row r="13">
      <c r="A13" s="14" t="inlineStr">
        <is>
          <t>11401000</t>
        </is>
      </c>
      <c r="B13" s="15" t="inlineStr">
        <is>
          <t>대출채권-기업대출</t>
        </is>
      </c>
      <c r="C13" s="14" t="inlineStr">
        <is>
          <t>자산</t>
        </is>
      </c>
      <c r="D13" s="15" t="inlineStr">
        <is>
          <t>운용자산</t>
        </is>
      </c>
      <c r="E13" s="14" t="inlineStr">
        <is>
          <t>BS</t>
        </is>
      </c>
      <c r="F13" s="14" t="inlineStr">
        <is>
          <t>차</t>
        </is>
      </c>
      <c r="G13" s="9" t="n"/>
    </row>
    <row r="14">
      <c r="A14" s="14" t="inlineStr">
        <is>
          <t>11402000</t>
        </is>
      </c>
      <c r="B14" s="15" t="inlineStr">
        <is>
          <t>대출채권-부동산담보대출</t>
        </is>
      </c>
      <c r="C14" s="14" t="inlineStr">
        <is>
          <t>자산</t>
        </is>
      </c>
      <c r="D14" s="15" t="inlineStr">
        <is>
          <t>운용자산</t>
        </is>
      </c>
      <c r="E14" s="14" t="inlineStr">
        <is>
          <t>BS</t>
        </is>
      </c>
      <c r="F14" s="14" t="inlineStr">
        <is>
          <t>차</t>
        </is>
      </c>
      <c r="G14" s="9" t="n"/>
    </row>
    <row r="15">
      <c r="A15" s="14" t="inlineStr">
        <is>
          <t>11409000</t>
        </is>
      </c>
      <c r="B15" s="15" t="inlineStr">
        <is>
          <t>대출채권 손실충당금</t>
        </is>
      </c>
      <c r="C15" s="14" t="inlineStr">
        <is>
          <t>자산</t>
        </is>
      </c>
      <c r="D15" s="15" t="inlineStr">
        <is>
          <t>운용자산(차감)</t>
        </is>
      </c>
      <c r="E15" s="14" t="inlineStr">
        <is>
          <t>BS</t>
        </is>
      </c>
      <c r="F15" s="14" t="inlineStr">
        <is>
          <t>대</t>
        </is>
      </c>
      <c r="G15" s="9" t="n"/>
    </row>
    <row r="16">
      <c r="A16" s="14" t="inlineStr">
        <is>
          <t>11501000</t>
        </is>
      </c>
      <c r="B16" s="15" t="inlineStr">
        <is>
          <t>투자부동산</t>
        </is>
      </c>
      <c r="C16" s="14" t="inlineStr">
        <is>
          <t>자산</t>
        </is>
      </c>
      <c r="D16" s="15" t="inlineStr">
        <is>
          <t>운용자산</t>
        </is>
      </c>
      <c r="E16" s="14" t="inlineStr">
        <is>
          <t>BS</t>
        </is>
      </c>
      <c r="F16" s="14" t="inlineStr">
        <is>
          <t>차</t>
        </is>
      </c>
      <c r="G16" s="9" t="n"/>
    </row>
    <row r="17">
      <c r="A17" s="14" t="inlineStr">
        <is>
          <t>11601000</t>
        </is>
      </c>
      <c r="B17" s="15" t="inlineStr">
        <is>
          <t>미수이자</t>
        </is>
      </c>
      <c r="C17" s="14" t="inlineStr">
        <is>
          <t>자산</t>
        </is>
      </c>
      <c r="D17" s="15" t="inlineStr">
        <is>
          <t>운용자산</t>
        </is>
      </c>
      <c r="E17" s="14" t="inlineStr">
        <is>
          <t>BS</t>
        </is>
      </c>
      <c r="F17" s="14" t="inlineStr">
        <is>
          <t>차</t>
        </is>
      </c>
      <c r="G17" s="9" t="n"/>
    </row>
    <row r="18">
      <c r="A18" s="14" t="inlineStr">
        <is>
          <t>12101000</t>
        </is>
      </c>
      <c r="B18" s="15" t="inlineStr">
        <is>
          <t>유형자산</t>
        </is>
      </c>
      <c r="C18" s="14" t="inlineStr">
        <is>
          <t>자산</t>
        </is>
      </c>
      <c r="D18" s="15" t="inlineStr">
        <is>
          <t>비운용자산</t>
        </is>
      </c>
      <c r="E18" s="14" t="inlineStr">
        <is>
          <t>BS</t>
        </is>
      </c>
      <c r="F18" s="14" t="inlineStr">
        <is>
          <t>차</t>
        </is>
      </c>
      <c r="G18" s="9" t="n"/>
    </row>
    <row r="19">
      <c r="A19" s="14" t="inlineStr">
        <is>
          <t>12201000</t>
        </is>
      </c>
      <c r="B19" s="15" t="inlineStr">
        <is>
          <t>재보험계약자산</t>
        </is>
      </c>
      <c r="C19" s="14" t="inlineStr">
        <is>
          <t>자산</t>
        </is>
      </c>
      <c r="D19" s="15" t="inlineStr">
        <is>
          <t>보험계약자산</t>
        </is>
      </c>
      <c r="E19" s="14" t="inlineStr">
        <is>
          <t>BS</t>
        </is>
      </c>
      <c r="F19" s="14" t="inlineStr">
        <is>
          <t>차</t>
        </is>
      </c>
      <c r="G19" s="9" t="n"/>
    </row>
    <row r="20">
      <c r="A20" s="14" t="inlineStr">
        <is>
          <t>12901000</t>
        </is>
      </c>
      <c r="B20" s="15" t="inlineStr">
        <is>
          <t>이연법인세자산</t>
        </is>
      </c>
      <c r="C20" s="14" t="inlineStr">
        <is>
          <t>자산</t>
        </is>
      </c>
      <c r="D20" s="15" t="inlineStr">
        <is>
          <t>비운용자산</t>
        </is>
      </c>
      <c r="E20" s="14" t="inlineStr">
        <is>
          <t>BS</t>
        </is>
      </c>
      <c r="F20" s="14" t="inlineStr">
        <is>
          <t>차</t>
        </is>
      </c>
      <c r="G20" s="9" t="n"/>
    </row>
    <row r="21">
      <c r="A21" s="14" t="inlineStr">
        <is>
          <t>21101000</t>
        </is>
      </c>
      <c r="B21" s="15" t="inlineStr">
        <is>
          <t>보험계약부채-최선추정부채(BEL)</t>
        </is>
      </c>
      <c r="C21" s="14" t="inlineStr">
        <is>
          <t>부채</t>
        </is>
      </c>
      <c r="D21" s="15" t="inlineStr">
        <is>
          <t>보험계약부채</t>
        </is>
      </c>
      <c r="E21" s="14" t="inlineStr">
        <is>
          <t>BS</t>
        </is>
      </c>
      <c r="F21" s="14" t="inlineStr">
        <is>
          <t>대</t>
        </is>
      </c>
      <c r="G21" s="9" t="n"/>
    </row>
    <row r="22">
      <c r="A22" s="14" t="inlineStr">
        <is>
          <t>21102000</t>
        </is>
      </c>
      <c r="B22" s="15" t="inlineStr">
        <is>
          <t>보험계약부채-위험조정(RA)</t>
        </is>
      </c>
      <c r="C22" s="14" t="inlineStr">
        <is>
          <t>부채</t>
        </is>
      </c>
      <c r="D22" s="15" t="inlineStr">
        <is>
          <t>보험계약부채</t>
        </is>
      </c>
      <c r="E22" s="14" t="inlineStr">
        <is>
          <t>BS</t>
        </is>
      </c>
      <c r="F22" s="14" t="inlineStr">
        <is>
          <t>대</t>
        </is>
      </c>
      <c r="G22" s="9" t="n"/>
    </row>
    <row r="23">
      <c r="A23" s="14" t="inlineStr">
        <is>
          <t>21103000</t>
        </is>
      </c>
      <c r="B23" s="15" t="inlineStr">
        <is>
          <t>보험계약부채-보험계약마진(CSM)</t>
        </is>
      </c>
      <c r="C23" s="14" t="inlineStr">
        <is>
          <t>부채</t>
        </is>
      </c>
      <c r="D23" s="15" t="inlineStr">
        <is>
          <t>보험계약부채</t>
        </is>
      </c>
      <c r="E23" s="14" t="inlineStr">
        <is>
          <t>BS</t>
        </is>
      </c>
      <c r="F23" s="14" t="inlineStr">
        <is>
          <t>대</t>
        </is>
      </c>
      <c r="G23" s="9" t="n"/>
    </row>
    <row r="24">
      <c r="A24" s="14" t="inlineStr">
        <is>
          <t>21201000</t>
        </is>
      </c>
      <c r="B24" s="15" t="inlineStr">
        <is>
          <t>재보험계약부채</t>
        </is>
      </c>
      <c r="C24" s="14" t="inlineStr">
        <is>
          <t>부채</t>
        </is>
      </c>
      <c r="D24" s="15" t="inlineStr">
        <is>
          <t>보험계약부채</t>
        </is>
      </c>
      <c r="E24" s="14" t="inlineStr">
        <is>
          <t>BS</t>
        </is>
      </c>
      <c r="F24" s="14" t="inlineStr">
        <is>
          <t>대</t>
        </is>
      </c>
      <c r="G24" s="9" t="n"/>
    </row>
    <row r="25">
      <c r="A25" s="14" t="inlineStr">
        <is>
          <t>22101000</t>
        </is>
      </c>
      <c r="B25" s="15" t="inlineStr">
        <is>
          <t>차입부채(후순위채)</t>
        </is>
      </c>
      <c r="C25" s="14" t="inlineStr">
        <is>
          <t>부채</t>
        </is>
      </c>
      <c r="D25" s="15" t="inlineStr">
        <is>
          <t>기타부채</t>
        </is>
      </c>
      <c r="E25" s="14" t="inlineStr">
        <is>
          <t>BS</t>
        </is>
      </c>
      <c r="F25" s="14" t="inlineStr">
        <is>
          <t>대</t>
        </is>
      </c>
      <c r="G25" s="9" t="n"/>
    </row>
    <row r="26">
      <c r="A26" s="14" t="inlineStr">
        <is>
          <t>22201000</t>
        </is>
      </c>
      <c r="B26" s="15" t="inlineStr">
        <is>
          <t>미지급비용</t>
        </is>
      </c>
      <c r="C26" s="14" t="inlineStr">
        <is>
          <t>부채</t>
        </is>
      </c>
      <c r="D26" s="15" t="inlineStr">
        <is>
          <t>기타부채</t>
        </is>
      </c>
      <c r="E26" s="14" t="inlineStr">
        <is>
          <t>BS</t>
        </is>
      </c>
      <c r="F26" s="14" t="inlineStr">
        <is>
          <t>대</t>
        </is>
      </c>
      <c r="G26" s="9" t="n"/>
    </row>
    <row r="27">
      <c r="A27" s="14" t="inlineStr">
        <is>
          <t>22301000</t>
        </is>
      </c>
      <c r="B27" s="15" t="inlineStr">
        <is>
          <t>당기법인세부채</t>
        </is>
      </c>
      <c r="C27" s="14" t="inlineStr">
        <is>
          <t>부채</t>
        </is>
      </c>
      <c r="D27" s="15" t="inlineStr">
        <is>
          <t>기타부채</t>
        </is>
      </c>
      <c r="E27" s="14" t="inlineStr">
        <is>
          <t>BS</t>
        </is>
      </c>
      <c r="F27" s="14" t="inlineStr">
        <is>
          <t>대</t>
        </is>
      </c>
      <c r="G27" s="9" t="n"/>
    </row>
    <row r="28">
      <c r="A28" s="14" t="inlineStr">
        <is>
          <t>31101000</t>
        </is>
      </c>
      <c r="B28" s="15" t="inlineStr">
        <is>
          <t>자본금</t>
        </is>
      </c>
      <c r="C28" s="14" t="inlineStr">
        <is>
          <t>자본</t>
        </is>
      </c>
      <c r="D28" s="15" t="inlineStr">
        <is>
          <t>자본금</t>
        </is>
      </c>
      <c r="E28" s="14" t="inlineStr">
        <is>
          <t>BS</t>
        </is>
      </c>
      <c r="F28" s="14" t="inlineStr">
        <is>
          <t>대</t>
        </is>
      </c>
      <c r="G28" s="9" t="n"/>
    </row>
    <row r="29">
      <c r="A29" s="14" t="inlineStr">
        <is>
          <t>31201000</t>
        </is>
      </c>
      <c r="B29" s="15" t="inlineStr">
        <is>
          <t>자본잉여금</t>
        </is>
      </c>
      <c r="C29" s="14" t="inlineStr">
        <is>
          <t>자본</t>
        </is>
      </c>
      <c r="D29" s="15" t="inlineStr">
        <is>
          <t>자본잉여금</t>
        </is>
      </c>
      <c r="E29" s="14" t="inlineStr">
        <is>
          <t>BS</t>
        </is>
      </c>
      <c r="F29" s="14" t="inlineStr">
        <is>
          <t>대</t>
        </is>
      </c>
      <c r="G29" s="9" t="n"/>
    </row>
    <row r="30">
      <c r="A30" s="14" t="inlineStr">
        <is>
          <t>31301000</t>
        </is>
      </c>
      <c r="B30" s="15" t="inlineStr">
        <is>
          <t>이익잉여금</t>
        </is>
      </c>
      <c r="C30" s="14" t="inlineStr">
        <is>
          <t>자본</t>
        </is>
      </c>
      <c r="D30" s="15" t="inlineStr">
        <is>
          <t>이익잉여금</t>
        </is>
      </c>
      <c r="E30" s="14" t="inlineStr">
        <is>
          <t>BS</t>
        </is>
      </c>
      <c r="F30" s="14" t="inlineStr">
        <is>
          <t>대</t>
        </is>
      </c>
      <c r="G30" s="9" t="n"/>
    </row>
    <row r="31">
      <c r="A31" s="14" t="inlineStr">
        <is>
          <t>31401000</t>
        </is>
      </c>
      <c r="B31" s="15" t="inlineStr">
        <is>
          <t>기타포괄손익누계액-FVOCI평가손익</t>
        </is>
      </c>
      <c r="C31" s="14" t="inlineStr">
        <is>
          <t>자본</t>
        </is>
      </c>
      <c r="D31" s="15" t="inlineStr">
        <is>
          <t>기타포괄손익</t>
        </is>
      </c>
      <c r="E31" s="14" t="inlineStr">
        <is>
          <t>BS</t>
        </is>
      </c>
      <c r="F31" s="14" t="inlineStr">
        <is>
          <t>대</t>
        </is>
      </c>
      <c r="G31" s="9" t="n"/>
    </row>
    <row r="32">
      <c r="A32" s="14" t="inlineStr">
        <is>
          <t>31402000</t>
        </is>
      </c>
      <c r="B32" s="15" t="inlineStr">
        <is>
          <t>기타포괄손익누계액-보험금융손익</t>
        </is>
      </c>
      <c r="C32" s="14" t="inlineStr">
        <is>
          <t>자본</t>
        </is>
      </c>
      <c r="D32" s="15" t="inlineStr">
        <is>
          <t>기타포괄손익</t>
        </is>
      </c>
      <c r="E32" s="14" t="inlineStr">
        <is>
          <t>BS</t>
        </is>
      </c>
      <c r="F32" s="14" t="inlineStr">
        <is>
          <t>대</t>
        </is>
      </c>
      <c r="G32" s="9" t="n"/>
    </row>
    <row r="33">
      <c r="A33" s="14" t="inlineStr">
        <is>
          <t>41101000</t>
        </is>
      </c>
      <c r="B33" s="15" t="inlineStr">
        <is>
          <t>보험수익</t>
        </is>
      </c>
      <c r="C33" s="14" t="inlineStr">
        <is>
          <t>수익</t>
        </is>
      </c>
      <c r="D33" s="15" t="inlineStr">
        <is>
          <t>보험손익</t>
        </is>
      </c>
      <c r="E33" s="14" t="inlineStr">
        <is>
          <t>PL</t>
        </is>
      </c>
      <c r="F33" s="14" t="inlineStr">
        <is>
          <t>대</t>
        </is>
      </c>
      <c r="G33" s="9" t="n"/>
    </row>
    <row r="34">
      <c r="A34" s="14" t="inlineStr">
        <is>
          <t>41201000</t>
        </is>
      </c>
      <c r="B34" s="15" t="inlineStr">
        <is>
          <t>재보험수익</t>
        </is>
      </c>
      <c r="C34" s="14" t="inlineStr">
        <is>
          <t>수익</t>
        </is>
      </c>
      <c r="D34" s="15" t="inlineStr">
        <is>
          <t>보험손익</t>
        </is>
      </c>
      <c r="E34" s="14" t="inlineStr">
        <is>
          <t>PL</t>
        </is>
      </c>
      <c r="F34" s="14" t="inlineStr">
        <is>
          <t>대</t>
        </is>
      </c>
      <c r="G34" s="9" t="n"/>
    </row>
    <row r="35">
      <c r="A35" s="14" t="inlineStr">
        <is>
          <t>42101000</t>
        </is>
      </c>
      <c r="B35" s="15" t="inlineStr">
        <is>
          <t>이자수익</t>
        </is>
      </c>
      <c r="C35" s="14" t="inlineStr">
        <is>
          <t>수익</t>
        </is>
      </c>
      <c r="D35" s="15" t="inlineStr">
        <is>
          <t>투자손익</t>
        </is>
      </c>
      <c r="E35" s="14" t="inlineStr">
        <is>
          <t>PL</t>
        </is>
      </c>
      <c r="F35" s="14" t="inlineStr">
        <is>
          <t>대</t>
        </is>
      </c>
      <c r="G35" s="9" t="n"/>
    </row>
    <row r="36">
      <c r="A36" s="14" t="inlineStr">
        <is>
          <t>42102000</t>
        </is>
      </c>
      <c r="B36" s="15" t="inlineStr">
        <is>
          <t>배당수익</t>
        </is>
      </c>
      <c r="C36" s="14" t="inlineStr">
        <is>
          <t>수익</t>
        </is>
      </c>
      <c r="D36" s="15" t="inlineStr">
        <is>
          <t>투자손익</t>
        </is>
      </c>
      <c r="E36" s="14" t="inlineStr">
        <is>
          <t>PL</t>
        </is>
      </c>
      <c r="F36" s="14" t="inlineStr">
        <is>
          <t>대</t>
        </is>
      </c>
      <c r="G36" s="9" t="n"/>
    </row>
    <row r="37">
      <c r="A37" s="14" t="inlineStr">
        <is>
          <t>42201000</t>
        </is>
      </c>
      <c r="B37" s="15" t="inlineStr">
        <is>
          <t>금융자산처분이익</t>
        </is>
      </c>
      <c r="C37" s="14" t="inlineStr">
        <is>
          <t>수익</t>
        </is>
      </c>
      <c r="D37" s="15" t="inlineStr">
        <is>
          <t>투자손익</t>
        </is>
      </c>
      <c r="E37" s="14" t="inlineStr">
        <is>
          <t>PL</t>
        </is>
      </c>
      <c r="F37" s="14" t="inlineStr">
        <is>
          <t>대</t>
        </is>
      </c>
      <c r="G37" s="9" t="n"/>
    </row>
    <row r="38">
      <c r="A38" s="14" t="inlineStr">
        <is>
          <t>42202000</t>
        </is>
      </c>
      <c r="B38" s="15" t="inlineStr">
        <is>
          <t>FVPL금융자산평가이익</t>
        </is>
      </c>
      <c r="C38" s="14" t="inlineStr">
        <is>
          <t>수익</t>
        </is>
      </c>
      <c r="D38" s="15" t="inlineStr">
        <is>
          <t>투자손익</t>
        </is>
      </c>
      <c r="E38" s="14" t="inlineStr">
        <is>
          <t>PL</t>
        </is>
      </c>
      <c r="F38" s="14" t="inlineStr">
        <is>
          <t>대</t>
        </is>
      </c>
      <c r="G38" s="9" t="n"/>
    </row>
    <row r="39">
      <c r="A39" s="14" t="inlineStr">
        <is>
          <t>42301000</t>
        </is>
      </c>
      <c r="B39" s="15" t="inlineStr">
        <is>
          <t>임대료수익</t>
        </is>
      </c>
      <c r="C39" s="14" t="inlineStr">
        <is>
          <t>수익</t>
        </is>
      </c>
      <c r="D39" s="15" t="inlineStr">
        <is>
          <t>투자손익</t>
        </is>
      </c>
      <c r="E39" s="14" t="inlineStr">
        <is>
          <t>PL</t>
        </is>
      </c>
      <c r="F39" s="14" t="inlineStr">
        <is>
          <t>대</t>
        </is>
      </c>
      <c r="G39" s="9" t="n"/>
    </row>
    <row r="40">
      <c r="A40" s="14" t="inlineStr">
        <is>
          <t>51101000</t>
        </is>
      </c>
      <c r="B40" s="15" t="inlineStr">
        <is>
          <t>보험서비스비용</t>
        </is>
      </c>
      <c r="C40" s="14" t="inlineStr">
        <is>
          <t>비용</t>
        </is>
      </c>
      <c r="D40" s="15" t="inlineStr">
        <is>
          <t>보험손익</t>
        </is>
      </c>
      <c r="E40" s="14" t="inlineStr">
        <is>
          <t>PL</t>
        </is>
      </c>
      <c r="F40" s="14" t="inlineStr">
        <is>
          <t>차</t>
        </is>
      </c>
      <c r="G40" s="9" t="n"/>
    </row>
    <row r="41">
      <c r="A41" s="14" t="inlineStr">
        <is>
          <t>51201000</t>
        </is>
      </c>
      <c r="B41" s="15" t="inlineStr">
        <is>
          <t>재보험비용</t>
        </is>
      </c>
      <c r="C41" s="14" t="inlineStr">
        <is>
          <t>비용</t>
        </is>
      </c>
      <c r="D41" s="15" t="inlineStr">
        <is>
          <t>보험손익</t>
        </is>
      </c>
      <c r="E41" s="14" t="inlineStr">
        <is>
          <t>PL</t>
        </is>
      </c>
      <c r="F41" s="14" t="inlineStr">
        <is>
          <t>차</t>
        </is>
      </c>
      <c r="G41" s="9" t="n"/>
    </row>
    <row r="42">
      <c r="A42" s="14" t="inlineStr">
        <is>
          <t>52101000</t>
        </is>
      </c>
      <c r="B42" s="15" t="inlineStr">
        <is>
          <t>보험금융비용</t>
        </is>
      </c>
      <c r="C42" s="14" t="inlineStr">
        <is>
          <t>비용</t>
        </is>
      </c>
      <c r="D42" s="15" t="inlineStr">
        <is>
          <t>투자손익</t>
        </is>
      </c>
      <c r="E42" s="14" t="inlineStr">
        <is>
          <t>PL</t>
        </is>
      </c>
      <c r="F42" s="14" t="inlineStr">
        <is>
          <t>차</t>
        </is>
      </c>
      <c r="G42" s="9" t="n"/>
    </row>
    <row r="43">
      <c r="A43" s="14" t="inlineStr">
        <is>
          <t>52201000</t>
        </is>
      </c>
      <c r="B43" s="15" t="inlineStr">
        <is>
          <t>금융자산처분손실</t>
        </is>
      </c>
      <c r="C43" s="14" t="inlineStr">
        <is>
          <t>비용</t>
        </is>
      </c>
      <c r="D43" s="15" t="inlineStr">
        <is>
          <t>투자손익</t>
        </is>
      </c>
      <c r="E43" s="14" t="inlineStr">
        <is>
          <t>PL</t>
        </is>
      </c>
      <c r="F43" s="14" t="inlineStr">
        <is>
          <t>차</t>
        </is>
      </c>
      <c r="G43" s="9" t="n"/>
    </row>
    <row r="44">
      <c r="A44" s="14" t="inlineStr">
        <is>
          <t>52202000</t>
        </is>
      </c>
      <c r="B44" s="15" t="inlineStr">
        <is>
          <t>FVPL금융자산평가손실</t>
        </is>
      </c>
      <c r="C44" s="14" t="inlineStr">
        <is>
          <t>비용</t>
        </is>
      </c>
      <c r="D44" s="15" t="inlineStr">
        <is>
          <t>투자손익</t>
        </is>
      </c>
      <c r="E44" s="14" t="inlineStr">
        <is>
          <t>PL</t>
        </is>
      </c>
      <c r="F44" s="14" t="inlineStr">
        <is>
          <t>차</t>
        </is>
      </c>
      <c r="G44" s="9" t="n"/>
    </row>
    <row r="45">
      <c r="A45" s="14" t="inlineStr">
        <is>
          <t>52301000</t>
        </is>
      </c>
      <c r="B45" s="15" t="inlineStr">
        <is>
          <t>손실충당금전입액(기대신용손실)</t>
        </is>
      </c>
      <c r="C45" s="14" t="inlineStr">
        <is>
          <t>비용</t>
        </is>
      </c>
      <c r="D45" s="15" t="inlineStr">
        <is>
          <t>투자손익</t>
        </is>
      </c>
      <c r="E45" s="14" t="inlineStr">
        <is>
          <t>PL</t>
        </is>
      </c>
      <c r="F45" s="14" t="inlineStr">
        <is>
          <t>차</t>
        </is>
      </c>
      <c r="G45" s="9" t="n"/>
    </row>
    <row r="46">
      <c r="A46" s="14" t="inlineStr">
        <is>
          <t>52401000</t>
        </is>
      </c>
      <c r="B46" s="15" t="inlineStr">
        <is>
          <t>이자비용</t>
        </is>
      </c>
      <c r="C46" s="14" t="inlineStr">
        <is>
          <t>비용</t>
        </is>
      </c>
      <c r="D46" s="15" t="inlineStr">
        <is>
          <t>투자손익</t>
        </is>
      </c>
      <c r="E46" s="14" t="inlineStr">
        <is>
          <t>PL</t>
        </is>
      </c>
      <c r="F46" s="14" t="inlineStr">
        <is>
          <t>차</t>
        </is>
      </c>
      <c r="G46" s="9" t="n"/>
    </row>
    <row r="47">
      <c r="A47" s="14" t="inlineStr">
        <is>
          <t>52501000</t>
        </is>
      </c>
      <c r="B47" s="15" t="inlineStr">
        <is>
          <t>투자부동산감가상각비</t>
        </is>
      </c>
      <c r="C47" s="14" t="inlineStr">
        <is>
          <t>비용</t>
        </is>
      </c>
      <c r="D47" s="15" t="inlineStr">
        <is>
          <t>투자손익</t>
        </is>
      </c>
      <c r="E47" s="14" t="inlineStr">
        <is>
          <t>PL</t>
        </is>
      </c>
      <c r="F47" s="14" t="inlineStr">
        <is>
          <t>차</t>
        </is>
      </c>
      <c r="G47" s="9" t="n"/>
    </row>
    <row r="48">
      <c r="A48" s="14" t="inlineStr">
        <is>
          <t>53101000</t>
        </is>
      </c>
      <c r="B48" s="15" t="inlineStr">
        <is>
          <t>법인세비용</t>
        </is>
      </c>
      <c r="C48" s="14" t="inlineStr">
        <is>
          <t>비용</t>
        </is>
      </c>
      <c r="D48" s="15" t="inlineStr">
        <is>
          <t>법인세</t>
        </is>
      </c>
      <c r="E48" s="14" t="inlineStr">
        <is>
          <t>PL</t>
        </is>
      </c>
      <c r="F48" s="14" t="inlineStr">
        <is>
          <t>차</t>
        </is>
      </c>
      <c r="G48" s="9" t="n"/>
    </row>
  </sheetData>
  <autoFilter ref="A4:G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8" customWidth="1" min="4" max="4"/>
    <col width="11" customWidth="1" min="5" max="5"/>
    <col width="9" customWidth="1" min="6" max="6"/>
    <col width="7" customWidth="1" min="7" max="7"/>
    <col width="11" customWidth="1" min="8" max="8"/>
    <col width="30" customWidth="1" min="9" max="9"/>
    <col width="7" customWidth="1" min="10" max="10"/>
    <col width="12" customWidth="1" min="11" max="11"/>
    <col width="12" customWidth="1" min="12" max="12"/>
    <col width="36" customWidth="1" min="13" max="13"/>
  </cols>
  <sheetData>
    <row r="1">
      <c r="A1" s="1" t="inlineStr">
        <is>
          <t>분개 라인 (전표)</t>
        </is>
      </c>
    </row>
    <row r="2">
      <c r="A2" s="2" t="inlineStr">
        <is>
          <t>SAP 대응: BKPF(전표헤더)·BSEG(라인) / S/4HANA ACDOCA · 금액 단위: 백만원</t>
        </is>
      </c>
    </row>
    <row r="4" ht="32" customHeight="1">
      <c r="A4" s="7" t="inlineStr">
        <is>
          <t>회사코드
(BUKRS)</t>
        </is>
      </c>
      <c r="B4" s="7" t="inlineStr">
        <is>
          <t>전표번호
(BELNR)</t>
        </is>
      </c>
      <c r="C4" s="7" t="inlineStr">
        <is>
          <t>회계연도
(GJAHR)</t>
        </is>
      </c>
      <c r="D4" s="7" t="inlineStr">
        <is>
          <t>기간
(POPER)</t>
        </is>
      </c>
      <c r="E4" s="7" t="inlineStr">
        <is>
          <t>전기일
(BUDAT)</t>
        </is>
      </c>
      <c r="F4" s="7" t="inlineStr">
        <is>
          <t>전표유형
(BLART)</t>
        </is>
      </c>
      <c r="G4" s="7" t="inlineStr">
        <is>
          <t>라인
(BUZEI)</t>
        </is>
      </c>
      <c r="H4" s="7" t="inlineStr">
        <is>
          <t>G/L 계정
(HKONT)</t>
        </is>
      </c>
      <c r="I4" s="7" t="inlineStr">
        <is>
          <t>계정명</t>
        </is>
      </c>
      <c r="J4" s="7" t="inlineStr">
        <is>
          <t>차대
(SHKZG)</t>
        </is>
      </c>
      <c r="K4" s="7" t="inlineStr">
        <is>
          <t>금액
(DMBTR)</t>
        </is>
      </c>
      <c r="L4" s="7" t="inlineStr">
        <is>
          <t>부호금액
(차+/대−)</t>
        </is>
      </c>
      <c r="M4" s="7" t="inlineStr">
        <is>
          <t>적요
(SGTXT)</t>
        </is>
      </c>
    </row>
    <row r="5">
      <c r="A5" s="16">
        <f>안내!$B$5</f>
        <v/>
      </c>
      <c r="B5" s="14" t="inlineStr">
        <is>
          <t>100000001</t>
        </is>
      </c>
      <c r="C5" s="16">
        <f>안내!$B$8</f>
        <v/>
      </c>
      <c r="D5" s="17">
        <f>TEXT(MONTH(E5),"000")</f>
        <v/>
      </c>
      <c r="E5" s="18" t="n">
        <v>46266</v>
      </c>
      <c r="F5" s="14" t="inlineStr">
        <is>
          <t>SA</t>
        </is>
      </c>
      <c r="G5" s="14" t="inlineStr">
        <is>
          <t>001</t>
        </is>
      </c>
      <c r="H5" s="14" t="inlineStr">
        <is>
          <t>10101000</t>
        </is>
      </c>
      <c r="I5" s="19">
        <f>IFERROR(INDEX(계정과목!$B$5:$B$78,MATCH(H5,계정과목!$A$5:$A$78,0)),"계정 없음")</f>
        <v/>
      </c>
      <c r="J5" s="14" t="inlineStr">
        <is>
          <t>S</t>
        </is>
      </c>
      <c r="K5" s="20" t="n">
        <v>95000</v>
      </c>
      <c r="L5" s="21">
        <f>IF(J5="S",K5,-K5)</f>
        <v/>
      </c>
      <c r="M5" s="15" t="inlineStr">
        <is>
          <t>보험료 수취 (보험계약부채 계상)</t>
        </is>
      </c>
    </row>
    <row r="6">
      <c r="A6" s="16">
        <f>안내!$B$5</f>
        <v/>
      </c>
      <c r="B6" s="14" t="inlineStr">
        <is>
          <t>100000001</t>
        </is>
      </c>
      <c r="C6" s="16">
        <f>안내!$B$8</f>
        <v/>
      </c>
      <c r="D6" s="17">
        <f>TEXT(MONTH(E6),"000")</f>
        <v/>
      </c>
      <c r="E6" s="18" t="n">
        <v>46266</v>
      </c>
      <c r="F6" s="14" t="inlineStr">
        <is>
          <t>SA</t>
        </is>
      </c>
      <c r="G6" s="14" t="inlineStr">
        <is>
          <t>002</t>
        </is>
      </c>
      <c r="H6" s="14" t="inlineStr">
        <is>
          <t>21101000</t>
        </is>
      </c>
      <c r="I6" s="19">
        <f>IFERROR(INDEX(계정과목!$B$5:$B$78,MATCH(H6,계정과목!$A$5:$A$78,0)),"계정 없음")</f>
        <v/>
      </c>
      <c r="J6" s="14" t="inlineStr">
        <is>
          <t>H</t>
        </is>
      </c>
      <c r="K6" s="20" t="n">
        <v>95000</v>
      </c>
      <c r="L6" s="21">
        <f>IF(J6="S",K6,-K6)</f>
        <v/>
      </c>
      <c r="M6" s="15" t="inlineStr">
        <is>
          <t>보험료 수취 (보험계약부채 계상)</t>
        </is>
      </c>
    </row>
    <row r="7">
      <c r="A7" s="16">
        <f>안내!$B$5</f>
        <v/>
      </c>
      <c r="B7" s="14" t="inlineStr">
        <is>
          <t>100000002</t>
        </is>
      </c>
      <c r="C7" s="16">
        <f>안내!$B$8</f>
        <v/>
      </c>
      <c r="D7" s="17">
        <f>TEXT(MONTH(E7),"000")</f>
        <v/>
      </c>
      <c r="E7" s="18" t="n">
        <v>46295</v>
      </c>
      <c r="F7" s="14" t="inlineStr">
        <is>
          <t>SA</t>
        </is>
      </c>
      <c r="G7" s="14" t="inlineStr">
        <is>
          <t>001</t>
        </is>
      </c>
      <c r="H7" s="14" t="inlineStr">
        <is>
          <t>21101000</t>
        </is>
      </c>
      <c r="I7" s="19">
        <f>IFERROR(INDEX(계정과목!$B$5:$B$78,MATCH(H7,계정과목!$A$5:$A$78,0)),"계정 없음")</f>
        <v/>
      </c>
      <c r="J7" s="14" t="inlineStr">
        <is>
          <t>S</t>
        </is>
      </c>
      <c r="K7" s="20" t="n">
        <v>62000</v>
      </c>
      <c r="L7" s="21">
        <f>IF(J7="S",K7,-K7)</f>
        <v/>
      </c>
      <c r="M7" s="15" t="inlineStr">
        <is>
          <t>보험수익 인식 - 예상 보험금·비용 해제</t>
        </is>
      </c>
    </row>
    <row r="8">
      <c r="A8" s="16">
        <f>안내!$B$5</f>
        <v/>
      </c>
      <c r="B8" s="14" t="inlineStr">
        <is>
          <t>100000002</t>
        </is>
      </c>
      <c r="C8" s="16">
        <f>안내!$B$8</f>
        <v/>
      </c>
      <c r="D8" s="17">
        <f>TEXT(MONTH(E8),"000")</f>
        <v/>
      </c>
      <c r="E8" s="18" t="n">
        <v>46295</v>
      </c>
      <c r="F8" s="14" t="inlineStr">
        <is>
          <t>SA</t>
        </is>
      </c>
      <c r="G8" s="14" t="inlineStr">
        <is>
          <t>002</t>
        </is>
      </c>
      <c r="H8" s="14" t="inlineStr">
        <is>
          <t>41101000</t>
        </is>
      </c>
      <c r="I8" s="19">
        <f>IFERROR(INDEX(계정과목!$B$5:$B$78,MATCH(H8,계정과목!$A$5:$A$78,0)),"계정 없음")</f>
        <v/>
      </c>
      <c r="J8" s="14" t="inlineStr">
        <is>
          <t>H</t>
        </is>
      </c>
      <c r="K8" s="20" t="n">
        <v>62000</v>
      </c>
      <c r="L8" s="21">
        <f>IF(J8="S",K8,-K8)</f>
        <v/>
      </c>
      <c r="M8" s="15" t="inlineStr">
        <is>
          <t>보험수익 인식 - 예상 보험금·비용 해제</t>
        </is>
      </c>
    </row>
    <row r="9">
      <c r="A9" s="16">
        <f>안내!$B$5</f>
        <v/>
      </c>
      <c r="B9" s="14" t="inlineStr">
        <is>
          <t>100000003</t>
        </is>
      </c>
      <c r="C9" s="16">
        <f>안내!$B$8</f>
        <v/>
      </c>
      <c r="D9" s="17">
        <f>TEXT(MONTH(E9),"000")</f>
        <v/>
      </c>
      <c r="E9" s="18" t="n">
        <v>46295</v>
      </c>
      <c r="F9" s="14" t="inlineStr">
        <is>
          <t>SA</t>
        </is>
      </c>
      <c r="G9" s="14" t="inlineStr">
        <is>
          <t>001</t>
        </is>
      </c>
      <c r="H9" s="14" t="inlineStr">
        <is>
          <t>21103000</t>
        </is>
      </c>
      <c r="I9" s="19">
        <f>IFERROR(INDEX(계정과목!$B$5:$B$78,MATCH(H9,계정과목!$A$5:$A$78,0)),"계정 없음")</f>
        <v/>
      </c>
      <c r="J9" s="14" t="inlineStr">
        <is>
          <t>S</t>
        </is>
      </c>
      <c r="K9" s="20" t="n">
        <v>6500</v>
      </c>
      <c r="L9" s="21">
        <f>IF(J9="S",K9,-K9)</f>
        <v/>
      </c>
      <c r="M9" s="15" t="inlineStr">
        <is>
          <t>보험수익 인식 - CSM 상각</t>
        </is>
      </c>
    </row>
    <row r="10">
      <c r="A10" s="16">
        <f>안내!$B$5</f>
        <v/>
      </c>
      <c r="B10" s="14" t="inlineStr">
        <is>
          <t>100000003</t>
        </is>
      </c>
      <c r="C10" s="16">
        <f>안내!$B$8</f>
        <v/>
      </c>
      <c r="D10" s="17">
        <f>TEXT(MONTH(E10),"000")</f>
        <v/>
      </c>
      <c r="E10" s="18" t="n">
        <v>46295</v>
      </c>
      <c r="F10" s="14" t="inlineStr">
        <is>
          <t>SA</t>
        </is>
      </c>
      <c r="G10" s="14" t="inlineStr">
        <is>
          <t>002</t>
        </is>
      </c>
      <c r="H10" s="14" t="inlineStr">
        <is>
          <t>41101000</t>
        </is>
      </c>
      <c r="I10" s="19">
        <f>IFERROR(INDEX(계정과목!$B$5:$B$78,MATCH(H10,계정과목!$A$5:$A$78,0)),"계정 없음")</f>
        <v/>
      </c>
      <c r="J10" s="14" t="inlineStr">
        <is>
          <t>H</t>
        </is>
      </c>
      <c r="K10" s="20" t="n">
        <v>6500</v>
      </c>
      <c r="L10" s="21">
        <f>IF(J10="S",K10,-K10)</f>
        <v/>
      </c>
      <c r="M10" s="15" t="inlineStr">
        <is>
          <t>보험수익 인식 - CSM 상각</t>
        </is>
      </c>
    </row>
    <row r="11">
      <c r="A11" s="16">
        <f>안내!$B$5</f>
        <v/>
      </c>
      <c r="B11" s="14" t="inlineStr">
        <is>
          <t>100000004</t>
        </is>
      </c>
      <c r="C11" s="16">
        <f>안내!$B$8</f>
        <v/>
      </c>
      <c r="D11" s="17">
        <f>TEXT(MONTH(E11),"000")</f>
        <v/>
      </c>
      <c r="E11" s="18" t="n">
        <v>46295</v>
      </c>
      <c r="F11" s="14" t="inlineStr">
        <is>
          <t>SA</t>
        </is>
      </c>
      <c r="G11" s="14" t="inlineStr">
        <is>
          <t>001</t>
        </is>
      </c>
      <c r="H11" s="14" t="inlineStr">
        <is>
          <t>21102000</t>
        </is>
      </c>
      <c r="I11" s="19">
        <f>IFERROR(INDEX(계정과목!$B$5:$B$78,MATCH(H11,계정과목!$A$5:$A$78,0)),"계정 없음")</f>
        <v/>
      </c>
      <c r="J11" s="14" t="inlineStr">
        <is>
          <t>S</t>
        </is>
      </c>
      <c r="K11" s="20" t="n">
        <v>1800</v>
      </c>
      <c r="L11" s="21">
        <f>IF(J11="S",K11,-K11)</f>
        <v/>
      </c>
      <c r="M11" s="15" t="inlineStr">
        <is>
          <t>보험수익 인식 - RA 해제</t>
        </is>
      </c>
    </row>
    <row r="12">
      <c r="A12" s="16">
        <f>안내!$B$5</f>
        <v/>
      </c>
      <c r="B12" s="14" t="inlineStr">
        <is>
          <t>100000004</t>
        </is>
      </c>
      <c r="C12" s="16">
        <f>안내!$B$8</f>
        <v/>
      </c>
      <c r="D12" s="17">
        <f>TEXT(MONTH(E12),"000")</f>
        <v/>
      </c>
      <c r="E12" s="18" t="n">
        <v>46295</v>
      </c>
      <c r="F12" s="14" t="inlineStr">
        <is>
          <t>SA</t>
        </is>
      </c>
      <c r="G12" s="14" t="inlineStr">
        <is>
          <t>002</t>
        </is>
      </c>
      <c r="H12" s="14" t="inlineStr">
        <is>
          <t>41101000</t>
        </is>
      </c>
      <c r="I12" s="19">
        <f>IFERROR(INDEX(계정과목!$B$5:$B$78,MATCH(H12,계정과목!$A$5:$A$78,0)),"계정 없음")</f>
        <v/>
      </c>
      <c r="J12" s="14" t="inlineStr">
        <is>
          <t>H</t>
        </is>
      </c>
      <c r="K12" s="20" t="n">
        <v>1800</v>
      </c>
      <c r="L12" s="21">
        <f>IF(J12="S",K12,-K12)</f>
        <v/>
      </c>
      <c r="M12" s="15" t="inlineStr">
        <is>
          <t>보험수익 인식 - RA 해제</t>
        </is>
      </c>
    </row>
    <row r="13">
      <c r="A13" s="16">
        <f>안내!$B$5</f>
        <v/>
      </c>
      <c r="B13" s="14" t="inlineStr">
        <is>
          <t>100000005</t>
        </is>
      </c>
      <c r="C13" s="16">
        <f>안내!$B$8</f>
        <v/>
      </c>
      <c r="D13" s="17">
        <f>TEXT(MONTH(E13),"000")</f>
        <v/>
      </c>
      <c r="E13" s="18" t="n">
        <v>46280</v>
      </c>
      <c r="F13" s="14" t="inlineStr">
        <is>
          <t>SA</t>
        </is>
      </c>
      <c r="G13" s="14" t="inlineStr">
        <is>
          <t>001</t>
        </is>
      </c>
      <c r="H13" s="14" t="inlineStr">
        <is>
          <t>51101000</t>
        </is>
      </c>
      <c r="I13" s="19">
        <f>IFERROR(INDEX(계정과목!$B$5:$B$78,MATCH(H13,계정과목!$A$5:$A$78,0)),"계정 없음")</f>
        <v/>
      </c>
      <c r="J13" s="14" t="inlineStr">
        <is>
          <t>S</t>
        </is>
      </c>
      <c r="K13" s="20" t="n">
        <v>48000</v>
      </c>
      <c r="L13" s="21">
        <f>IF(J13="S",K13,-K13)</f>
        <v/>
      </c>
      <c r="M13" s="15" t="inlineStr">
        <is>
          <t>보험금 지급</t>
        </is>
      </c>
    </row>
    <row r="14">
      <c r="A14" s="16">
        <f>안내!$B$5</f>
        <v/>
      </c>
      <c r="B14" s="14" t="inlineStr">
        <is>
          <t>100000005</t>
        </is>
      </c>
      <c r="C14" s="16">
        <f>안내!$B$8</f>
        <v/>
      </c>
      <c r="D14" s="17">
        <f>TEXT(MONTH(E14),"000")</f>
        <v/>
      </c>
      <c r="E14" s="18" t="n">
        <v>46280</v>
      </c>
      <c r="F14" s="14" t="inlineStr">
        <is>
          <t>SA</t>
        </is>
      </c>
      <c r="G14" s="14" t="inlineStr">
        <is>
          <t>002</t>
        </is>
      </c>
      <c r="H14" s="14" t="inlineStr">
        <is>
          <t>10101000</t>
        </is>
      </c>
      <c r="I14" s="19">
        <f>IFERROR(INDEX(계정과목!$B$5:$B$78,MATCH(H14,계정과목!$A$5:$A$78,0)),"계정 없음")</f>
        <v/>
      </c>
      <c r="J14" s="14" t="inlineStr">
        <is>
          <t>H</t>
        </is>
      </c>
      <c r="K14" s="20" t="n">
        <v>48000</v>
      </c>
      <c r="L14" s="21">
        <f>IF(J14="S",K14,-K14)</f>
        <v/>
      </c>
      <c r="M14" s="15" t="inlineStr">
        <is>
          <t>보험금 지급</t>
        </is>
      </c>
    </row>
    <row r="15">
      <c r="A15" s="16">
        <f>안내!$B$5</f>
        <v/>
      </c>
      <c r="B15" s="14" t="inlineStr">
        <is>
          <t>100000006</t>
        </is>
      </c>
      <c r="C15" s="16">
        <f>안내!$B$8</f>
        <v/>
      </c>
      <c r="D15" s="17">
        <f>TEXT(MONTH(E15),"000")</f>
        <v/>
      </c>
      <c r="E15" s="18" t="n">
        <v>46295</v>
      </c>
      <c r="F15" s="14" t="inlineStr">
        <is>
          <t>SA</t>
        </is>
      </c>
      <c r="G15" s="14" t="inlineStr">
        <is>
          <t>001</t>
        </is>
      </c>
      <c r="H15" s="14" t="inlineStr">
        <is>
          <t>51101000</t>
        </is>
      </c>
      <c r="I15" s="19">
        <f>IFERROR(INDEX(계정과목!$B$5:$B$78,MATCH(H15,계정과목!$A$5:$A$78,0)),"계정 없음")</f>
        <v/>
      </c>
      <c r="J15" s="14" t="inlineStr">
        <is>
          <t>S</t>
        </is>
      </c>
      <c r="K15" s="20" t="n">
        <v>9500</v>
      </c>
      <c r="L15" s="21">
        <f>IF(J15="S",K15,-K15)</f>
        <v/>
      </c>
      <c r="M15" s="15" t="inlineStr">
        <is>
          <t>사업비 발생 (미지급)</t>
        </is>
      </c>
    </row>
    <row r="16">
      <c r="A16" s="16">
        <f>안내!$B$5</f>
        <v/>
      </c>
      <c r="B16" s="14" t="inlineStr">
        <is>
          <t>100000006</t>
        </is>
      </c>
      <c r="C16" s="16">
        <f>안내!$B$8</f>
        <v/>
      </c>
      <c r="D16" s="17">
        <f>TEXT(MONTH(E16),"000")</f>
        <v/>
      </c>
      <c r="E16" s="18" t="n">
        <v>46295</v>
      </c>
      <c r="F16" s="14" t="inlineStr">
        <is>
          <t>SA</t>
        </is>
      </c>
      <c r="G16" s="14" t="inlineStr">
        <is>
          <t>002</t>
        </is>
      </c>
      <c r="H16" s="14" t="inlineStr">
        <is>
          <t>22201000</t>
        </is>
      </c>
      <c r="I16" s="19">
        <f>IFERROR(INDEX(계정과목!$B$5:$B$78,MATCH(H16,계정과목!$A$5:$A$78,0)),"계정 없음")</f>
        <v/>
      </c>
      <c r="J16" s="14" t="inlineStr">
        <is>
          <t>H</t>
        </is>
      </c>
      <c r="K16" s="20" t="n">
        <v>9500</v>
      </c>
      <c r="L16" s="21">
        <f>IF(J16="S",K16,-K16)</f>
        <v/>
      </c>
      <c r="M16" s="15" t="inlineStr">
        <is>
          <t>사업비 발생 (미지급)</t>
        </is>
      </c>
    </row>
    <row r="17">
      <c r="A17" s="16">
        <f>안내!$B$5</f>
        <v/>
      </c>
      <c r="B17" s="14" t="inlineStr">
        <is>
          <t>100000007</t>
        </is>
      </c>
      <c r="C17" s="16">
        <f>안내!$B$8</f>
        <v/>
      </c>
      <c r="D17" s="17">
        <f>TEXT(MONTH(E17),"000")</f>
        <v/>
      </c>
      <c r="E17" s="18" t="n">
        <v>46295</v>
      </c>
      <c r="F17" s="14" t="inlineStr">
        <is>
          <t>SA</t>
        </is>
      </c>
      <c r="G17" s="14" t="inlineStr">
        <is>
          <t>001</t>
        </is>
      </c>
      <c r="H17" s="14" t="inlineStr">
        <is>
          <t>52101000</t>
        </is>
      </c>
      <c r="I17" s="19">
        <f>IFERROR(INDEX(계정과목!$B$5:$B$78,MATCH(H17,계정과목!$A$5:$A$78,0)),"계정 없음")</f>
        <v/>
      </c>
      <c r="J17" s="14" t="inlineStr">
        <is>
          <t>S</t>
        </is>
      </c>
      <c r="K17" s="20" t="n">
        <v>7600</v>
      </c>
      <c r="L17" s="21">
        <f>IF(J17="S",K17,-K17)</f>
        <v/>
      </c>
      <c r="M17" s="15" t="inlineStr">
        <is>
          <t>보험금융비용 (이자부리)</t>
        </is>
      </c>
    </row>
    <row r="18">
      <c r="A18" s="16">
        <f>안내!$B$5</f>
        <v/>
      </c>
      <c r="B18" s="14" t="inlineStr">
        <is>
          <t>100000007</t>
        </is>
      </c>
      <c r="C18" s="16">
        <f>안내!$B$8</f>
        <v/>
      </c>
      <c r="D18" s="17">
        <f>TEXT(MONTH(E18),"000")</f>
        <v/>
      </c>
      <c r="E18" s="18" t="n">
        <v>46295</v>
      </c>
      <c r="F18" s="14" t="inlineStr">
        <is>
          <t>SA</t>
        </is>
      </c>
      <c r="G18" s="14" t="inlineStr">
        <is>
          <t>002</t>
        </is>
      </c>
      <c r="H18" s="14" t="inlineStr">
        <is>
          <t>21101000</t>
        </is>
      </c>
      <c r="I18" s="19">
        <f>IFERROR(INDEX(계정과목!$B$5:$B$78,MATCH(H18,계정과목!$A$5:$A$78,0)),"계정 없음")</f>
        <v/>
      </c>
      <c r="J18" s="14" t="inlineStr">
        <is>
          <t>H</t>
        </is>
      </c>
      <c r="K18" s="20" t="n">
        <v>7600</v>
      </c>
      <c r="L18" s="21">
        <f>IF(J18="S",K18,-K18)</f>
        <v/>
      </c>
      <c r="M18" s="15" t="inlineStr">
        <is>
          <t>보험금융비용 (이자부리)</t>
        </is>
      </c>
    </row>
    <row r="19">
      <c r="A19" s="16">
        <f>안내!$B$5</f>
        <v/>
      </c>
      <c r="B19" s="14" t="inlineStr">
        <is>
          <t>100000008</t>
        </is>
      </c>
      <c r="C19" s="16">
        <f>안내!$B$8</f>
        <v/>
      </c>
      <c r="D19" s="17">
        <f>TEXT(MONTH(E19),"000")</f>
        <v/>
      </c>
      <c r="E19" s="18" t="n">
        <v>46295</v>
      </c>
      <c r="F19" s="14" t="inlineStr">
        <is>
          <t>SA</t>
        </is>
      </c>
      <c r="G19" s="14" t="inlineStr">
        <is>
          <t>001</t>
        </is>
      </c>
      <c r="H19" s="14" t="inlineStr">
        <is>
          <t>51201000</t>
        </is>
      </c>
      <c r="I19" s="19">
        <f>IFERROR(INDEX(계정과목!$B$5:$B$78,MATCH(H19,계정과목!$A$5:$A$78,0)),"계정 없음")</f>
        <v/>
      </c>
      <c r="J19" s="14" t="inlineStr">
        <is>
          <t>S</t>
        </is>
      </c>
      <c r="K19" s="20" t="n">
        <v>3200</v>
      </c>
      <c r="L19" s="21">
        <f>IF(J19="S",K19,-K19)</f>
        <v/>
      </c>
      <c r="M19" s="15" t="inlineStr">
        <is>
          <t>재보험비용 (출재보험료 배분)</t>
        </is>
      </c>
    </row>
    <row r="20">
      <c r="A20" s="16">
        <f>안내!$B$5</f>
        <v/>
      </c>
      <c r="B20" s="14" t="inlineStr">
        <is>
          <t>100000008</t>
        </is>
      </c>
      <c r="C20" s="16">
        <f>안내!$B$8</f>
        <v/>
      </c>
      <c r="D20" s="17">
        <f>TEXT(MONTH(E20),"000")</f>
        <v/>
      </c>
      <c r="E20" s="18" t="n">
        <v>46295</v>
      </c>
      <c r="F20" s="14" t="inlineStr">
        <is>
          <t>SA</t>
        </is>
      </c>
      <c r="G20" s="14" t="inlineStr">
        <is>
          <t>002</t>
        </is>
      </c>
      <c r="H20" s="14" t="inlineStr">
        <is>
          <t>12201000</t>
        </is>
      </c>
      <c r="I20" s="19">
        <f>IFERROR(INDEX(계정과목!$B$5:$B$78,MATCH(H20,계정과목!$A$5:$A$78,0)),"계정 없음")</f>
        <v/>
      </c>
      <c r="J20" s="14" t="inlineStr">
        <is>
          <t>H</t>
        </is>
      </c>
      <c r="K20" s="20" t="n">
        <v>3200</v>
      </c>
      <c r="L20" s="21">
        <f>IF(J20="S",K20,-K20)</f>
        <v/>
      </c>
      <c r="M20" s="15" t="inlineStr">
        <is>
          <t>재보험비용 (출재보험료 배분)</t>
        </is>
      </c>
    </row>
    <row r="21">
      <c r="A21" s="16">
        <f>안내!$B$5</f>
        <v/>
      </c>
      <c r="B21" s="14" t="inlineStr">
        <is>
          <t>100000009</t>
        </is>
      </c>
      <c r="C21" s="16">
        <f>안내!$B$8</f>
        <v/>
      </c>
      <c r="D21" s="17">
        <f>TEXT(MONTH(E21),"000")</f>
        <v/>
      </c>
      <c r="E21" s="18" t="n">
        <v>46295</v>
      </c>
      <c r="F21" s="14" t="inlineStr">
        <is>
          <t>SA</t>
        </is>
      </c>
      <c r="G21" s="14" t="inlineStr">
        <is>
          <t>001</t>
        </is>
      </c>
      <c r="H21" s="14" t="inlineStr">
        <is>
          <t>12201000</t>
        </is>
      </c>
      <c r="I21" s="19">
        <f>IFERROR(INDEX(계정과목!$B$5:$B$78,MATCH(H21,계정과목!$A$5:$A$78,0)),"계정 없음")</f>
        <v/>
      </c>
      <c r="J21" s="14" t="inlineStr">
        <is>
          <t>S</t>
        </is>
      </c>
      <c r="K21" s="20" t="n">
        <v>2100</v>
      </c>
      <c r="L21" s="21">
        <f>IF(J21="S",K21,-K21)</f>
        <v/>
      </c>
      <c r="M21" s="15" t="inlineStr">
        <is>
          <t>재보험수익 (회수 예상액)</t>
        </is>
      </c>
    </row>
    <row r="22">
      <c r="A22" s="16">
        <f>안내!$B$5</f>
        <v/>
      </c>
      <c r="B22" s="14" t="inlineStr">
        <is>
          <t>100000009</t>
        </is>
      </c>
      <c r="C22" s="16">
        <f>안내!$B$8</f>
        <v/>
      </c>
      <c r="D22" s="17">
        <f>TEXT(MONTH(E22),"000")</f>
        <v/>
      </c>
      <c r="E22" s="18" t="n">
        <v>46295</v>
      </c>
      <c r="F22" s="14" t="inlineStr">
        <is>
          <t>SA</t>
        </is>
      </c>
      <c r="G22" s="14" t="inlineStr">
        <is>
          <t>002</t>
        </is>
      </c>
      <c r="H22" s="14" t="inlineStr">
        <is>
          <t>41201000</t>
        </is>
      </c>
      <c r="I22" s="19">
        <f>IFERROR(INDEX(계정과목!$B$5:$B$78,MATCH(H22,계정과목!$A$5:$A$78,0)),"계정 없음")</f>
        <v/>
      </c>
      <c r="J22" s="14" t="inlineStr">
        <is>
          <t>H</t>
        </is>
      </c>
      <c r="K22" s="20" t="n">
        <v>2100</v>
      </c>
      <c r="L22" s="21">
        <f>IF(J22="S",K22,-K22)</f>
        <v/>
      </c>
      <c r="M22" s="15" t="inlineStr">
        <is>
          <t>재보험수익 (회수 예상액)</t>
        </is>
      </c>
    </row>
    <row r="23">
      <c r="A23" s="16">
        <f>안내!$B$5</f>
        <v/>
      </c>
      <c r="B23" s="14" t="inlineStr">
        <is>
          <t>100000010</t>
        </is>
      </c>
      <c r="C23" s="16">
        <f>안내!$B$8</f>
        <v/>
      </c>
      <c r="D23" s="17">
        <f>TEXT(MONTH(E23),"000")</f>
        <v/>
      </c>
      <c r="E23" s="18" t="n">
        <v>46295</v>
      </c>
      <c r="F23" s="14" t="inlineStr">
        <is>
          <t>SA</t>
        </is>
      </c>
      <c r="G23" s="14" t="inlineStr">
        <is>
          <t>001</t>
        </is>
      </c>
      <c r="H23" s="14" t="inlineStr">
        <is>
          <t>11601000</t>
        </is>
      </c>
      <c r="I23" s="19">
        <f>IFERROR(INDEX(계정과목!$B$5:$B$78,MATCH(H23,계정과목!$A$5:$A$78,0)),"계정 없음")</f>
        <v/>
      </c>
      <c r="J23" s="14" t="inlineStr">
        <is>
          <t>S</t>
        </is>
      </c>
      <c r="K23" s="20" t="n">
        <v>8900</v>
      </c>
      <c r="L23" s="21">
        <f>IF(J23="S",K23,-K23)</f>
        <v/>
      </c>
      <c r="M23" s="15" t="inlineStr">
        <is>
          <t>채권·대출 이자 발생 (경과이자)</t>
        </is>
      </c>
    </row>
    <row r="24">
      <c r="A24" s="16">
        <f>안내!$B$5</f>
        <v/>
      </c>
      <c r="B24" s="14" t="inlineStr">
        <is>
          <t>100000010</t>
        </is>
      </c>
      <c r="C24" s="16">
        <f>안내!$B$8</f>
        <v/>
      </c>
      <c r="D24" s="17">
        <f>TEXT(MONTH(E24),"000")</f>
        <v/>
      </c>
      <c r="E24" s="18" t="n">
        <v>46295</v>
      </c>
      <c r="F24" s="14" t="inlineStr">
        <is>
          <t>SA</t>
        </is>
      </c>
      <c r="G24" s="14" t="inlineStr">
        <is>
          <t>002</t>
        </is>
      </c>
      <c r="H24" s="14" t="inlineStr">
        <is>
          <t>42101000</t>
        </is>
      </c>
      <c r="I24" s="19">
        <f>IFERROR(INDEX(계정과목!$B$5:$B$78,MATCH(H24,계정과목!$A$5:$A$78,0)),"계정 없음")</f>
        <v/>
      </c>
      <c r="J24" s="14" t="inlineStr">
        <is>
          <t>H</t>
        </is>
      </c>
      <c r="K24" s="20" t="n">
        <v>8900</v>
      </c>
      <c r="L24" s="21">
        <f>IF(J24="S",K24,-K24)</f>
        <v/>
      </c>
      <c r="M24" s="15" t="inlineStr">
        <is>
          <t>채권·대출 이자 발생 (경과이자)</t>
        </is>
      </c>
    </row>
    <row r="25">
      <c r="A25" s="16">
        <f>안내!$B$5</f>
        <v/>
      </c>
      <c r="B25" s="14" t="inlineStr">
        <is>
          <t>100000011</t>
        </is>
      </c>
      <c r="C25" s="16">
        <f>안내!$B$8</f>
        <v/>
      </c>
      <c r="D25" s="17">
        <f>TEXT(MONTH(E25),"000")</f>
        <v/>
      </c>
      <c r="E25" s="18" t="n">
        <v>46275</v>
      </c>
      <c r="F25" s="14" t="inlineStr">
        <is>
          <t>SA</t>
        </is>
      </c>
      <c r="G25" s="14" t="inlineStr">
        <is>
          <t>001</t>
        </is>
      </c>
      <c r="H25" s="14" t="inlineStr">
        <is>
          <t>10101000</t>
        </is>
      </c>
      <c r="I25" s="19">
        <f>IFERROR(INDEX(계정과목!$B$5:$B$78,MATCH(H25,계정과목!$A$5:$A$78,0)),"계정 없음")</f>
        <v/>
      </c>
      <c r="J25" s="14" t="inlineStr">
        <is>
          <t>S</t>
        </is>
      </c>
      <c r="K25" s="20" t="n">
        <v>6200</v>
      </c>
      <c r="L25" s="21">
        <f>IF(J25="S",K25,-K25)</f>
        <v/>
      </c>
      <c r="M25" s="15" t="inlineStr">
        <is>
          <t>이표 이자 수취</t>
        </is>
      </c>
    </row>
    <row r="26">
      <c r="A26" s="16">
        <f>안내!$B$5</f>
        <v/>
      </c>
      <c r="B26" s="14" t="inlineStr">
        <is>
          <t>100000011</t>
        </is>
      </c>
      <c r="C26" s="16">
        <f>안내!$B$8</f>
        <v/>
      </c>
      <c r="D26" s="17">
        <f>TEXT(MONTH(E26),"000")</f>
        <v/>
      </c>
      <c r="E26" s="18" t="n">
        <v>46275</v>
      </c>
      <c r="F26" s="14" t="inlineStr">
        <is>
          <t>SA</t>
        </is>
      </c>
      <c r="G26" s="14" t="inlineStr">
        <is>
          <t>002</t>
        </is>
      </c>
      <c r="H26" s="14" t="inlineStr">
        <is>
          <t>11601000</t>
        </is>
      </c>
      <c r="I26" s="19">
        <f>IFERROR(INDEX(계정과목!$B$5:$B$78,MATCH(H26,계정과목!$A$5:$A$78,0)),"계정 없음")</f>
        <v/>
      </c>
      <c r="J26" s="14" t="inlineStr">
        <is>
          <t>H</t>
        </is>
      </c>
      <c r="K26" s="20" t="n">
        <v>6200</v>
      </c>
      <c r="L26" s="21">
        <f>IF(J26="S",K26,-K26)</f>
        <v/>
      </c>
      <c r="M26" s="15" t="inlineStr">
        <is>
          <t>이표 이자 수취</t>
        </is>
      </c>
    </row>
    <row r="27">
      <c r="A27" s="16">
        <f>안내!$B$5</f>
        <v/>
      </c>
      <c r="B27" s="14" t="inlineStr">
        <is>
          <t>100000012</t>
        </is>
      </c>
      <c r="C27" s="16">
        <f>안내!$B$8</f>
        <v/>
      </c>
      <c r="D27" s="17">
        <f>TEXT(MONTH(E27),"000")</f>
        <v/>
      </c>
      <c r="E27" s="18" t="n">
        <v>46270</v>
      </c>
      <c r="F27" s="14" t="inlineStr">
        <is>
          <t>SA</t>
        </is>
      </c>
      <c r="G27" s="14" t="inlineStr">
        <is>
          <t>001</t>
        </is>
      </c>
      <c r="H27" s="14" t="inlineStr">
        <is>
          <t>11201000</t>
        </is>
      </c>
      <c r="I27" s="19">
        <f>IFERROR(INDEX(계정과목!$B$5:$B$78,MATCH(H27,계정과목!$A$5:$A$78,0)),"계정 없음")</f>
        <v/>
      </c>
      <c r="J27" s="14" t="inlineStr">
        <is>
          <t>S</t>
        </is>
      </c>
      <c r="K27" s="20" t="n">
        <v>199400</v>
      </c>
      <c r="L27" s="21">
        <f>IF(J27="S",K27,-K27)</f>
        <v/>
      </c>
      <c r="M27" s="15" t="inlineStr">
        <is>
          <t>공사채 A 매입 (P0008)</t>
        </is>
      </c>
    </row>
    <row r="28">
      <c r="A28" s="16">
        <f>안내!$B$5</f>
        <v/>
      </c>
      <c r="B28" s="14" t="inlineStr">
        <is>
          <t>100000012</t>
        </is>
      </c>
      <c r="C28" s="16">
        <f>안내!$B$8</f>
        <v/>
      </c>
      <c r="D28" s="17">
        <f>TEXT(MONTH(E28),"000")</f>
        <v/>
      </c>
      <c r="E28" s="18" t="n">
        <v>46270</v>
      </c>
      <c r="F28" s="14" t="inlineStr">
        <is>
          <t>SA</t>
        </is>
      </c>
      <c r="G28" s="14" t="inlineStr">
        <is>
          <t>002</t>
        </is>
      </c>
      <c r="H28" s="14" t="inlineStr">
        <is>
          <t>10101000</t>
        </is>
      </c>
      <c r="I28" s="19">
        <f>IFERROR(INDEX(계정과목!$B$5:$B$78,MATCH(H28,계정과목!$A$5:$A$78,0)),"계정 없음")</f>
        <v/>
      </c>
      <c r="J28" s="14" t="inlineStr">
        <is>
          <t>H</t>
        </is>
      </c>
      <c r="K28" s="20" t="n">
        <v>199400</v>
      </c>
      <c r="L28" s="21">
        <f>IF(J28="S",K28,-K28)</f>
        <v/>
      </c>
      <c r="M28" s="15" t="inlineStr">
        <is>
          <t>공사채 A 매입 (P0008)</t>
        </is>
      </c>
    </row>
    <row r="29">
      <c r="A29" s="16">
        <f>안내!$B$5</f>
        <v/>
      </c>
      <c r="B29" s="14" t="inlineStr">
        <is>
          <t>100000013</t>
        </is>
      </c>
      <c r="C29" s="16">
        <f>안내!$B$8</f>
        <v/>
      </c>
      <c r="D29" s="17">
        <f>TEXT(MONTH(E29),"000")</f>
        <v/>
      </c>
      <c r="E29" s="18" t="n">
        <v>46295</v>
      </c>
      <c r="F29" s="14" t="inlineStr">
        <is>
          <t>SA</t>
        </is>
      </c>
      <c r="G29" s="14" t="inlineStr">
        <is>
          <t>001</t>
        </is>
      </c>
      <c r="H29" s="14" t="inlineStr">
        <is>
          <t>11101000</t>
        </is>
      </c>
      <c r="I29" s="19">
        <f>IFERROR(INDEX(계정과목!$B$5:$B$78,MATCH(H29,계정과목!$A$5:$A$78,0)),"계정 없음")</f>
        <v/>
      </c>
      <c r="J29" s="14" t="inlineStr">
        <is>
          <t>S</t>
        </is>
      </c>
      <c r="K29" s="20" t="n">
        <v>4300</v>
      </c>
      <c r="L29" s="21">
        <f>IF(J29="S",K29,-K29)</f>
        <v/>
      </c>
      <c r="M29" s="15" t="inlineStr">
        <is>
          <t>FVPL 주식 평가이익</t>
        </is>
      </c>
    </row>
    <row r="30">
      <c r="A30" s="16">
        <f>안내!$B$5</f>
        <v/>
      </c>
      <c r="B30" s="14" t="inlineStr">
        <is>
          <t>100000013</t>
        </is>
      </c>
      <c r="C30" s="16">
        <f>안내!$B$8</f>
        <v/>
      </c>
      <c r="D30" s="17">
        <f>TEXT(MONTH(E30),"000")</f>
        <v/>
      </c>
      <c r="E30" s="18" t="n">
        <v>46295</v>
      </c>
      <c r="F30" s="14" t="inlineStr">
        <is>
          <t>SA</t>
        </is>
      </c>
      <c r="G30" s="14" t="inlineStr">
        <is>
          <t>002</t>
        </is>
      </c>
      <c r="H30" s="14" t="inlineStr">
        <is>
          <t>42202000</t>
        </is>
      </c>
      <c r="I30" s="19">
        <f>IFERROR(INDEX(계정과목!$B$5:$B$78,MATCH(H30,계정과목!$A$5:$A$78,0)),"계정 없음")</f>
        <v/>
      </c>
      <c r="J30" s="14" t="inlineStr">
        <is>
          <t>H</t>
        </is>
      </c>
      <c r="K30" s="20" t="n">
        <v>4300</v>
      </c>
      <c r="L30" s="21">
        <f>IF(J30="S",K30,-K30)</f>
        <v/>
      </c>
      <c r="M30" s="15" t="inlineStr">
        <is>
          <t>FVPL 주식 평가이익</t>
        </is>
      </c>
    </row>
    <row r="31">
      <c r="A31" s="16">
        <f>안내!$B$5</f>
        <v/>
      </c>
      <c r="B31" s="14" t="inlineStr">
        <is>
          <t>100000014</t>
        </is>
      </c>
      <c r="C31" s="16">
        <f>안내!$B$8</f>
        <v/>
      </c>
      <c r="D31" s="17">
        <f>TEXT(MONTH(E31),"000")</f>
        <v/>
      </c>
      <c r="E31" s="18" t="n">
        <v>46295</v>
      </c>
      <c r="F31" s="14" t="inlineStr">
        <is>
          <t>SA</t>
        </is>
      </c>
      <c r="G31" s="14" t="inlineStr">
        <is>
          <t>001</t>
        </is>
      </c>
      <c r="H31" s="14" t="inlineStr">
        <is>
          <t>52202000</t>
        </is>
      </c>
      <c r="I31" s="19">
        <f>IFERROR(INDEX(계정과목!$B$5:$B$78,MATCH(H31,계정과목!$A$5:$A$78,0)),"계정 없음")</f>
        <v/>
      </c>
      <c r="J31" s="14" t="inlineStr">
        <is>
          <t>S</t>
        </is>
      </c>
      <c r="K31" s="20" t="n">
        <v>1200</v>
      </c>
      <c r="L31" s="21">
        <f>IF(J31="S",K31,-K31)</f>
        <v/>
      </c>
      <c r="M31" s="15" t="inlineStr">
        <is>
          <t>FVPL 수익증권 평가손실</t>
        </is>
      </c>
    </row>
    <row r="32">
      <c r="A32" s="16">
        <f>안내!$B$5</f>
        <v/>
      </c>
      <c r="B32" s="14" t="inlineStr">
        <is>
          <t>100000014</t>
        </is>
      </c>
      <c r="C32" s="16">
        <f>안내!$B$8</f>
        <v/>
      </c>
      <c r="D32" s="17">
        <f>TEXT(MONTH(E32),"000")</f>
        <v/>
      </c>
      <c r="E32" s="18" t="n">
        <v>46295</v>
      </c>
      <c r="F32" s="14" t="inlineStr">
        <is>
          <t>SA</t>
        </is>
      </c>
      <c r="G32" s="14" t="inlineStr">
        <is>
          <t>002</t>
        </is>
      </c>
      <c r="H32" s="14" t="inlineStr">
        <is>
          <t>11102000</t>
        </is>
      </c>
      <c r="I32" s="19">
        <f>IFERROR(INDEX(계정과목!$B$5:$B$78,MATCH(H32,계정과목!$A$5:$A$78,0)),"계정 없음")</f>
        <v/>
      </c>
      <c r="J32" s="14" t="inlineStr">
        <is>
          <t>H</t>
        </is>
      </c>
      <c r="K32" s="20" t="n">
        <v>1200</v>
      </c>
      <c r="L32" s="21">
        <f>IF(J32="S",K32,-K32)</f>
        <v/>
      </c>
      <c r="M32" s="15" t="inlineStr">
        <is>
          <t>FVPL 수익증권 평가손실</t>
        </is>
      </c>
    </row>
    <row r="33">
      <c r="A33" s="16">
        <f>안내!$B$5</f>
        <v/>
      </c>
      <c r="B33" s="14" t="inlineStr">
        <is>
          <t>100000015</t>
        </is>
      </c>
      <c r="C33" s="16">
        <f>안내!$B$8</f>
        <v/>
      </c>
      <c r="D33" s="17">
        <f>TEXT(MONTH(E33),"000")</f>
        <v/>
      </c>
      <c r="E33" s="18" t="n">
        <v>46295</v>
      </c>
      <c r="F33" s="14" t="inlineStr">
        <is>
          <t>SA</t>
        </is>
      </c>
      <c r="G33" s="14" t="inlineStr">
        <is>
          <t>001</t>
        </is>
      </c>
      <c r="H33" s="14" t="inlineStr">
        <is>
          <t>31401000</t>
        </is>
      </c>
      <c r="I33" s="19">
        <f>IFERROR(INDEX(계정과목!$B$5:$B$78,MATCH(H33,계정과목!$A$5:$A$78,0)),"계정 없음")</f>
        <v/>
      </c>
      <c r="J33" s="14" t="inlineStr">
        <is>
          <t>S</t>
        </is>
      </c>
      <c r="K33" s="20" t="n">
        <v>5800</v>
      </c>
      <c r="L33" s="21">
        <f>IF(J33="S",K33,-K33)</f>
        <v/>
      </c>
      <c r="M33" s="15" t="inlineStr">
        <is>
          <t>FVOCI 국공채 평가손실 (금리 상승)</t>
        </is>
      </c>
    </row>
    <row r="34">
      <c r="A34" s="16">
        <f>안내!$B$5</f>
        <v/>
      </c>
      <c r="B34" s="14" t="inlineStr">
        <is>
          <t>100000015</t>
        </is>
      </c>
      <c r="C34" s="16">
        <f>안내!$B$8</f>
        <v/>
      </c>
      <c r="D34" s="17">
        <f>TEXT(MONTH(E34),"000")</f>
        <v/>
      </c>
      <c r="E34" s="18" t="n">
        <v>46295</v>
      </c>
      <c r="F34" s="14" t="inlineStr">
        <is>
          <t>SA</t>
        </is>
      </c>
      <c r="G34" s="14" t="inlineStr">
        <is>
          <t>002</t>
        </is>
      </c>
      <c r="H34" s="14" t="inlineStr">
        <is>
          <t>11201000</t>
        </is>
      </c>
      <c r="I34" s="19">
        <f>IFERROR(INDEX(계정과목!$B$5:$B$78,MATCH(H34,계정과목!$A$5:$A$78,0)),"계정 없음")</f>
        <v/>
      </c>
      <c r="J34" s="14" t="inlineStr">
        <is>
          <t>H</t>
        </is>
      </c>
      <c r="K34" s="20" t="n">
        <v>5800</v>
      </c>
      <c r="L34" s="21">
        <f>IF(J34="S",K34,-K34)</f>
        <v/>
      </c>
      <c r="M34" s="15" t="inlineStr">
        <is>
          <t>FVOCI 국공채 평가손실 (금리 상승)</t>
        </is>
      </c>
    </row>
    <row r="35">
      <c r="A35" s="16">
        <f>안내!$B$5</f>
        <v/>
      </c>
      <c r="B35" s="14" t="inlineStr">
        <is>
          <t>100000016</t>
        </is>
      </c>
      <c r="C35" s="16">
        <f>안내!$B$8</f>
        <v/>
      </c>
      <c r="D35" s="17">
        <f>TEXT(MONTH(E35),"000")</f>
        <v/>
      </c>
      <c r="E35" s="18" t="n">
        <v>46283</v>
      </c>
      <c r="F35" s="14" t="inlineStr">
        <is>
          <t>SA</t>
        </is>
      </c>
      <c r="G35" s="14" t="inlineStr">
        <is>
          <t>001</t>
        </is>
      </c>
      <c r="H35" s="14" t="inlineStr">
        <is>
          <t>10101000</t>
        </is>
      </c>
      <c r="I35" s="19">
        <f>IFERROR(INDEX(계정과목!$B$5:$B$78,MATCH(H35,계정과목!$A$5:$A$78,0)),"계정 없음")</f>
        <v/>
      </c>
      <c r="J35" s="14" t="inlineStr">
        <is>
          <t>S</t>
        </is>
      </c>
      <c r="K35" s="20" t="n">
        <v>50000</v>
      </c>
      <c r="L35" s="21">
        <f>IF(J35="S",K35,-K35)</f>
        <v/>
      </c>
      <c r="M35" s="15" t="inlineStr">
        <is>
          <t>회사채 처분 - 장부금액 제거</t>
        </is>
      </c>
    </row>
    <row r="36">
      <c r="A36" s="16">
        <f>안내!$B$5</f>
        <v/>
      </c>
      <c r="B36" s="14" t="inlineStr">
        <is>
          <t>100000016</t>
        </is>
      </c>
      <c r="C36" s="16">
        <f>안내!$B$8</f>
        <v/>
      </c>
      <c r="D36" s="17">
        <f>TEXT(MONTH(E36),"000")</f>
        <v/>
      </c>
      <c r="E36" s="18" t="n">
        <v>46283</v>
      </c>
      <c r="F36" s="14" t="inlineStr">
        <is>
          <t>SA</t>
        </is>
      </c>
      <c r="G36" s="14" t="inlineStr">
        <is>
          <t>002</t>
        </is>
      </c>
      <c r="H36" s="14" t="inlineStr">
        <is>
          <t>11202000</t>
        </is>
      </c>
      <c r="I36" s="19">
        <f>IFERROR(INDEX(계정과목!$B$5:$B$78,MATCH(H36,계정과목!$A$5:$A$78,0)),"계정 없음")</f>
        <v/>
      </c>
      <c r="J36" s="14" t="inlineStr">
        <is>
          <t>H</t>
        </is>
      </c>
      <c r="K36" s="20" t="n">
        <v>50000</v>
      </c>
      <c r="L36" s="21">
        <f>IF(J36="S",K36,-K36)</f>
        <v/>
      </c>
      <c r="M36" s="15" t="inlineStr">
        <is>
          <t>회사채 처분 - 장부금액 제거</t>
        </is>
      </c>
    </row>
    <row r="37">
      <c r="A37" s="16">
        <f>안내!$B$5</f>
        <v/>
      </c>
      <c r="B37" s="14" t="inlineStr">
        <is>
          <t>100000017</t>
        </is>
      </c>
      <c r="C37" s="16">
        <f>안내!$B$8</f>
        <v/>
      </c>
      <c r="D37" s="17">
        <f>TEXT(MONTH(E37),"000")</f>
        <v/>
      </c>
      <c r="E37" s="18" t="n">
        <v>46283</v>
      </c>
      <c r="F37" s="14" t="inlineStr">
        <is>
          <t>SA</t>
        </is>
      </c>
      <c r="G37" s="14" t="inlineStr">
        <is>
          <t>001</t>
        </is>
      </c>
      <c r="H37" s="14" t="inlineStr">
        <is>
          <t>10101000</t>
        </is>
      </c>
      <c r="I37" s="19">
        <f>IFERROR(INDEX(계정과목!$B$5:$B$78,MATCH(H37,계정과목!$A$5:$A$78,0)),"계정 없음")</f>
        <v/>
      </c>
      <c r="J37" s="14" t="inlineStr">
        <is>
          <t>S</t>
        </is>
      </c>
      <c r="K37" s="20" t="n">
        <v>1200</v>
      </c>
      <c r="L37" s="21">
        <f>IF(J37="S",K37,-K37)</f>
        <v/>
      </c>
      <c r="M37" s="15" t="inlineStr">
        <is>
          <t>회사채 처분이익</t>
        </is>
      </c>
    </row>
    <row r="38">
      <c r="A38" s="16">
        <f>안내!$B$5</f>
        <v/>
      </c>
      <c r="B38" s="14" t="inlineStr">
        <is>
          <t>100000017</t>
        </is>
      </c>
      <c r="C38" s="16">
        <f>안내!$B$8</f>
        <v/>
      </c>
      <c r="D38" s="17">
        <f>TEXT(MONTH(E38),"000")</f>
        <v/>
      </c>
      <c r="E38" s="18" t="n">
        <v>46283</v>
      </c>
      <c r="F38" s="14" t="inlineStr">
        <is>
          <t>SA</t>
        </is>
      </c>
      <c r="G38" s="14" t="inlineStr">
        <is>
          <t>002</t>
        </is>
      </c>
      <c r="H38" s="14" t="inlineStr">
        <is>
          <t>42201000</t>
        </is>
      </c>
      <c r="I38" s="19">
        <f>IFERROR(INDEX(계정과목!$B$5:$B$78,MATCH(H38,계정과목!$A$5:$A$78,0)),"계정 없음")</f>
        <v/>
      </c>
      <c r="J38" s="14" t="inlineStr">
        <is>
          <t>H</t>
        </is>
      </c>
      <c r="K38" s="20" t="n">
        <v>1200</v>
      </c>
      <c r="L38" s="21">
        <f>IF(J38="S",K38,-K38)</f>
        <v/>
      </c>
      <c r="M38" s="15" t="inlineStr">
        <is>
          <t>회사채 처분이익</t>
        </is>
      </c>
    </row>
    <row r="39">
      <c r="A39" s="16">
        <f>안내!$B$5</f>
        <v/>
      </c>
      <c r="B39" s="14" t="inlineStr">
        <is>
          <t>100000018</t>
        </is>
      </c>
      <c r="C39" s="16">
        <f>안내!$B$8</f>
        <v/>
      </c>
      <c r="D39" s="17">
        <f>TEXT(MONTH(E39),"000")</f>
        <v/>
      </c>
      <c r="E39" s="18" t="n">
        <v>46295</v>
      </c>
      <c r="F39" s="14" t="inlineStr">
        <is>
          <t>SA</t>
        </is>
      </c>
      <c r="G39" s="14" t="inlineStr">
        <is>
          <t>001</t>
        </is>
      </c>
      <c r="H39" s="14" t="inlineStr">
        <is>
          <t>52301000</t>
        </is>
      </c>
      <c r="I39" s="19">
        <f>IFERROR(INDEX(계정과목!$B$5:$B$78,MATCH(H39,계정과목!$A$5:$A$78,0)),"계정 없음")</f>
        <v/>
      </c>
      <c r="J39" s="14" t="inlineStr">
        <is>
          <t>S</t>
        </is>
      </c>
      <c r="K39" s="20" t="n">
        <v>140</v>
      </c>
      <c r="L39" s="21">
        <f>IF(J39="S",K39,-K39)</f>
        <v/>
      </c>
      <c r="M39" s="15" t="inlineStr">
        <is>
          <t>대출채권 기대신용손실 추가 적립</t>
        </is>
      </c>
    </row>
    <row r="40">
      <c r="A40" s="16">
        <f>안내!$B$5</f>
        <v/>
      </c>
      <c r="B40" s="14" t="inlineStr">
        <is>
          <t>100000018</t>
        </is>
      </c>
      <c r="C40" s="16">
        <f>안내!$B$8</f>
        <v/>
      </c>
      <c r="D40" s="17">
        <f>TEXT(MONTH(E40),"000")</f>
        <v/>
      </c>
      <c r="E40" s="18" t="n">
        <v>46295</v>
      </c>
      <c r="F40" s="14" t="inlineStr">
        <is>
          <t>SA</t>
        </is>
      </c>
      <c r="G40" s="14" t="inlineStr">
        <is>
          <t>002</t>
        </is>
      </c>
      <c r="H40" s="14" t="inlineStr">
        <is>
          <t>11409000</t>
        </is>
      </c>
      <c r="I40" s="19">
        <f>IFERROR(INDEX(계정과목!$B$5:$B$78,MATCH(H40,계정과목!$A$5:$A$78,0)),"계정 없음")</f>
        <v/>
      </c>
      <c r="J40" s="14" t="inlineStr">
        <is>
          <t>H</t>
        </is>
      </c>
      <c r="K40" s="20" t="n">
        <v>140</v>
      </c>
      <c r="L40" s="21">
        <f>IF(J40="S",K40,-K40)</f>
        <v/>
      </c>
      <c r="M40" s="15" t="inlineStr">
        <is>
          <t>대출채권 기대신용손실 추가 적립</t>
        </is>
      </c>
    </row>
    <row r="41">
      <c r="A41" s="16">
        <f>안내!$B$5</f>
        <v/>
      </c>
      <c r="B41" s="14" t="inlineStr">
        <is>
          <t>100000019</t>
        </is>
      </c>
      <c r="C41" s="16">
        <f>안내!$B$8</f>
        <v/>
      </c>
      <c r="D41" s="17">
        <f>TEXT(MONTH(E41),"000")</f>
        <v/>
      </c>
      <c r="E41" s="18" t="n">
        <v>46290</v>
      </c>
      <c r="F41" s="14" t="inlineStr">
        <is>
          <t>SA</t>
        </is>
      </c>
      <c r="G41" s="14" t="inlineStr">
        <is>
          <t>001</t>
        </is>
      </c>
      <c r="H41" s="14" t="inlineStr">
        <is>
          <t>10101000</t>
        </is>
      </c>
      <c r="I41" s="19">
        <f>IFERROR(INDEX(계정과목!$B$5:$B$78,MATCH(H41,계정과목!$A$5:$A$78,0)),"계정 없음")</f>
        <v/>
      </c>
      <c r="J41" s="14" t="inlineStr">
        <is>
          <t>S</t>
        </is>
      </c>
      <c r="K41" s="20" t="n">
        <v>10000</v>
      </c>
      <c r="L41" s="21">
        <f>IF(J41="S",K41,-K41)</f>
        <v/>
      </c>
      <c r="M41" s="15" t="inlineStr">
        <is>
          <t>기업대출 원금 상환</t>
        </is>
      </c>
    </row>
    <row r="42">
      <c r="A42" s="16">
        <f>안내!$B$5</f>
        <v/>
      </c>
      <c r="B42" s="14" t="inlineStr">
        <is>
          <t>100000019</t>
        </is>
      </c>
      <c r="C42" s="16">
        <f>안내!$B$8</f>
        <v/>
      </c>
      <c r="D42" s="17">
        <f>TEXT(MONTH(E42),"000")</f>
        <v/>
      </c>
      <c r="E42" s="18" t="n">
        <v>46290</v>
      </c>
      <c r="F42" s="14" t="inlineStr">
        <is>
          <t>SA</t>
        </is>
      </c>
      <c r="G42" s="14" t="inlineStr">
        <is>
          <t>002</t>
        </is>
      </c>
      <c r="H42" s="14" t="inlineStr">
        <is>
          <t>11401000</t>
        </is>
      </c>
      <c r="I42" s="19">
        <f>IFERROR(INDEX(계정과목!$B$5:$B$78,MATCH(H42,계정과목!$A$5:$A$78,0)),"계정 없음")</f>
        <v/>
      </c>
      <c r="J42" s="14" t="inlineStr">
        <is>
          <t>H</t>
        </is>
      </c>
      <c r="K42" s="20" t="n">
        <v>10000</v>
      </c>
      <c r="L42" s="21">
        <f>IF(J42="S",K42,-K42)</f>
        <v/>
      </c>
      <c r="M42" s="15" t="inlineStr">
        <is>
          <t>기업대출 원금 상환</t>
        </is>
      </c>
    </row>
    <row r="43">
      <c r="A43" s="16">
        <f>안내!$B$5</f>
        <v/>
      </c>
      <c r="B43" s="14" t="inlineStr">
        <is>
          <t>100000020</t>
        </is>
      </c>
      <c r="C43" s="16">
        <f>안내!$B$8</f>
        <v/>
      </c>
      <c r="D43" s="17">
        <f>TEXT(MONTH(E43),"000")</f>
        <v/>
      </c>
      <c r="E43" s="18" t="n">
        <v>46295</v>
      </c>
      <c r="F43" s="14" t="inlineStr">
        <is>
          <t>SA</t>
        </is>
      </c>
      <c r="G43" s="14" t="inlineStr">
        <is>
          <t>001</t>
        </is>
      </c>
      <c r="H43" s="14" t="inlineStr">
        <is>
          <t>52501000</t>
        </is>
      </c>
      <c r="I43" s="19">
        <f>IFERROR(INDEX(계정과목!$B$5:$B$78,MATCH(H43,계정과목!$A$5:$A$78,0)),"계정 없음")</f>
        <v/>
      </c>
      <c r="J43" s="14" t="inlineStr">
        <is>
          <t>S</t>
        </is>
      </c>
      <c r="K43" s="20" t="n">
        <v>650</v>
      </c>
      <c r="L43" s="21">
        <f>IF(J43="S",K43,-K43)</f>
        <v/>
      </c>
      <c r="M43" s="15" t="inlineStr">
        <is>
          <t>투자부동산 감가상각</t>
        </is>
      </c>
    </row>
    <row r="44">
      <c r="A44" s="16">
        <f>안내!$B$5</f>
        <v/>
      </c>
      <c r="B44" s="14" t="inlineStr">
        <is>
          <t>100000020</t>
        </is>
      </c>
      <c r="C44" s="16">
        <f>안내!$B$8</f>
        <v/>
      </c>
      <c r="D44" s="17">
        <f>TEXT(MONTH(E44),"000")</f>
        <v/>
      </c>
      <c r="E44" s="18" t="n">
        <v>46295</v>
      </c>
      <c r="F44" s="14" t="inlineStr">
        <is>
          <t>SA</t>
        </is>
      </c>
      <c r="G44" s="14" t="inlineStr">
        <is>
          <t>002</t>
        </is>
      </c>
      <c r="H44" s="14" t="inlineStr">
        <is>
          <t>11501000</t>
        </is>
      </c>
      <c r="I44" s="19">
        <f>IFERROR(INDEX(계정과목!$B$5:$B$78,MATCH(H44,계정과목!$A$5:$A$78,0)),"계정 없음")</f>
        <v/>
      </c>
      <c r="J44" s="14" t="inlineStr">
        <is>
          <t>H</t>
        </is>
      </c>
      <c r="K44" s="20" t="n">
        <v>650</v>
      </c>
      <c r="L44" s="21">
        <f>IF(J44="S",K44,-K44)</f>
        <v/>
      </c>
      <c r="M44" s="15" t="inlineStr">
        <is>
          <t>투자부동산 감가상각</t>
        </is>
      </c>
    </row>
    <row r="45">
      <c r="A45" s="16">
        <f>안내!$B$5</f>
        <v/>
      </c>
      <c r="B45" s="14" t="inlineStr">
        <is>
          <t>100000021</t>
        </is>
      </c>
      <c r="C45" s="16">
        <f>안내!$B$8</f>
        <v/>
      </c>
      <c r="D45" s="17">
        <f>TEXT(MONTH(E45),"000")</f>
        <v/>
      </c>
      <c r="E45" s="18" t="n">
        <v>46270</v>
      </c>
      <c r="F45" s="14" t="inlineStr">
        <is>
          <t>SA</t>
        </is>
      </c>
      <c r="G45" s="14" t="inlineStr">
        <is>
          <t>001</t>
        </is>
      </c>
      <c r="H45" s="14" t="inlineStr">
        <is>
          <t>10101000</t>
        </is>
      </c>
      <c r="I45" s="19">
        <f>IFERROR(INDEX(계정과목!$B$5:$B$78,MATCH(H45,계정과목!$A$5:$A$78,0)),"계정 없음")</f>
        <v/>
      </c>
      <c r="J45" s="14" t="inlineStr">
        <is>
          <t>S</t>
        </is>
      </c>
      <c r="K45" s="20" t="n">
        <v>1450</v>
      </c>
      <c r="L45" s="21">
        <f>IF(J45="S",K45,-K45)</f>
        <v/>
      </c>
      <c r="M45" s="15" t="inlineStr">
        <is>
          <t>임대료 수취</t>
        </is>
      </c>
    </row>
    <row r="46">
      <c r="A46" s="16">
        <f>안내!$B$5</f>
        <v/>
      </c>
      <c r="B46" s="14" t="inlineStr">
        <is>
          <t>100000021</t>
        </is>
      </c>
      <c r="C46" s="16">
        <f>안내!$B$8</f>
        <v/>
      </c>
      <c r="D46" s="17">
        <f>TEXT(MONTH(E46),"000")</f>
        <v/>
      </c>
      <c r="E46" s="18" t="n">
        <v>46270</v>
      </c>
      <c r="F46" s="14" t="inlineStr">
        <is>
          <t>SA</t>
        </is>
      </c>
      <c r="G46" s="14" t="inlineStr">
        <is>
          <t>002</t>
        </is>
      </c>
      <c r="H46" s="14" t="inlineStr">
        <is>
          <t>42301000</t>
        </is>
      </c>
      <c r="I46" s="19">
        <f>IFERROR(INDEX(계정과목!$B$5:$B$78,MATCH(H46,계정과목!$A$5:$A$78,0)),"계정 없음")</f>
        <v/>
      </c>
      <c r="J46" s="14" t="inlineStr">
        <is>
          <t>H</t>
        </is>
      </c>
      <c r="K46" s="20" t="n">
        <v>1450</v>
      </c>
      <c r="L46" s="21">
        <f>IF(J46="S",K46,-K46)</f>
        <v/>
      </c>
      <c r="M46" s="15" t="inlineStr">
        <is>
          <t>임대료 수취</t>
        </is>
      </c>
    </row>
    <row r="47">
      <c r="A47" s="16">
        <f>안내!$B$5</f>
        <v/>
      </c>
      <c r="B47" s="14" t="inlineStr">
        <is>
          <t>100000022</t>
        </is>
      </c>
      <c r="C47" s="16">
        <f>안내!$B$8</f>
        <v/>
      </c>
      <c r="D47" s="17">
        <f>TEXT(MONTH(E47),"000")</f>
        <v/>
      </c>
      <c r="E47" s="18" t="n">
        <v>46285</v>
      </c>
      <c r="F47" s="14" t="inlineStr">
        <is>
          <t>SA</t>
        </is>
      </c>
      <c r="G47" s="14" t="inlineStr">
        <is>
          <t>001</t>
        </is>
      </c>
      <c r="H47" s="14" t="inlineStr">
        <is>
          <t>10101000</t>
        </is>
      </c>
      <c r="I47" s="19">
        <f>IFERROR(INDEX(계정과목!$B$5:$B$78,MATCH(H47,계정과목!$A$5:$A$78,0)),"계정 없음")</f>
        <v/>
      </c>
      <c r="J47" s="14" t="inlineStr">
        <is>
          <t>S</t>
        </is>
      </c>
      <c r="K47" s="20" t="n">
        <v>900</v>
      </c>
      <c r="L47" s="21">
        <f>IF(J47="S",K47,-K47)</f>
        <v/>
      </c>
      <c r="M47" s="15" t="inlineStr">
        <is>
          <t>배당금 수취</t>
        </is>
      </c>
    </row>
    <row r="48">
      <c r="A48" s="16">
        <f>안내!$B$5</f>
        <v/>
      </c>
      <c r="B48" s="14" t="inlineStr">
        <is>
          <t>100000022</t>
        </is>
      </c>
      <c r="C48" s="16">
        <f>안내!$B$8</f>
        <v/>
      </c>
      <c r="D48" s="17">
        <f>TEXT(MONTH(E48),"000")</f>
        <v/>
      </c>
      <c r="E48" s="18" t="n">
        <v>46285</v>
      </c>
      <c r="F48" s="14" t="inlineStr">
        <is>
          <t>SA</t>
        </is>
      </c>
      <c r="G48" s="14" t="inlineStr">
        <is>
          <t>002</t>
        </is>
      </c>
      <c r="H48" s="14" t="inlineStr">
        <is>
          <t>42102000</t>
        </is>
      </c>
      <c r="I48" s="19">
        <f>IFERROR(INDEX(계정과목!$B$5:$B$78,MATCH(H48,계정과목!$A$5:$A$78,0)),"계정 없음")</f>
        <v/>
      </c>
      <c r="J48" s="14" t="inlineStr">
        <is>
          <t>H</t>
        </is>
      </c>
      <c r="K48" s="20" t="n">
        <v>900</v>
      </c>
      <c r="L48" s="21">
        <f>IF(J48="S",K48,-K48)</f>
        <v/>
      </c>
      <c r="M48" s="15" t="inlineStr">
        <is>
          <t>배당금 수취</t>
        </is>
      </c>
    </row>
    <row r="49">
      <c r="A49" s="16">
        <f>안내!$B$5</f>
        <v/>
      </c>
      <c r="B49" s="14" t="inlineStr">
        <is>
          <t>100000023</t>
        </is>
      </c>
      <c r="C49" s="16">
        <f>안내!$B$8</f>
        <v/>
      </c>
      <c r="D49" s="17">
        <f>TEXT(MONTH(E49),"000")</f>
        <v/>
      </c>
      <c r="E49" s="18" t="n">
        <v>46295</v>
      </c>
      <c r="F49" s="14" t="inlineStr">
        <is>
          <t>SA</t>
        </is>
      </c>
      <c r="G49" s="14" t="inlineStr">
        <is>
          <t>001</t>
        </is>
      </c>
      <c r="H49" s="14" t="inlineStr">
        <is>
          <t>52401000</t>
        </is>
      </c>
      <c r="I49" s="19">
        <f>IFERROR(INDEX(계정과목!$B$5:$B$78,MATCH(H49,계정과목!$A$5:$A$78,0)),"계정 없음")</f>
        <v/>
      </c>
      <c r="J49" s="14" t="inlineStr">
        <is>
          <t>S</t>
        </is>
      </c>
      <c r="K49" s="20" t="n">
        <v>320</v>
      </c>
      <c r="L49" s="21">
        <f>IF(J49="S",K49,-K49)</f>
        <v/>
      </c>
      <c r="M49" s="15" t="inlineStr">
        <is>
          <t>후순위채 이자비용 발생</t>
        </is>
      </c>
    </row>
    <row r="50">
      <c r="A50" s="16">
        <f>안내!$B$5</f>
        <v/>
      </c>
      <c r="B50" s="14" t="inlineStr">
        <is>
          <t>100000023</t>
        </is>
      </c>
      <c r="C50" s="16">
        <f>안내!$B$8</f>
        <v/>
      </c>
      <c r="D50" s="17">
        <f>TEXT(MONTH(E50),"000")</f>
        <v/>
      </c>
      <c r="E50" s="18" t="n">
        <v>46295</v>
      </c>
      <c r="F50" s="14" t="inlineStr">
        <is>
          <t>SA</t>
        </is>
      </c>
      <c r="G50" s="14" t="inlineStr">
        <is>
          <t>002</t>
        </is>
      </c>
      <c r="H50" s="14" t="inlineStr">
        <is>
          <t>22201000</t>
        </is>
      </c>
      <c r="I50" s="19">
        <f>IFERROR(INDEX(계정과목!$B$5:$B$78,MATCH(H50,계정과목!$A$5:$A$78,0)),"계정 없음")</f>
        <v/>
      </c>
      <c r="J50" s="14" t="inlineStr">
        <is>
          <t>H</t>
        </is>
      </c>
      <c r="K50" s="20" t="n">
        <v>320</v>
      </c>
      <c r="L50" s="21">
        <f>IF(J50="S",K50,-K50)</f>
        <v/>
      </c>
      <c r="M50" s="15" t="inlineStr">
        <is>
          <t>후순위채 이자비용 발생</t>
        </is>
      </c>
    </row>
    <row r="51">
      <c r="A51" s="16">
        <f>안내!$B$5</f>
        <v/>
      </c>
      <c r="B51" s="14" t="inlineStr">
        <is>
          <t>100000024</t>
        </is>
      </c>
      <c r="C51" s="16">
        <f>안내!$B$8</f>
        <v/>
      </c>
      <c r="D51" s="17">
        <f>TEXT(MONTH(E51),"000")</f>
        <v/>
      </c>
      <c r="E51" s="18" t="n">
        <v>46295</v>
      </c>
      <c r="F51" s="14" t="inlineStr">
        <is>
          <t>SA</t>
        </is>
      </c>
      <c r="G51" s="14" t="inlineStr">
        <is>
          <t>001</t>
        </is>
      </c>
      <c r="H51" s="14" t="inlineStr">
        <is>
          <t>11301000</t>
        </is>
      </c>
      <c r="I51" s="19">
        <f>IFERROR(INDEX(계정과목!$B$5:$B$78,MATCH(H51,계정과목!$A$5:$A$78,0)),"계정 없음")</f>
        <v/>
      </c>
      <c r="J51" s="14" t="inlineStr">
        <is>
          <t>S</t>
        </is>
      </c>
      <c r="K51" s="20" t="n">
        <v>410</v>
      </c>
      <c r="L51" s="21">
        <f>IF(J51="S",K51,-K51)</f>
        <v/>
      </c>
      <c r="M51" s="15" t="inlineStr">
        <is>
          <t>AC 채권 할인 상각 (유효이자)</t>
        </is>
      </c>
    </row>
    <row r="52">
      <c r="A52" s="16">
        <f>안내!$B$5</f>
        <v/>
      </c>
      <c r="B52" s="14" t="inlineStr">
        <is>
          <t>100000024</t>
        </is>
      </c>
      <c r="C52" s="16">
        <f>안내!$B$8</f>
        <v/>
      </c>
      <c r="D52" s="17">
        <f>TEXT(MONTH(E52),"000")</f>
        <v/>
      </c>
      <c r="E52" s="18" t="n">
        <v>46295</v>
      </c>
      <c r="F52" s="14" t="inlineStr">
        <is>
          <t>SA</t>
        </is>
      </c>
      <c r="G52" s="14" t="inlineStr">
        <is>
          <t>002</t>
        </is>
      </c>
      <c r="H52" s="14" t="inlineStr">
        <is>
          <t>42101000</t>
        </is>
      </c>
      <c r="I52" s="19">
        <f>IFERROR(INDEX(계정과목!$B$5:$B$78,MATCH(H52,계정과목!$A$5:$A$78,0)),"계정 없음")</f>
        <v/>
      </c>
      <c r="J52" s="14" t="inlineStr">
        <is>
          <t>H</t>
        </is>
      </c>
      <c r="K52" s="20" t="n">
        <v>410</v>
      </c>
      <c r="L52" s="21">
        <f>IF(J52="S",K52,-K52)</f>
        <v/>
      </c>
      <c r="M52" s="15" t="inlineStr">
        <is>
          <t>AC 채권 할인 상각 (유효이자)</t>
        </is>
      </c>
    </row>
    <row r="53">
      <c r="A53" s="16">
        <f>안내!$B$5</f>
        <v/>
      </c>
      <c r="B53" s="14" t="inlineStr">
        <is>
          <t>100000025</t>
        </is>
      </c>
      <c r="C53" s="16">
        <f>안내!$B$8</f>
        <v/>
      </c>
      <c r="D53" s="17">
        <f>TEXT(MONTH(E53),"000")</f>
        <v/>
      </c>
      <c r="E53" s="18" t="n">
        <v>46295</v>
      </c>
      <c r="F53" s="14" t="inlineStr">
        <is>
          <t>SA</t>
        </is>
      </c>
      <c r="G53" s="14" t="inlineStr">
        <is>
          <t>001</t>
        </is>
      </c>
      <c r="H53" s="14" t="inlineStr">
        <is>
          <t>53101000</t>
        </is>
      </c>
      <c r="I53" s="19">
        <f>IFERROR(INDEX(계정과목!$B$5:$B$78,MATCH(H53,계정과목!$A$5:$A$78,0)),"계정 없음")</f>
        <v/>
      </c>
      <c r="J53" s="14" t="inlineStr">
        <is>
          <t>S</t>
        </is>
      </c>
      <c r="K53" s="20" t="n">
        <v>2100</v>
      </c>
      <c r="L53" s="21">
        <f>IF(J53="S",K53,-K53)</f>
        <v/>
      </c>
      <c r="M53" s="15" t="inlineStr">
        <is>
          <t>법인세비용 (월할)</t>
        </is>
      </c>
    </row>
    <row r="54">
      <c r="A54" s="16">
        <f>안내!$B$5</f>
        <v/>
      </c>
      <c r="B54" s="14" t="inlineStr">
        <is>
          <t>100000025</t>
        </is>
      </c>
      <c r="C54" s="16">
        <f>안내!$B$8</f>
        <v/>
      </c>
      <c r="D54" s="17">
        <f>TEXT(MONTH(E54),"000")</f>
        <v/>
      </c>
      <c r="E54" s="18" t="n">
        <v>46295</v>
      </c>
      <c r="F54" s="14" t="inlineStr">
        <is>
          <t>SA</t>
        </is>
      </c>
      <c r="G54" s="14" t="inlineStr">
        <is>
          <t>002</t>
        </is>
      </c>
      <c r="H54" s="14" t="inlineStr">
        <is>
          <t>22301000</t>
        </is>
      </c>
      <c r="I54" s="19">
        <f>IFERROR(INDEX(계정과목!$B$5:$B$78,MATCH(H54,계정과목!$A$5:$A$78,0)),"계정 없음")</f>
        <v/>
      </c>
      <c r="J54" s="14" t="inlineStr">
        <is>
          <t>H</t>
        </is>
      </c>
      <c r="K54" s="20" t="n">
        <v>2100</v>
      </c>
      <c r="L54" s="21">
        <f>IF(J54="S",K54,-K54)</f>
        <v/>
      </c>
      <c r="M54" s="15" t="inlineStr">
        <is>
          <t>법인세비용 (월할)</t>
        </is>
      </c>
    </row>
    <row r="55">
      <c r="A55" s="16">
        <f>안내!$B$5</f>
        <v/>
      </c>
      <c r="B55" s="14" t="inlineStr">
        <is>
          <t>100000026</t>
        </is>
      </c>
      <c r="C55" s="16">
        <f>안내!$B$8</f>
        <v/>
      </c>
      <c r="D55" s="17">
        <f>TEXT(MONTH(E55),"000")</f>
        <v/>
      </c>
      <c r="E55" s="18" t="n">
        <v>46293</v>
      </c>
      <c r="F55" s="14" t="inlineStr">
        <is>
          <t>SA</t>
        </is>
      </c>
      <c r="G55" s="14" t="inlineStr">
        <is>
          <t>001</t>
        </is>
      </c>
      <c r="H55" s="14" t="inlineStr">
        <is>
          <t>22201000</t>
        </is>
      </c>
      <c r="I55" s="19">
        <f>IFERROR(INDEX(계정과목!$B$5:$B$78,MATCH(H55,계정과목!$A$5:$A$78,0)),"계정 없음")</f>
        <v/>
      </c>
      <c r="J55" s="14" t="inlineStr">
        <is>
          <t>S</t>
        </is>
      </c>
      <c r="K55" s="20" t="n">
        <v>8000</v>
      </c>
      <c r="L55" s="21">
        <f>IF(J55="S",K55,-K55)</f>
        <v/>
      </c>
      <c r="M55" s="15" t="inlineStr">
        <is>
          <t>미지급비용 지급</t>
        </is>
      </c>
    </row>
    <row r="56">
      <c r="A56" s="16">
        <f>안내!$B$5</f>
        <v/>
      </c>
      <c r="B56" s="14" t="inlineStr">
        <is>
          <t>100000026</t>
        </is>
      </c>
      <c r="C56" s="16">
        <f>안내!$B$8</f>
        <v/>
      </c>
      <c r="D56" s="17">
        <f>TEXT(MONTH(E56),"000")</f>
        <v/>
      </c>
      <c r="E56" s="18" t="n">
        <v>46293</v>
      </c>
      <c r="F56" s="14" t="inlineStr">
        <is>
          <t>SA</t>
        </is>
      </c>
      <c r="G56" s="14" t="inlineStr">
        <is>
          <t>002</t>
        </is>
      </c>
      <c r="H56" s="14" t="inlineStr">
        <is>
          <t>10101000</t>
        </is>
      </c>
      <c r="I56" s="19">
        <f>IFERROR(INDEX(계정과목!$B$5:$B$78,MATCH(H56,계정과목!$A$5:$A$78,0)),"계정 없음")</f>
        <v/>
      </c>
      <c r="J56" s="14" t="inlineStr">
        <is>
          <t>H</t>
        </is>
      </c>
      <c r="K56" s="20" t="n">
        <v>8000</v>
      </c>
      <c r="L56" s="21">
        <f>IF(J56="S",K56,-K56)</f>
        <v/>
      </c>
      <c r="M56" s="15" t="inlineStr">
        <is>
          <t>미지급비용 지급</t>
        </is>
      </c>
    </row>
    <row r="57">
      <c r="I57" s="22" t="inlineStr">
        <is>
          <t>합계</t>
        </is>
      </c>
      <c r="J57" s="23" t="inlineStr">
        <is>
          <t>차변</t>
        </is>
      </c>
      <c r="K57" s="24">
        <f>SUMIF(J5:J56,"S",K5:K56)</f>
        <v/>
      </c>
      <c r="L57" s="24">
        <f>SUM(L5:L56)</f>
        <v/>
      </c>
      <c r="M57" s="22">
        <f>IF(ABS(L57)&lt;0.5,"OK - 차대 일치","ERROR - 차대 불일치")</f>
        <v/>
      </c>
    </row>
    <row r="58">
      <c r="J58" s="23" t="inlineStr">
        <is>
          <t>대변</t>
        </is>
      </c>
      <c r="K58" s="24">
        <f>SUMIF(J5:J56,"H",K5:K56)</f>
        <v/>
      </c>
    </row>
    <row r="60">
      <c r="A60" s="13" t="inlineStr">
        <is>
          <t>※ 행을 추가할 때는 합계 행 위에 삽입하세요. 시산표는 이 시트의 5~1000행을 집계합니다.</t>
        </is>
      </c>
    </row>
  </sheetData>
  <autoFilter ref="A4:M56"/>
  <dataValidations count="1">
    <dataValidation sqref="J5:J56" showDropDown="0" showInputMessage="0" showErrorMessage="0" allowBlank="1" type="list">
      <formula1>"S,H"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7" customWidth="1" min="4" max="4"/>
    <col width="11" customWidth="1" min="5" max="5"/>
    <col width="34" customWidth="1" min="6" max="6"/>
    <col width="8" customWidth="1" min="7" max="7"/>
    <col width="7" customWidth="1" min="8" max="8"/>
    <col width="14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</cols>
  <sheetData>
    <row r="1">
      <c r="A1" s="1" t="inlineStr">
        <is>
          <t>합계잔액시산표 (Trial Balance)</t>
        </is>
      </c>
    </row>
    <row r="2">
      <c r="A2" s="2" t="inlineStr">
        <is>
          <t>SAP 대응: FAGLFLEXT / ACDOCA · T-code FAGLB03, S_ALR_87012277 · 부호: 차변 +, 대변 −</t>
        </is>
      </c>
    </row>
    <row r="3">
      <c r="A3" s="2">
        <f>"회사: "&amp;안내!$B$6&amp;" ("&amp;안내!$B$5&amp;")   회계연도: "&amp;안내!$B$8&amp;"   기간: "&amp;안내!$B$9&amp;"   기준일: "&amp;TEXT(안내!$B$10,"yyyy-mm-dd")&amp;"   단위: "&amp;안내!$B$11</f>
        <v/>
      </c>
    </row>
    <row r="5" ht="32" customHeight="1">
      <c r="A5" s="7" t="inlineStr">
        <is>
          <t>회사코드
(RBUKRS)</t>
        </is>
      </c>
      <c r="B5" s="7" t="inlineStr">
        <is>
          <t>원장
(RLDNR)</t>
        </is>
      </c>
      <c r="C5" s="7" t="inlineStr">
        <is>
          <t>회계연도
(RYEAR)</t>
        </is>
      </c>
      <c r="D5" s="7" t="inlineStr">
        <is>
          <t>기간
(POPER)</t>
        </is>
      </c>
      <c r="E5" s="7" t="inlineStr">
        <is>
          <t>G/L 계정
(RACCT)</t>
        </is>
      </c>
      <c r="F5" s="7" t="inlineStr">
        <is>
          <t>계정명</t>
        </is>
      </c>
      <c r="G5" s="7" t="inlineStr">
        <is>
          <t>대분류</t>
        </is>
      </c>
      <c r="H5" s="7" t="inlineStr">
        <is>
          <t>BS/PL</t>
        </is>
      </c>
      <c r="I5" s="7" t="inlineStr">
        <is>
          <t>기초잔액
(전기말 누계)</t>
        </is>
      </c>
      <c r="J5" s="7" t="inlineStr">
        <is>
          <t>당기 차변</t>
        </is>
      </c>
      <c r="K5" s="7" t="inlineStr">
        <is>
          <t>당기 대변</t>
        </is>
      </c>
      <c r="L5" s="7" t="inlineStr">
        <is>
          <t>기말잔액
(차+/대−)</t>
        </is>
      </c>
      <c r="M5" s="7" t="inlineStr">
        <is>
          <t>차변잔액</t>
        </is>
      </c>
      <c r="N5" s="7" t="inlineStr">
        <is>
          <t>대변잔액</t>
        </is>
      </c>
    </row>
    <row r="6">
      <c r="A6" s="16">
        <f>안내!$B$5</f>
        <v/>
      </c>
      <c r="B6" s="16">
        <f>안내!$B$7</f>
        <v/>
      </c>
      <c r="C6" s="16">
        <f>안내!$B$8</f>
        <v/>
      </c>
      <c r="D6" s="16">
        <f>안내!$B$9</f>
        <v/>
      </c>
      <c r="E6" s="14" t="inlineStr">
        <is>
          <t>10101000</t>
        </is>
      </c>
      <c r="F6" s="19">
        <f>IFERROR(INDEX(계정과목!$B$5:$B$78,MATCH(E6,계정과목!$A$5:$A$78,0)),"계정 없음")</f>
        <v/>
      </c>
      <c r="G6" s="16">
        <f>IFERROR(INDEX(계정과목!$C$5:$C$78,MATCH(E6,계정과목!$A$5:$A$78,0)),"계정 없음")</f>
        <v/>
      </c>
      <c r="H6" s="16">
        <f>IFERROR(INDEX(계정과목!$E$5:$E$78,MATCH(E6,계정과목!$A$5:$A$78,0)),"계정 없음")</f>
        <v/>
      </c>
      <c r="I6" s="20" t="n">
        <v>168000</v>
      </c>
      <c r="J6" s="25">
        <f>SUMIFS(전표!$K$5:$K$1000,전표!$H$5:$H$1000,E6,전표!$J$5:$J$1000,"S")</f>
        <v/>
      </c>
      <c r="K6" s="25">
        <f>SUMIFS(전표!$K$5:$K$1000,전표!$H$5:$H$1000,E6,전표!$J$5:$J$1000,"H")</f>
        <v/>
      </c>
      <c r="L6" s="21">
        <f>I6+J6-K6</f>
        <v/>
      </c>
      <c r="M6" s="21">
        <f>MAX(L6,0)</f>
        <v/>
      </c>
      <c r="N6" s="21">
        <f>MAX(-L6,0)</f>
        <v/>
      </c>
    </row>
    <row r="7">
      <c r="A7" s="16">
        <f>안내!$B$5</f>
        <v/>
      </c>
      <c r="B7" s="16">
        <f>안내!$B$7</f>
        <v/>
      </c>
      <c r="C7" s="16">
        <f>안내!$B$8</f>
        <v/>
      </c>
      <c r="D7" s="16">
        <f>안내!$B$9</f>
        <v/>
      </c>
      <c r="E7" s="14" t="inlineStr">
        <is>
          <t>11101000</t>
        </is>
      </c>
      <c r="F7" s="19">
        <f>IFERROR(INDEX(계정과목!$B$5:$B$78,MATCH(E7,계정과목!$A$5:$A$78,0)),"계정 없음")</f>
        <v/>
      </c>
      <c r="G7" s="16">
        <f>IFERROR(INDEX(계정과목!$C$5:$C$78,MATCH(E7,계정과목!$A$5:$A$78,0)),"계정 없음")</f>
        <v/>
      </c>
      <c r="H7" s="16">
        <f>IFERROR(INDEX(계정과목!$E$5:$E$78,MATCH(E7,계정과목!$A$5:$A$78,0)),"계정 없음")</f>
        <v/>
      </c>
      <c r="I7" s="20" t="n">
        <v>131700</v>
      </c>
      <c r="J7" s="25">
        <f>SUMIFS(전표!$K$5:$K$1000,전표!$H$5:$H$1000,E7,전표!$J$5:$J$1000,"S")</f>
        <v/>
      </c>
      <c r="K7" s="25">
        <f>SUMIFS(전표!$K$5:$K$1000,전표!$H$5:$H$1000,E7,전표!$J$5:$J$1000,"H")</f>
        <v/>
      </c>
      <c r="L7" s="21">
        <f>I7+J7-K7</f>
        <v/>
      </c>
      <c r="M7" s="21">
        <f>MAX(L7,0)</f>
        <v/>
      </c>
      <c r="N7" s="21">
        <f>MAX(-L7,0)</f>
        <v/>
      </c>
    </row>
    <row r="8">
      <c r="A8" s="16">
        <f>안내!$B$5</f>
        <v/>
      </c>
      <c r="B8" s="16">
        <f>안내!$B$7</f>
        <v/>
      </c>
      <c r="C8" s="16">
        <f>안내!$B$8</f>
        <v/>
      </c>
      <c r="D8" s="16">
        <f>안내!$B$9</f>
        <v/>
      </c>
      <c r="E8" s="14" t="inlineStr">
        <is>
          <t>11102000</t>
        </is>
      </c>
      <c r="F8" s="19">
        <f>IFERROR(INDEX(계정과목!$B$5:$B$78,MATCH(E8,계정과목!$A$5:$A$78,0)),"계정 없음")</f>
        <v/>
      </c>
      <c r="G8" s="16">
        <f>IFERROR(INDEX(계정과목!$C$5:$C$78,MATCH(E8,계정과목!$A$5:$A$78,0)),"계정 없음")</f>
        <v/>
      </c>
      <c r="H8" s="16">
        <f>IFERROR(INDEX(계정과목!$E$5:$E$78,MATCH(E8,계정과목!$A$5:$A$78,0)),"계정 없음")</f>
        <v/>
      </c>
      <c r="I8" s="20" t="n">
        <v>275000</v>
      </c>
      <c r="J8" s="25">
        <f>SUMIFS(전표!$K$5:$K$1000,전표!$H$5:$H$1000,E8,전표!$J$5:$J$1000,"S")</f>
        <v/>
      </c>
      <c r="K8" s="25">
        <f>SUMIFS(전표!$K$5:$K$1000,전표!$H$5:$H$1000,E8,전표!$J$5:$J$1000,"H")</f>
        <v/>
      </c>
      <c r="L8" s="21">
        <f>I8+J8-K8</f>
        <v/>
      </c>
      <c r="M8" s="21">
        <f>MAX(L8,0)</f>
        <v/>
      </c>
      <c r="N8" s="21">
        <f>MAX(-L8,0)</f>
        <v/>
      </c>
    </row>
    <row r="9">
      <c r="A9" s="16">
        <f>안내!$B$5</f>
        <v/>
      </c>
      <c r="B9" s="16">
        <f>안내!$B$7</f>
        <v/>
      </c>
      <c r="C9" s="16">
        <f>안내!$B$8</f>
        <v/>
      </c>
      <c r="D9" s="16">
        <f>안내!$B$9</f>
        <v/>
      </c>
      <c r="E9" s="14" t="inlineStr">
        <is>
          <t>11201000</t>
        </is>
      </c>
      <c r="F9" s="19">
        <f>IFERROR(INDEX(계정과목!$B$5:$B$78,MATCH(E9,계정과목!$A$5:$A$78,0)),"계정 없음")</f>
        <v/>
      </c>
      <c r="G9" s="16">
        <f>IFERROR(INDEX(계정과목!$C$5:$C$78,MATCH(E9,계정과목!$A$5:$A$78,0)),"계정 없음")</f>
        <v/>
      </c>
      <c r="H9" s="16">
        <f>IFERROR(INDEX(계정과목!$E$5:$E$78,MATCH(E9,계정과목!$A$5:$A$78,0)),"계정 없음")</f>
        <v/>
      </c>
      <c r="I9" s="20" t="n">
        <v>743900</v>
      </c>
      <c r="J9" s="25">
        <f>SUMIFS(전표!$K$5:$K$1000,전표!$H$5:$H$1000,E9,전표!$J$5:$J$1000,"S")</f>
        <v/>
      </c>
      <c r="K9" s="25">
        <f>SUMIFS(전표!$K$5:$K$1000,전표!$H$5:$H$1000,E9,전표!$J$5:$J$1000,"H")</f>
        <v/>
      </c>
      <c r="L9" s="21">
        <f>I9+J9-K9</f>
        <v/>
      </c>
      <c r="M9" s="21">
        <f>MAX(L9,0)</f>
        <v/>
      </c>
      <c r="N9" s="21">
        <f>MAX(-L9,0)</f>
        <v/>
      </c>
    </row>
    <row r="10">
      <c r="A10" s="16">
        <f>안내!$B$5</f>
        <v/>
      </c>
      <c r="B10" s="16">
        <f>안내!$B$7</f>
        <v/>
      </c>
      <c r="C10" s="16">
        <f>안내!$B$8</f>
        <v/>
      </c>
      <c r="D10" s="16">
        <f>안내!$B$9</f>
        <v/>
      </c>
      <c r="E10" s="14" t="inlineStr">
        <is>
          <t>11202000</t>
        </is>
      </c>
      <c r="F10" s="19">
        <f>IFERROR(INDEX(계정과목!$B$5:$B$78,MATCH(E10,계정과목!$A$5:$A$78,0)),"계정 없음")</f>
        <v/>
      </c>
      <c r="G10" s="16">
        <f>IFERROR(INDEX(계정과목!$C$5:$C$78,MATCH(E10,계정과목!$A$5:$A$78,0)),"계정 없음")</f>
        <v/>
      </c>
      <c r="H10" s="16">
        <f>IFERROR(INDEX(계정과목!$E$5:$E$78,MATCH(E10,계정과목!$A$5:$A$78,0)),"계정 없음")</f>
        <v/>
      </c>
      <c r="I10" s="20" t="n">
        <v>296100</v>
      </c>
      <c r="J10" s="25">
        <f>SUMIFS(전표!$K$5:$K$1000,전표!$H$5:$H$1000,E10,전표!$J$5:$J$1000,"S")</f>
        <v/>
      </c>
      <c r="K10" s="25">
        <f>SUMIFS(전표!$K$5:$K$1000,전표!$H$5:$H$1000,E10,전표!$J$5:$J$1000,"H")</f>
        <v/>
      </c>
      <c r="L10" s="21">
        <f>I10+J10-K10</f>
        <v/>
      </c>
      <c r="M10" s="21">
        <f>MAX(L10,0)</f>
        <v/>
      </c>
      <c r="N10" s="21">
        <f>MAX(-L10,0)</f>
        <v/>
      </c>
    </row>
    <row r="11">
      <c r="A11" s="16">
        <f>안내!$B$5</f>
        <v/>
      </c>
      <c r="B11" s="16">
        <f>안내!$B$7</f>
        <v/>
      </c>
      <c r="C11" s="16">
        <f>안내!$B$8</f>
        <v/>
      </c>
      <c r="D11" s="16">
        <f>안내!$B$9</f>
        <v/>
      </c>
      <c r="E11" s="14" t="inlineStr">
        <is>
          <t>11203000</t>
        </is>
      </c>
      <c r="F11" s="19">
        <f>IFERROR(INDEX(계정과목!$B$5:$B$78,MATCH(E11,계정과목!$A$5:$A$78,0)),"계정 없음")</f>
        <v/>
      </c>
      <c r="G11" s="16">
        <f>IFERROR(INDEX(계정과목!$C$5:$C$78,MATCH(E11,계정과목!$A$5:$A$78,0)),"계정 없음")</f>
        <v/>
      </c>
      <c r="H11" s="16">
        <f>IFERROR(INDEX(계정과목!$E$5:$E$78,MATCH(E11,계정과목!$A$5:$A$78,0)),"계정 없음")</f>
        <v/>
      </c>
      <c r="I11" s="20" t="n">
        <v>360500</v>
      </c>
      <c r="J11" s="25">
        <f>SUMIFS(전표!$K$5:$K$1000,전표!$H$5:$H$1000,E11,전표!$J$5:$J$1000,"S")</f>
        <v/>
      </c>
      <c r="K11" s="25">
        <f>SUMIFS(전표!$K$5:$K$1000,전표!$H$5:$H$1000,E11,전표!$J$5:$J$1000,"H")</f>
        <v/>
      </c>
      <c r="L11" s="21">
        <f>I11+J11-K11</f>
        <v/>
      </c>
      <c r="M11" s="21">
        <f>MAX(L11,0)</f>
        <v/>
      </c>
      <c r="N11" s="21">
        <f>MAX(-L11,0)</f>
        <v/>
      </c>
    </row>
    <row r="12">
      <c r="A12" s="16">
        <f>안내!$B$5</f>
        <v/>
      </c>
      <c r="B12" s="16">
        <f>안내!$B$7</f>
        <v/>
      </c>
      <c r="C12" s="16">
        <f>안내!$B$8</f>
        <v/>
      </c>
      <c r="D12" s="16">
        <f>안내!$B$9</f>
        <v/>
      </c>
      <c r="E12" s="14" t="inlineStr">
        <is>
          <t>11301000</t>
        </is>
      </c>
      <c r="F12" s="19">
        <f>IFERROR(INDEX(계정과목!$B$5:$B$78,MATCH(E12,계정과목!$A$5:$A$78,0)),"계정 없음")</f>
        <v/>
      </c>
      <c r="G12" s="16">
        <f>IFERROR(INDEX(계정과목!$C$5:$C$78,MATCH(E12,계정과목!$A$5:$A$78,0)),"계정 없음")</f>
        <v/>
      </c>
      <c r="H12" s="16">
        <f>IFERROR(INDEX(계정과목!$E$5:$E$78,MATCH(E12,계정과목!$A$5:$A$78,0)),"계정 없음")</f>
        <v/>
      </c>
      <c r="I12" s="20" t="n">
        <v>496090</v>
      </c>
      <c r="J12" s="25">
        <f>SUMIFS(전표!$K$5:$K$1000,전표!$H$5:$H$1000,E12,전표!$J$5:$J$1000,"S")</f>
        <v/>
      </c>
      <c r="K12" s="25">
        <f>SUMIFS(전표!$K$5:$K$1000,전표!$H$5:$H$1000,E12,전표!$J$5:$J$1000,"H")</f>
        <v/>
      </c>
      <c r="L12" s="21">
        <f>I12+J12-K12</f>
        <v/>
      </c>
      <c r="M12" s="21">
        <f>MAX(L12,0)</f>
        <v/>
      </c>
      <c r="N12" s="21">
        <f>MAX(-L12,0)</f>
        <v/>
      </c>
    </row>
    <row r="13">
      <c r="A13" s="16">
        <f>안내!$B$5</f>
        <v/>
      </c>
      <c r="B13" s="16">
        <f>안내!$B$7</f>
        <v/>
      </c>
      <c r="C13" s="16">
        <f>안내!$B$8</f>
        <v/>
      </c>
      <c r="D13" s="16">
        <f>안내!$B$9</f>
        <v/>
      </c>
      <c r="E13" s="14" t="inlineStr">
        <is>
          <t>11309000</t>
        </is>
      </c>
      <c r="F13" s="19">
        <f>IFERROR(INDEX(계정과목!$B$5:$B$78,MATCH(E13,계정과목!$A$5:$A$78,0)),"계정 없음")</f>
        <v/>
      </c>
      <c r="G13" s="16">
        <f>IFERROR(INDEX(계정과목!$C$5:$C$78,MATCH(E13,계정과목!$A$5:$A$78,0)),"계정 없음")</f>
        <v/>
      </c>
      <c r="H13" s="16">
        <f>IFERROR(INDEX(계정과목!$E$5:$E$78,MATCH(E13,계정과목!$A$5:$A$78,0)),"계정 없음")</f>
        <v/>
      </c>
      <c r="I13" s="20" t="n">
        <v>-18</v>
      </c>
      <c r="J13" s="25">
        <f>SUMIFS(전표!$K$5:$K$1000,전표!$H$5:$H$1000,E13,전표!$J$5:$J$1000,"S")</f>
        <v/>
      </c>
      <c r="K13" s="25">
        <f>SUMIFS(전표!$K$5:$K$1000,전표!$H$5:$H$1000,E13,전표!$J$5:$J$1000,"H")</f>
        <v/>
      </c>
      <c r="L13" s="21">
        <f>I13+J13-K13</f>
        <v/>
      </c>
      <c r="M13" s="21">
        <f>MAX(L13,0)</f>
        <v/>
      </c>
      <c r="N13" s="21">
        <f>MAX(-L13,0)</f>
        <v/>
      </c>
    </row>
    <row r="14">
      <c r="A14" s="16">
        <f>안내!$B$5</f>
        <v/>
      </c>
      <c r="B14" s="16">
        <f>안내!$B$7</f>
        <v/>
      </c>
      <c r="C14" s="16">
        <f>안내!$B$8</f>
        <v/>
      </c>
      <c r="D14" s="16">
        <f>안내!$B$9</f>
        <v/>
      </c>
      <c r="E14" s="14" t="inlineStr">
        <is>
          <t>11401000</t>
        </is>
      </c>
      <c r="F14" s="19">
        <f>IFERROR(INDEX(계정과목!$B$5:$B$78,MATCH(E14,계정과목!$A$5:$A$78,0)),"계정 없음")</f>
        <v/>
      </c>
      <c r="G14" s="16">
        <f>IFERROR(INDEX(계정과목!$C$5:$C$78,MATCH(E14,계정과목!$A$5:$A$78,0)),"계정 없음")</f>
        <v/>
      </c>
      <c r="H14" s="16">
        <f>IFERROR(INDEX(계정과목!$E$5:$E$78,MATCH(E14,계정과목!$A$5:$A$78,0)),"계정 없음")</f>
        <v/>
      </c>
      <c r="I14" s="20" t="n">
        <v>140000</v>
      </c>
      <c r="J14" s="25">
        <f>SUMIFS(전표!$K$5:$K$1000,전표!$H$5:$H$1000,E14,전표!$J$5:$J$1000,"S")</f>
        <v/>
      </c>
      <c r="K14" s="25">
        <f>SUMIFS(전표!$K$5:$K$1000,전표!$H$5:$H$1000,E14,전표!$J$5:$J$1000,"H")</f>
        <v/>
      </c>
      <c r="L14" s="21">
        <f>I14+J14-K14</f>
        <v/>
      </c>
      <c r="M14" s="21">
        <f>MAX(L14,0)</f>
        <v/>
      </c>
      <c r="N14" s="21">
        <f>MAX(-L14,0)</f>
        <v/>
      </c>
    </row>
    <row r="15">
      <c r="A15" s="16">
        <f>안내!$B$5</f>
        <v/>
      </c>
      <c r="B15" s="16">
        <f>안내!$B$7</f>
        <v/>
      </c>
      <c r="C15" s="16">
        <f>안내!$B$8</f>
        <v/>
      </c>
      <c r="D15" s="16">
        <f>안내!$B$9</f>
        <v/>
      </c>
      <c r="E15" s="14" t="inlineStr">
        <is>
          <t>11402000</t>
        </is>
      </c>
      <c r="F15" s="19">
        <f>IFERROR(INDEX(계정과목!$B$5:$B$78,MATCH(E15,계정과목!$A$5:$A$78,0)),"계정 없음")</f>
        <v/>
      </c>
      <c r="G15" s="16">
        <f>IFERROR(INDEX(계정과목!$C$5:$C$78,MATCH(E15,계정과목!$A$5:$A$78,0)),"계정 없음")</f>
        <v/>
      </c>
      <c r="H15" s="16">
        <f>IFERROR(INDEX(계정과목!$E$5:$E$78,MATCH(E15,계정과목!$A$5:$A$78,0)),"계정 없음")</f>
        <v/>
      </c>
      <c r="I15" s="20" t="n">
        <v>150000</v>
      </c>
      <c r="J15" s="25">
        <f>SUMIFS(전표!$K$5:$K$1000,전표!$H$5:$H$1000,E15,전표!$J$5:$J$1000,"S")</f>
        <v/>
      </c>
      <c r="K15" s="25">
        <f>SUMIFS(전표!$K$5:$K$1000,전표!$H$5:$H$1000,E15,전표!$J$5:$J$1000,"H")</f>
        <v/>
      </c>
      <c r="L15" s="21">
        <f>I15+J15-K15</f>
        <v/>
      </c>
      <c r="M15" s="21">
        <f>MAX(L15,0)</f>
        <v/>
      </c>
      <c r="N15" s="21">
        <f>MAX(-L15,0)</f>
        <v/>
      </c>
    </row>
    <row r="16">
      <c r="A16" s="16">
        <f>안내!$B$5</f>
        <v/>
      </c>
      <c r="B16" s="16">
        <f>안내!$B$7</f>
        <v/>
      </c>
      <c r="C16" s="16">
        <f>안내!$B$8</f>
        <v/>
      </c>
      <c r="D16" s="16">
        <f>안내!$B$9</f>
        <v/>
      </c>
      <c r="E16" s="14" t="inlineStr">
        <is>
          <t>11409000</t>
        </is>
      </c>
      <c r="F16" s="19">
        <f>IFERROR(INDEX(계정과목!$B$5:$B$78,MATCH(E16,계정과목!$A$5:$A$78,0)),"계정 없음")</f>
        <v/>
      </c>
      <c r="G16" s="16">
        <f>IFERROR(INDEX(계정과목!$C$5:$C$78,MATCH(E16,계정과목!$A$5:$A$78,0)),"계정 없음")</f>
        <v/>
      </c>
      <c r="H16" s="16">
        <f>IFERROR(INDEX(계정과목!$E$5:$E$78,MATCH(E16,계정과목!$A$5:$A$78,0)),"계정 없음")</f>
        <v/>
      </c>
      <c r="I16" s="20" t="n">
        <v>-1870</v>
      </c>
      <c r="J16" s="25">
        <f>SUMIFS(전표!$K$5:$K$1000,전표!$H$5:$H$1000,E16,전표!$J$5:$J$1000,"S")</f>
        <v/>
      </c>
      <c r="K16" s="25">
        <f>SUMIFS(전표!$K$5:$K$1000,전표!$H$5:$H$1000,E16,전표!$J$5:$J$1000,"H")</f>
        <v/>
      </c>
      <c r="L16" s="21">
        <f>I16+J16-K16</f>
        <v/>
      </c>
      <c r="M16" s="21">
        <f>MAX(L16,0)</f>
        <v/>
      </c>
      <c r="N16" s="21">
        <f>MAX(-L16,0)</f>
        <v/>
      </c>
    </row>
    <row r="17">
      <c r="A17" s="16">
        <f>안내!$B$5</f>
        <v/>
      </c>
      <c r="B17" s="16">
        <f>안내!$B$7</f>
        <v/>
      </c>
      <c r="C17" s="16">
        <f>안내!$B$8</f>
        <v/>
      </c>
      <c r="D17" s="16">
        <f>안내!$B$9</f>
        <v/>
      </c>
      <c r="E17" s="14" t="inlineStr">
        <is>
          <t>11501000</t>
        </is>
      </c>
      <c r="F17" s="19">
        <f>IFERROR(INDEX(계정과목!$B$5:$B$78,MATCH(E17,계정과목!$A$5:$A$78,0)),"계정 없음")</f>
        <v/>
      </c>
      <c r="G17" s="16">
        <f>IFERROR(INDEX(계정과목!$C$5:$C$78,MATCH(E17,계정과목!$A$5:$A$78,0)),"계정 없음")</f>
        <v/>
      </c>
      <c r="H17" s="16">
        <f>IFERROR(INDEX(계정과목!$E$5:$E$78,MATCH(E17,계정과목!$A$5:$A$78,0)),"계정 없음")</f>
        <v/>
      </c>
      <c r="I17" s="20" t="n">
        <v>183050</v>
      </c>
      <c r="J17" s="25">
        <f>SUMIFS(전표!$K$5:$K$1000,전표!$H$5:$H$1000,E17,전표!$J$5:$J$1000,"S")</f>
        <v/>
      </c>
      <c r="K17" s="25">
        <f>SUMIFS(전표!$K$5:$K$1000,전표!$H$5:$H$1000,E17,전표!$J$5:$J$1000,"H")</f>
        <v/>
      </c>
      <c r="L17" s="21">
        <f>I17+J17-K17</f>
        <v/>
      </c>
      <c r="M17" s="21">
        <f>MAX(L17,0)</f>
        <v/>
      </c>
      <c r="N17" s="21">
        <f>MAX(-L17,0)</f>
        <v/>
      </c>
    </row>
    <row r="18">
      <c r="A18" s="16">
        <f>안내!$B$5</f>
        <v/>
      </c>
      <c r="B18" s="16">
        <f>안내!$B$7</f>
        <v/>
      </c>
      <c r="C18" s="16">
        <f>안내!$B$8</f>
        <v/>
      </c>
      <c r="D18" s="16">
        <f>안내!$B$9</f>
        <v/>
      </c>
      <c r="E18" s="14" t="inlineStr">
        <is>
          <t>11601000</t>
        </is>
      </c>
      <c r="F18" s="19">
        <f>IFERROR(INDEX(계정과목!$B$5:$B$78,MATCH(E18,계정과목!$A$5:$A$78,0)),"계정 없음")</f>
        <v/>
      </c>
      <c r="G18" s="16">
        <f>IFERROR(INDEX(계정과목!$C$5:$C$78,MATCH(E18,계정과목!$A$5:$A$78,0)),"계정 없음")</f>
        <v/>
      </c>
      <c r="H18" s="16">
        <f>IFERROR(INDEX(계정과목!$E$5:$E$78,MATCH(E18,계정과목!$A$5:$A$78,0)),"계정 없음")</f>
        <v/>
      </c>
      <c r="I18" s="20" t="n">
        <v>28950</v>
      </c>
      <c r="J18" s="25">
        <f>SUMIFS(전표!$K$5:$K$1000,전표!$H$5:$H$1000,E18,전표!$J$5:$J$1000,"S")</f>
        <v/>
      </c>
      <c r="K18" s="25">
        <f>SUMIFS(전표!$K$5:$K$1000,전표!$H$5:$H$1000,E18,전표!$J$5:$J$1000,"H")</f>
        <v/>
      </c>
      <c r="L18" s="21">
        <f>I18+J18-K18</f>
        <v/>
      </c>
      <c r="M18" s="21">
        <f>MAX(L18,0)</f>
        <v/>
      </c>
      <c r="N18" s="21">
        <f>MAX(-L18,0)</f>
        <v/>
      </c>
    </row>
    <row r="19">
      <c r="A19" s="16">
        <f>안내!$B$5</f>
        <v/>
      </c>
      <c r="B19" s="16">
        <f>안내!$B$7</f>
        <v/>
      </c>
      <c r="C19" s="16">
        <f>안내!$B$8</f>
        <v/>
      </c>
      <c r="D19" s="16">
        <f>안내!$B$9</f>
        <v/>
      </c>
      <c r="E19" s="14" t="inlineStr">
        <is>
          <t>12101000</t>
        </is>
      </c>
      <c r="F19" s="19">
        <f>IFERROR(INDEX(계정과목!$B$5:$B$78,MATCH(E19,계정과목!$A$5:$A$78,0)),"계정 없음")</f>
        <v/>
      </c>
      <c r="G19" s="16">
        <f>IFERROR(INDEX(계정과목!$C$5:$C$78,MATCH(E19,계정과목!$A$5:$A$78,0)),"계정 없음")</f>
        <v/>
      </c>
      <c r="H19" s="16">
        <f>IFERROR(INDEX(계정과목!$E$5:$E$78,MATCH(E19,계정과목!$A$5:$A$78,0)),"계정 없음")</f>
        <v/>
      </c>
      <c r="I19" s="20" t="n">
        <v>64000</v>
      </c>
      <c r="J19" s="25">
        <f>SUMIFS(전표!$K$5:$K$1000,전표!$H$5:$H$1000,E19,전표!$J$5:$J$1000,"S")</f>
        <v/>
      </c>
      <c r="K19" s="25">
        <f>SUMIFS(전표!$K$5:$K$1000,전표!$H$5:$H$1000,E19,전표!$J$5:$J$1000,"H")</f>
        <v/>
      </c>
      <c r="L19" s="21">
        <f>I19+J19-K19</f>
        <v/>
      </c>
      <c r="M19" s="21">
        <f>MAX(L19,0)</f>
        <v/>
      </c>
      <c r="N19" s="21">
        <f>MAX(-L19,0)</f>
        <v/>
      </c>
    </row>
    <row r="20">
      <c r="A20" s="16">
        <f>안내!$B$5</f>
        <v/>
      </c>
      <c r="B20" s="16">
        <f>안내!$B$7</f>
        <v/>
      </c>
      <c r="C20" s="16">
        <f>안내!$B$8</f>
        <v/>
      </c>
      <c r="D20" s="16">
        <f>안내!$B$9</f>
        <v/>
      </c>
      <c r="E20" s="14" t="inlineStr">
        <is>
          <t>12201000</t>
        </is>
      </c>
      <c r="F20" s="19">
        <f>IFERROR(INDEX(계정과목!$B$5:$B$78,MATCH(E20,계정과목!$A$5:$A$78,0)),"계정 없음")</f>
        <v/>
      </c>
      <c r="G20" s="16">
        <f>IFERROR(INDEX(계정과목!$C$5:$C$78,MATCH(E20,계정과목!$A$5:$A$78,0)),"계정 없음")</f>
        <v/>
      </c>
      <c r="H20" s="16">
        <f>IFERROR(INDEX(계정과목!$E$5:$E$78,MATCH(E20,계정과목!$A$5:$A$78,0)),"계정 없음")</f>
        <v/>
      </c>
      <c r="I20" s="20" t="n">
        <v>41000</v>
      </c>
      <c r="J20" s="25">
        <f>SUMIFS(전표!$K$5:$K$1000,전표!$H$5:$H$1000,E20,전표!$J$5:$J$1000,"S")</f>
        <v/>
      </c>
      <c r="K20" s="25">
        <f>SUMIFS(전표!$K$5:$K$1000,전표!$H$5:$H$1000,E20,전표!$J$5:$J$1000,"H")</f>
        <v/>
      </c>
      <c r="L20" s="21">
        <f>I20+J20-K20</f>
        <v/>
      </c>
      <c r="M20" s="21">
        <f>MAX(L20,0)</f>
        <v/>
      </c>
      <c r="N20" s="21">
        <f>MAX(-L20,0)</f>
        <v/>
      </c>
    </row>
    <row r="21">
      <c r="A21" s="16">
        <f>안내!$B$5</f>
        <v/>
      </c>
      <c r="B21" s="16">
        <f>안내!$B$7</f>
        <v/>
      </c>
      <c r="C21" s="16">
        <f>안내!$B$8</f>
        <v/>
      </c>
      <c r="D21" s="16">
        <f>안내!$B$9</f>
        <v/>
      </c>
      <c r="E21" s="14" t="inlineStr">
        <is>
          <t>12901000</t>
        </is>
      </c>
      <c r="F21" s="19">
        <f>IFERROR(INDEX(계정과목!$B$5:$B$78,MATCH(E21,계정과목!$A$5:$A$78,0)),"계정 없음")</f>
        <v/>
      </c>
      <c r="G21" s="16">
        <f>IFERROR(INDEX(계정과목!$C$5:$C$78,MATCH(E21,계정과목!$A$5:$A$78,0)),"계정 없음")</f>
        <v/>
      </c>
      <c r="H21" s="16">
        <f>IFERROR(INDEX(계정과목!$E$5:$E$78,MATCH(E21,계정과목!$A$5:$A$78,0)),"계정 없음")</f>
        <v/>
      </c>
      <c r="I21" s="20" t="n">
        <v>28500</v>
      </c>
      <c r="J21" s="25">
        <f>SUMIFS(전표!$K$5:$K$1000,전표!$H$5:$H$1000,E21,전표!$J$5:$J$1000,"S")</f>
        <v/>
      </c>
      <c r="K21" s="25">
        <f>SUMIFS(전표!$K$5:$K$1000,전표!$H$5:$H$1000,E21,전표!$J$5:$J$1000,"H")</f>
        <v/>
      </c>
      <c r="L21" s="21">
        <f>I21+J21-K21</f>
        <v/>
      </c>
      <c r="M21" s="21">
        <f>MAX(L21,0)</f>
        <v/>
      </c>
      <c r="N21" s="21">
        <f>MAX(-L21,0)</f>
        <v/>
      </c>
    </row>
    <row r="22">
      <c r="A22" s="16">
        <f>안내!$B$5</f>
        <v/>
      </c>
      <c r="B22" s="16">
        <f>안내!$B$7</f>
        <v/>
      </c>
      <c r="C22" s="16">
        <f>안내!$B$8</f>
        <v/>
      </c>
      <c r="D22" s="16">
        <f>안내!$B$9</f>
        <v/>
      </c>
      <c r="E22" s="14" t="inlineStr">
        <is>
          <t>21101000</t>
        </is>
      </c>
      <c r="F22" s="19">
        <f>IFERROR(INDEX(계정과목!$B$5:$B$78,MATCH(E22,계정과목!$A$5:$A$78,0)),"계정 없음")</f>
        <v/>
      </c>
      <c r="G22" s="16">
        <f>IFERROR(INDEX(계정과목!$C$5:$C$78,MATCH(E22,계정과목!$A$5:$A$78,0)),"계정 없음")</f>
        <v/>
      </c>
      <c r="H22" s="16">
        <f>IFERROR(INDEX(계정과목!$E$5:$E$78,MATCH(E22,계정과목!$A$5:$A$78,0)),"계정 없음")</f>
        <v/>
      </c>
      <c r="I22" s="20" t="n">
        <v>-2030000</v>
      </c>
      <c r="J22" s="25">
        <f>SUMIFS(전표!$K$5:$K$1000,전표!$H$5:$H$1000,E22,전표!$J$5:$J$1000,"S")</f>
        <v/>
      </c>
      <c r="K22" s="25">
        <f>SUMIFS(전표!$K$5:$K$1000,전표!$H$5:$H$1000,E22,전표!$J$5:$J$1000,"H")</f>
        <v/>
      </c>
      <c r="L22" s="21">
        <f>I22+J22-K22</f>
        <v/>
      </c>
      <c r="M22" s="21">
        <f>MAX(L22,0)</f>
        <v/>
      </c>
      <c r="N22" s="21">
        <f>MAX(-L22,0)</f>
        <v/>
      </c>
    </row>
    <row r="23">
      <c r="A23" s="16">
        <f>안내!$B$5</f>
        <v/>
      </c>
      <c r="B23" s="16">
        <f>안내!$B$7</f>
        <v/>
      </c>
      <c r="C23" s="16">
        <f>안내!$B$8</f>
        <v/>
      </c>
      <c r="D23" s="16">
        <f>안내!$B$9</f>
        <v/>
      </c>
      <c r="E23" s="14" t="inlineStr">
        <is>
          <t>21102000</t>
        </is>
      </c>
      <c r="F23" s="19">
        <f>IFERROR(INDEX(계정과목!$B$5:$B$78,MATCH(E23,계정과목!$A$5:$A$78,0)),"계정 없음")</f>
        <v/>
      </c>
      <c r="G23" s="16">
        <f>IFERROR(INDEX(계정과목!$C$5:$C$78,MATCH(E23,계정과목!$A$5:$A$78,0)),"계정 없음")</f>
        <v/>
      </c>
      <c r="H23" s="16">
        <f>IFERROR(INDEX(계정과목!$E$5:$E$78,MATCH(E23,계정과목!$A$5:$A$78,0)),"계정 없음")</f>
        <v/>
      </c>
      <c r="I23" s="20" t="n">
        <v>-118000</v>
      </c>
      <c r="J23" s="25">
        <f>SUMIFS(전표!$K$5:$K$1000,전표!$H$5:$H$1000,E23,전표!$J$5:$J$1000,"S")</f>
        <v/>
      </c>
      <c r="K23" s="25">
        <f>SUMIFS(전표!$K$5:$K$1000,전표!$H$5:$H$1000,E23,전표!$J$5:$J$1000,"H")</f>
        <v/>
      </c>
      <c r="L23" s="21">
        <f>I23+J23-K23</f>
        <v/>
      </c>
      <c r="M23" s="21">
        <f>MAX(L23,0)</f>
        <v/>
      </c>
      <c r="N23" s="21">
        <f>MAX(-L23,0)</f>
        <v/>
      </c>
    </row>
    <row r="24">
      <c r="A24" s="16">
        <f>안내!$B$5</f>
        <v/>
      </c>
      <c r="B24" s="16">
        <f>안내!$B$7</f>
        <v/>
      </c>
      <c r="C24" s="16">
        <f>안내!$B$8</f>
        <v/>
      </c>
      <c r="D24" s="16">
        <f>안내!$B$9</f>
        <v/>
      </c>
      <c r="E24" s="14" t="inlineStr">
        <is>
          <t>21103000</t>
        </is>
      </c>
      <c r="F24" s="19">
        <f>IFERROR(INDEX(계정과목!$B$5:$B$78,MATCH(E24,계정과목!$A$5:$A$78,0)),"계정 없음")</f>
        <v/>
      </c>
      <c r="G24" s="16">
        <f>IFERROR(INDEX(계정과목!$C$5:$C$78,MATCH(E24,계정과목!$A$5:$A$78,0)),"계정 없음")</f>
        <v/>
      </c>
      <c r="H24" s="16">
        <f>IFERROR(INDEX(계정과목!$E$5:$E$78,MATCH(E24,계정과목!$A$5:$A$78,0)),"계정 없음")</f>
        <v/>
      </c>
      <c r="I24" s="20" t="n">
        <v>-372000</v>
      </c>
      <c r="J24" s="25">
        <f>SUMIFS(전표!$K$5:$K$1000,전표!$H$5:$H$1000,E24,전표!$J$5:$J$1000,"S")</f>
        <v/>
      </c>
      <c r="K24" s="25">
        <f>SUMIFS(전표!$K$5:$K$1000,전표!$H$5:$H$1000,E24,전표!$J$5:$J$1000,"H")</f>
        <v/>
      </c>
      <c r="L24" s="21">
        <f>I24+J24-K24</f>
        <v/>
      </c>
      <c r="M24" s="21">
        <f>MAX(L24,0)</f>
        <v/>
      </c>
      <c r="N24" s="21">
        <f>MAX(-L24,0)</f>
        <v/>
      </c>
    </row>
    <row r="25">
      <c r="A25" s="16">
        <f>안내!$B$5</f>
        <v/>
      </c>
      <c r="B25" s="16">
        <f>안내!$B$7</f>
        <v/>
      </c>
      <c r="C25" s="16">
        <f>안내!$B$8</f>
        <v/>
      </c>
      <c r="D25" s="16">
        <f>안내!$B$9</f>
        <v/>
      </c>
      <c r="E25" s="14" t="inlineStr">
        <is>
          <t>21201000</t>
        </is>
      </c>
      <c r="F25" s="19">
        <f>IFERROR(INDEX(계정과목!$B$5:$B$78,MATCH(E25,계정과목!$A$5:$A$78,0)),"계정 없음")</f>
        <v/>
      </c>
      <c r="G25" s="16">
        <f>IFERROR(INDEX(계정과목!$C$5:$C$78,MATCH(E25,계정과목!$A$5:$A$78,0)),"계정 없음")</f>
        <v/>
      </c>
      <c r="H25" s="16">
        <f>IFERROR(INDEX(계정과목!$E$5:$E$78,MATCH(E25,계정과목!$A$5:$A$78,0)),"계정 없음")</f>
        <v/>
      </c>
      <c r="I25" s="20" t="n">
        <v>-6800</v>
      </c>
      <c r="J25" s="25">
        <f>SUMIFS(전표!$K$5:$K$1000,전표!$H$5:$H$1000,E25,전표!$J$5:$J$1000,"S")</f>
        <v/>
      </c>
      <c r="K25" s="25">
        <f>SUMIFS(전표!$K$5:$K$1000,전표!$H$5:$H$1000,E25,전표!$J$5:$J$1000,"H")</f>
        <v/>
      </c>
      <c r="L25" s="21">
        <f>I25+J25-K25</f>
        <v/>
      </c>
      <c r="M25" s="21">
        <f>MAX(L25,0)</f>
        <v/>
      </c>
      <c r="N25" s="21">
        <f>MAX(-L25,0)</f>
        <v/>
      </c>
    </row>
    <row r="26">
      <c r="A26" s="16">
        <f>안내!$B$5</f>
        <v/>
      </c>
      <c r="B26" s="16">
        <f>안내!$B$7</f>
        <v/>
      </c>
      <c r="C26" s="16">
        <f>안내!$B$8</f>
        <v/>
      </c>
      <c r="D26" s="16">
        <f>안내!$B$9</f>
        <v/>
      </c>
      <c r="E26" s="14" t="inlineStr">
        <is>
          <t>22101000</t>
        </is>
      </c>
      <c r="F26" s="19">
        <f>IFERROR(INDEX(계정과목!$B$5:$B$78,MATCH(E26,계정과목!$A$5:$A$78,0)),"계정 없음")</f>
        <v/>
      </c>
      <c r="G26" s="16">
        <f>IFERROR(INDEX(계정과목!$C$5:$C$78,MATCH(E26,계정과목!$A$5:$A$78,0)),"계정 없음")</f>
        <v/>
      </c>
      <c r="H26" s="16">
        <f>IFERROR(INDEX(계정과목!$E$5:$E$78,MATCH(E26,계정과목!$A$5:$A$78,0)),"계정 없음")</f>
        <v/>
      </c>
      <c r="I26" s="20" t="n">
        <v>-50000</v>
      </c>
      <c r="J26" s="25">
        <f>SUMIFS(전표!$K$5:$K$1000,전표!$H$5:$H$1000,E26,전표!$J$5:$J$1000,"S")</f>
        <v/>
      </c>
      <c r="K26" s="25">
        <f>SUMIFS(전표!$K$5:$K$1000,전표!$H$5:$H$1000,E26,전표!$J$5:$J$1000,"H")</f>
        <v/>
      </c>
      <c r="L26" s="21">
        <f>I26+J26-K26</f>
        <v/>
      </c>
      <c r="M26" s="21">
        <f>MAX(L26,0)</f>
        <v/>
      </c>
      <c r="N26" s="21">
        <f>MAX(-L26,0)</f>
        <v/>
      </c>
    </row>
    <row r="27">
      <c r="A27" s="16">
        <f>안내!$B$5</f>
        <v/>
      </c>
      <c r="B27" s="16">
        <f>안내!$B$7</f>
        <v/>
      </c>
      <c r="C27" s="16">
        <f>안내!$B$8</f>
        <v/>
      </c>
      <c r="D27" s="16">
        <f>안내!$B$9</f>
        <v/>
      </c>
      <c r="E27" s="14" t="inlineStr">
        <is>
          <t>22201000</t>
        </is>
      </c>
      <c r="F27" s="19">
        <f>IFERROR(INDEX(계정과목!$B$5:$B$78,MATCH(E27,계정과목!$A$5:$A$78,0)),"계정 없음")</f>
        <v/>
      </c>
      <c r="G27" s="16">
        <f>IFERROR(INDEX(계정과목!$C$5:$C$78,MATCH(E27,계정과목!$A$5:$A$78,0)),"계정 없음")</f>
        <v/>
      </c>
      <c r="H27" s="16">
        <f>IFERROR(INDEX(계정과목!$E$5:$E$78,MATCH(E27,계정과목!$A$5:$A$78,0)),"계정 없음")</f>
        <v/>
      </c>
      <c r="I27" s="20" t="n">
        <v>-23400</v>
      </c>
      <c r="J27" s="25">
        <f>SUMIFS(전표!$K$5:$K$1000,전표!$H$5:$H$1000,E27,전표!$J$5:$J$1000,"S")</f>
        <v/>
      </c>
      <c r="K27" s="25">
        <f>SUMIFS(전표!$K$5:$K$1000,전표!$H$5:$H$1000,E27,전표!$J$5:$J$1000,"H")</f>
        <v/>
      </c>
      <c r="L27" s="21">
        <f>I27+J27-K27</f>
        <v/>
      </c>
      <c r="M27" s="21">
        <f>MAX(L27,0)</f>
        <v/>
      </c>
      <c r="N27" s="21">
        <f>MAX(-L27,0)</f>
        <v/>
      </c>
    </row>
    <row r="28">
      <c r="A28" s="16">
        <f>안내!$B$5</f>
        <v/>
      </c>
      <c r="B28" s="16">
        <f>안내!$B$7</f>
        <v/>
      </c>
      <c r="C28" s="16">
        <f>안내!$B$8</f>
        <v/>
      </c>
      <c r="D28" s="16">
        <f>안내!$B$9</f>
        <v/>
      </c>
      <c r="E28" s="14" t="inlineStr">
        <is>
          <t>22301000</t>
        </is>
      </c>
      <c r="F28" s="19">
        <f>IFERROR(INDEX(계정과목!$B$5:$B$78,MATCH(E28,계정과목!$A$5:$A$78,0)),"계정 없음")</f>
        <v/>
      </c>
      <c r="G28" s="16">
        <f>IFERROR(INDEX(계정과목!$C$5:$C$78,MATCH(E28,계정과목!$A$5:$A$78,0)),"계정 없음")</f>
        <v/>
      </c>
      <c r="H28" s="16">
        <f>IFERROR(INDEX(계정과목!$E$5:$E$78,MATCH(E28,계정과목!$A$5:$A$78,0)),"계정 없음")</f>
        <v/>
      </c>
      <c r="I28" s="20" t="n">
        <v>-11200</v>
      </c>
      <c r="J28" s="25">
        <f>SUMIFS(전표!$K$5:$K$1000,전표!$H$5:$H$1000,E28,전표!$J$5:$J$1000,"S")</f>
        <v/>
      </c>
      <c r="K28" s="25">
        <f>SUMIFS(전표!$K$5:$K$1000,전표!$H$5:$H$1000,E28,전표!$J$5:$J$1000,"H")</f>
        <v/>
      </c>
      <c r="L28" s="21">
        <f>I28+J28-K28</f>
        <v/>
      </c>
      <c r="M28" s="21">
        <f>MAX(L28,0)</f>
        <v/>
      </c>
      <c r="N28" s="21">
        <f>MAX(-L28,0)</f>
        <v/>
      </c>
    </row>
    <row r="29">
      <c r="A29" s="16">
        <f>안내!$B$5</f>
        <v/>
      </c>
      <c r="B29" s="16">
        <f>안내!$B$7</f>
        <v/>
      </c>
      <c r="C29" s="16">
        <f>안내!$B$8</f>
        <v/>
      </c>
      <c r="D29" s="16">
        <f>안내!$B$9</f>
        <v/>
      </c>
      <c r="E29" s="14" t="inlineStr">
        <is>
          <t>31101000</t>
        </is>
      </c>
      <c r="F29" s="19">
        <f>IFERROR(INDEX(계정과목!$B$5:$B$78,MATCH(E29,계정과목!$A$5:$A$78,0)),"계정 없음")</f>
        <v/>
      </c>
      <c r="G29" s="16">
        <f>IFERROR(INDEX(계정과목!$C$5:$C$78,MATCH(E29,계정과목!$A$5:$A$78,0)),"계정 없음")</f>
        <v/>
      </c>
      <c r="H29" s="16">
        <f>IFERROR(INDEX(계정과목!$E$5:$E$78,MATCH(E29,계정과목!$A$5:$A$78,0)),"계정 없음")</f>
        <v/>
      </c>
      <c r="I29" s="20" t="n">
        <v>-100000</v>
      </c>
      <c r="J29" s="25">
        <f>SUMIFS(전표!$K$5:$K$1000,전표!$H$5:$H$1000,E29,전표!$J$5:$J$1000,"S")</f>
        <v/>
      </c>
      <c r="K29" s="25">
        <f>SUMIFS(전표!$K$5:$K$1000,전표!$H$5:$H$1000,E29,전표!$J$5:$J$1000,"H")</f>
        <v/>
      </c>
      <c r="L29" s="21">
        <f>I29+J29-K29</f>
        <v/>
      </c>
      <c r="M29" s="21">
        <f>MAX(L29,0)</f>
        <v/>
      </c>
      <c r="N29" s="21">
        <f>MAX(-L29,0)</f>
        <v/>
      </c>
    </row>
    <row r="30">
      <c r="A30" s="16">
        <f>안내!$B$5</f>
        <v/>
      </c>
      <c r="B30" s="16">
        <f>안내!$B$7</f>
        <v/>
      </c>
      <c r="C30" s="16">
        <f>안내!$B$8</f>
        <v/>
      </c>
      <c r="D30" s="16">
        <f>안내!$B$9</f>
        <v/>
      </c>
      <c r="E30" s="14" t="inlineStr">
        <is>
          <t>31201000</t>
        </is>
      </c>
      <c r="F30" s="19">
        <f>IFERROR(INDEX(계정과목!$B$5:$B$78,MATCH(E30,계정과목!$A$5:$A$78,0)),"계정 없음")</f>
        <v/>
      </c>
      <c r="G30" s="16">
        <f>IFERROR(INDEX(계정과목!$C$5:$C$78,MATCH(E30,계정과목!$A$5:$A$78,0)),"계정 없음")</f>
        <v/>
      </c>
      <c r="H30" s="16">
        <f>IFERROR(INDEX(계정과목!$E$5:$E$78,MATCH(E30,계정과목!$A$5:$A$78,0)),"계정 없음")</f>
        <v/>
      </c>
      <c r="I30" s="20" t="n">
        <v>-85000</v>
      </c>
      <c r="J30" s="25">
        <f>SUMIFS(전표!$K$5:$K$1000,전표!$H$5:$H$1000,E30,전표!$J$5:$J$1000,"S")</f>
        <v/>
      </c>
      <c r="K30" s="25">
        <f>SUMIFS(전표!$K$5:$K$1000,전표!$H$5:$H$1000,E30,전표!$J$5:$J$1000,"H")</f>
        <v/>
      </c>
      <c r="L30" s="21">
        <f>I30+J30-K30</f>
        <v/>
      </c>
      <c r="M30" s="21">
        <f>MAX(L30,0)</f>
        <v/>
      </c>
      <c r="N30" s="21">
        <f>MAX(-L30,0)</f>
        <v/>
      </c>
    </row>
    <row r="31">
      <c r="A31" s="16">
        <f>안내!$B$5</f>
        <v/>
      </c>
      <c r="B31" s="16">
        <f>안내!$B$7</f>
        <v/>
      </c>
      <c r="C31" s="16">
        <f>안내!$B$8</f>
        <v/>
      </c>
      <c r="D31" s="16">
        <f>안내!$B$9</f>
        <v/>
      </c>
      <c r="E31" s="14" t="inlineStr">
        <is>
          <t>31301000</t>
        </is>
      </c>
      <c r="F31" s="19">
        <f>IFERROR(INDEX(계정과목!$B$5:$B$78,MATCH(E31,계정과목!$A$5:$A$78,0)),"계정 없음")</f>
        <v/>
      </c>
      <c r="G31" s="16">
        <f>IFERROR(INDEX(계정과목!$C$5:$C$78,MATCH(E31,계정과목!$A$5:$A$78,0)),"계정 없음")</f>
        <v/>
      </c>
      <c r="H31" s="16">
        <f>IFERROR(INDEX(계정과목!$E$5:$E$78,MATCH(E31,계정과목!$A$5:$A$78,0)),"계정 없음")</f>
        <v/>
      </c>
      <c r="I31" s="20" t="n">
        <v>-185502</v>
      </c>
      <c r="J31" s="25">
        <f>SUMIFS(전표!$K$5:$K$1000,전표!$H$5:$H$1000,E31,전표!$J$5:$J$1000,"S")</f>
        <v/>
      </c>
      <c r="K31" s="25">
        <f>SUMIFS(전표!$K$5:$K$1000,전표!$H$5:$H$1000,E31,전표!$J$5:$J$1000,"H")</f>
        <v/>
      </c>
      <c r="L31" s="21">
        <f>I31+J31-K31</f>
        <v/>
      </c>
      <c r="M31" s="21">
        <f>MAX(L31,0)</f>
        <v/>
      </c>
      <c r="N31" s="21">
        <f>MAX(-L31,0)</f>
        <v/>
      </c>
    </row>
    <row r="32">
      <c r="A32" s="16">
        <f>안내!$B$5</f>
        <v/>
      </c>
      <c r="B32" s="16">
        <f>안내!$B$7</f>
        <v/>
      </c>
      <c r="C32" s="16">
        <f>안내!$B$8</f>
        <v/>
      </c>
      <c r="D32" s="16">
        <f>안내!$B$9</f>
        <v/>
      </c>
      <c r="E32" s="14" t="inlineStr">
        <is>
          <t>31401000</t>
        </is>
      </c>
      <c r="F32" s="19">
        <f>IFERROR(INDEX(계정과목!$B$5:$B$78,MATCH(E32,계정과목!$A$5:$A$78,0)),"계정 없음")</f>
        <v/>
      </c>
      <c r="G32" s="16">
        <f>IFERROR(INDEX(계정과목!$C$5:$C$78,MATCH(E32,계정과목!$A$5:$A$78,0)),"계정 없음")</f>
        <v/>
      </c>
      <c r="H32" s="16">
        <f>IFERROR(INDEX(계정과목!$E$5:$E$78,MATCH(E32,계정과목!$A$5:$A$78,0)),"계정 없음")</f>
        <v/>
      </c>
      <c r="I32" s="20" t="n">
        <v>49500</v>
      </c>
      <c r="J32" s="25">
        <f>SUMIFS(전표!$K$5:$K$1000,전표!$H$5:$H$1000,E32,전표!$J$5:$J$1000,"S")</f>
        <v/>
      </c>
      <c r="K32" s="25">
        <f>SUMIFS(전표!$K$5:$K$1000,전표!$H$5:$H$1000,E32,전표!$J$5:$J$1000,"H")</f>
        <v/>
      </c>
      <c r="L32" s="21">
        <f>I32+J32-K32</f>
        <v/>
      </c>
      <c r="M32" s="21">
        <f>MAX(L32,0)</f>
        <v/>
      </c>
      <c r="N32" s="21">
        <f>MAX(-L32,0)</f>
        <v/>
      </c>
    </row>
    <row r="33">
      <c r="A33" s="16">
        <f>안내!$B$5</f>
        <v/>
      </c>
      <c r="B33" s="16">
        <f>안내!$B$7</f>
        <v/>
      </c>
      <c r="C33" s="16">
        <f>안내!$B$8</f>
        <v/>
      </c>
      <c r="D33" s="16">
        <f>안내!$B$9</f>
        <v/>
      </c>
      <c r="E33" s="14" t="inlineStr">
        <is>
          <t>31402000</t>
        </is>
      </c>
      <c r="F33" s="19">
        <f>IFERROR(INDEX(계정과목!$B$5:$B$78,MATCH(E33,계정과목!$A$5:$A$78,0)),"계정 없음")</f>
        <v/>
      </c>
      <c r="G33" s="16">
        <f>IFERROR(INDEX(계정과목!$C$5:$C$78,MATCH(E33,계정과목!$A$5:$A$78,0)),"계정 없음")</f>
        <v/>
      </c>
      <c r="H33" s="16">
        <f>IFERROR(INDEX(계정과목!$E$5:$E$78,MATCH(E33,계정과목!$A$5:$A$78,0)),"계정 없음")</f>
        <v/>
      </c>
      <c r="I33" s="20" t="n">
        <v>-62000</v>
      </c>
      <c r="J33" s="25">
        <f>SUMIFS(전표!$K$5:$K$1000,전표!$H$5:$H$1000,E33,전표!$J$5:$J$1000,"S")</f>
        <v/>
      </c>
      <c r="K33" s="25">
        <f>SUMIFS(전표!$K$5:$K$1000,전표!$H$5:$H$1000,E33,전표!$J$5:$J$1000,"H")</f>
        <v/>
      </c>
      <c r="L33" s="21">
        <f>I33+J33-K33</f>
        <v/>
      </c>
      <c r="M33" s="21">
        <f>MAX(L33,0)</f>
        <v/>
      </c>
      <c r="N33" s="21">
        <f>MAX(-L33,0)</f>
        <v/>
      </c>
    </row>
    <row r="34">
      <c r="A34" s="16">
        <f>안내!$B$5</f>
        <v/>
      </c>
      <c r="B34" s="16">
        <f>안내!$B$7</f>
        <v/>
      </c>
      <c r="C34" s="16">
        <f>안내!$B$8</f>
        <v/>
      </c>
      <c r="D34" s="16">
        <f>안내!$B$9</f>
        <v/>
      </c>
      <c r="E34" s="14" t="inlineStr">
        <is>
          <t>41101000</t>
        </is>
      </c>
      <c r="F34" s="19">
        <f>IFERROR(INDEX(계정과목!$B$5:$B$78,MATCH(E34,계정과목!$A$5:$A$78,0)),"계정 없음")</f>
        <v/>
      </c>
      <c r="G34" s="16">
        <f>IFERROR(INDEX(계정과목!$C$5:$C$78,MATCH(E34,계정과목!$A$5:$A$78,0)),"계정 없음")</f>
        <v/>
      </c>
      <c r="H34" s="16">
        <f>IFERROR(INDEX(계정과목!$E$5:$E$78,MATCH(E34,계정과목!$A$5:$A$78,0)),"계정 없음")</f>
        <v/>
      </c>
      <c r="I34" s="20" t="n">
        <v>-560000</v>
      </c>
      <c r="J34" s="25">
        <f>SUMIFS(전표!$K$5:$K$1000,전표!$H$5:$H$1000,E34,전표!$J$5:$J$1000,"S")</f>
        <v/>
      </c>
      <c r="K34" s="25">
        <f>SUMIFS(전표!$K$5:$K$1000,전표!$H$5:$H$1000,E34,전표!$J$5:$J$1000,"H")</f>
        <v/>
      </c>
      <c r="L34" s="21">
        <f>I34+J34-K34</f>
        <v/>
      </c>
      <c r="M34" s="21">
        <f>MAX(L34,0)</f>
        <v/>
      </c>
      <c r="N34" s="21">
        <f>MAX(-L34,0)</f>
        <v/>
      </c>
    </row>
    <row r="35">
      <c r="A35" s="16">
        <f>안내!$B$5</f>
        <v/>
      </c>
      <c r="B35" s="16">
        <f>안내!$B$7</f>
        <v/>
      </c>
      <c r="C35" s="16">
        <f>안내!$B$8</f>
        <v/>
      </c>
      <c r="D35" s="16">
        <f>안내!$B$9</f>
        <v/>
      </c>
      <c r="E35" s="14" t="inlineStr">
        <is>
          <t>41201000</t>
        </is>
      </c>
      <c r="F35" s="19">
        <f>IFERROR(INDEX(계정과목!$B$5:$B$78,MATCH(E35,계정과목!$A$5:$A$78,0)),"계정 없음")</f>
        <v/>
      </c>
      <c r="G35" s="16">
        <f>IFERROR(INDEX(계정과목!$C$5:$C$78,MATCH(E35,계정과목!$A$5:$A$78,0)),"계정 없음")</f>
        <v/>
      </c>
      <c r="H35" s="16">
        <f>IFERROR(INDEX(계정과목!$E$5:$E$78,MATCH(E35,계정과목!$A$5:$A$78,0)),"계정 없음")</f>
        <v/>
      </c>
      <c r="I35" s="20" t="n">
        <v>-17500</v>
      </c>
      <c r="J35" s="25">
        <f>SUMIFS(전표!$K$5:$K$1000,전표!$H$5:$H$1000,E35,전표!$J$5:$J$1000,"S")</f>
        <v/>
      </c>
      <c r="K35" s="25">
        <f>SUMIFS(전표!$K$5:$K$1000,전표!$H$5:$H$1000,E35,전표!$J$5:$J$1000,"H")</f>
        <v/>
      </c>
      <c r="L35" s="21">
        <f>I35+J35-K35</f>
        <v/>
      </c>
      <c r="M35" s="21">
        <f>MAX(L35,0)</f>
        <v/>
      </c>
      <c r="N35" s="21">
        <f>MAX(-L35,0)</f>
        <v/>
      </c>
    </row>
    <row r="36">
      <c r="A36" s="16">
        <f>안내!$B$5</f>
        <v/>
      </c>
      <c r="B36" s="16">
        <f>안내!$B$7</f>
        <v/>
      </c>
      <c r="C36" s="16">
        <f>안내!$B$8</f>
        <v/>
      </c>
      <c r="D36" s="16">
        <f>안내!$B$9</f>
        <v/>
      </c>
      <c r="E36" s="14" t="inlineStr">
        <is>
          <t>42101000</t>
        </is>
      </c>
      <c r="F36" s="19">
        <f>IFERROR(INDEX(계정과목!$B$5:$B$78,MATCH(E36,계정과목!$A$5:$A$78,0)),"계정 없음")</f>
        <v/>
      </c>
      <c r="G36" s="16">
        <f>IFERROR(INDEX(계정과목!$C$5:$C$78,MATCH(E36,계정과목!$A$5:$A$78,0)),"계정 없음")</f>
        <v/>
      </c>
      <c r="H36" s="16">
        <f>IFERROR(INDEX(계정과목!$E$5:$E$78,MATCH(E36,계정과목!$A$5:$A$78,0)),"계정 없음")</f>
        <v/>
      </c>
      <c r="I36" s="20" t="n">
        <v>-71000</v>
      </c>
      <c r="J36" s="25">
        <f>SUMIFS(전표!$K$5:$K$1000,전표!$H$5:$H$1000,E36,전표!$J$5:$J$1000,"S")</f>
        <v/>
      </c>
      <c r="K36" s="25">
        <f>SUMIFS(전표!$K$5:$K$1000,전표!$H$5:$H$1000,E36,전표!$J$5:$J$1000,"H")</f>
        <v/>
      </c>
      <c r="L36" s="21">
        <f>I36+J36-K36</f>
        <v/>
      </c>
      <c r="M36" s="21">
        <f>MAX(L36,0)</f>
        <v/>
      </c>
      <c r="N36" s="21">
        <f>MAX(-L36,0)</f>
        <v/>
      </c>
    </row>
    <row r="37">
      <c r="A37" s="16">
        <f>안내!$B$5</f>
        <v/>
      </c>
      <c r="B37" s="16">
        <f>안내!$B$7</f>
        <v/>
      </c>
      <c r="C37" s="16">
        <f>안내!$B$8</f>
        <v/>
      </c>
      <c r="D37" s="16">
        <f>안내!$B$9</f>
        <v/>
      </c>
      <c r="E37" s="14" t="inlineStr">
        <is>
          <t>42102000</t>
        </is>
      </c>
      <c r="F37" s="19">
        <f>IFERROR(INDEX(계정과목!$B$5:$B$78,MATCH(E37,계정과목!$A$5:$A$78,0)),"계정 없음")</f>
        <v/>
      </c>
      <c r="G37" s="16">
        <f>IFERROR(INDEX(계정과목!$C$5:$C$78,MATCH(E37,계정과목!$A$5:$A$78,0)),"계정 없음")</f>
        <v/>
      </c>
      <c r="H37" s="16">
        <f>IFERROR(INDEX(계정과목!$E$5:$E$78,MATCH(E37,계정과목!$A$5:$A$78,0)),"계정 없음")</f>
        <v/>
      </c>
      <c r="I37" s="20" t="n">
        <v>-6800</v>
      </c>
      <c r="J37" s="25">
        <f>SUMIFS(전표!$K$5:$K$1000,전표!$H$5:$H$1000,E37,전표!$J$5:$J$1000,"S")</f>
        <v/>
      </c>
      <c r="K37" s="25">
        <f>SUMIFS(전표!$K$5:$K$1000,전표!$H$5:$H$1000,E37,전표!$J$5:$J$1000,"H")</f>
        <v/>
      </c>
      <c r="L37" s="21">
        <f>I37+J37-K37</f>
        <v/>
      </c>
      <c r="M37" s="21">
        <f>MAX(L37,0)</f>
        <v/>
      </c>
      <c r="N37" s="21">
        <f>MAX(-L37,0)</f>
        <v/>
      </c>
    </row>
    <row r="38">
      <c r="A38" s="16">
        <f>안내!$B$5</f>
        <v/>
      </c>
      <c r="B38" s="16">
        <f>안내!$B$7</f>
        <v/>
      </c>
      <c r="C38" s="16">
        <f>안내!$B$8</f>
        <v/>
      </c>
      <c r="D38" s="16">
        <f>안내!$B$9</f>
        <v/>
      </c>
      <c r="E38" s="14" t="inlineStr">
        <is>
          <t>42201000</t>
        </is>
      </c>
      <c r="F38" s="19">
        <f>IFERROR(INDEX(계정과목!$B$5:$B$78,MATCH(E38,계정과목!$A$5:$A$78,0)),"계정 없음")</f>
        <v/>
      </c>
      <c r="G38" s="16">
        <f>IFERROR(INDEX(계정과목!$C$5:$C$78,MATCH(E38,계정과목!$A$5:$A$78,0)),"계정 없음")</f>
        <v/>
      </c>
      <c r="H38" s="16">
        <f>IFERROR(INDEX(계정과목!$E$5:$E$78,MATCH(E38,계정과목!$A$5:$A$78,0)),"계정 없음")</f>
        <v/>
      </c>
      <c r="I38" s="20" t="n">
        <v>-9400</v>
      </c>
      <c r="J38" s="25">
        <f>SUMIFS(전표!$K$5:$K$1000,전표!$H$5:$H$1000,E38,전표!$J$5:$J$1000,"S")</f>
        <v/>
      </c>
      <c r="K38" s="25">
        <f>SUMIFS(전표!$K$5:$K$1000,전표!$H$5:$H$1000,E38,전표!$J$5:$J$1000,"H")</f>
        <v/>
      </c>
      <c r="L38" s="21">
        <f>I38+J38-K38</f>
        <v/>
      </c>
      <c r="M38" s="21">
        <f>MAX(L38,0)</f>
        <v/>
      </c>
      <c r="N38" s="21">
        <f>MAX(-L38,0)</f>
        <v/>
      </c>
    </row>
    <row r="39">
      <c r="A39" s="16">
        <f>안내!$B$5</f>
        <v/>
      </c>
      <c r="B39" s="16">
        <f>안내!$B$7</f>
        <v/>
      </c>
      <c r="C39" s="16">
        <f>안내!$B$8</f>
        <v/>
      </c>
      <c r="D39" s="16">
        <f>안내!$B$9</f>
        <v/>
      </c>
      <c r="E39" s="14" t="inlineStr">
        <is>
          <t>42202000</t>
        </is>
      </c>
      <c r="F39" s="19">
        <f>IFERROR(INDEX(계정과목!$B$5:$B$78,MATCH(E39,계정과목!$A$5:$A$78,0)),"계정 없음")</f>
        <v/>
      </c>
      <c r="G39" s="16">
        <f>IFERROR(INDEX(계정과목!$C$5:$C$78,MATCH(E39,계정과목!$A$5:$A$78,0)),"계정 없음")</f>
        <v/>
      </c>
      <c r="H39" s="16">
        <f>IFERROR(INDEX(계정과목!$E$5:$E$78,MATCH(E39,계정과목!$A$5:$A$78,0)),"계정 없음")</f>
        <v/>
      </c>
      <c r="I39" s="20" t="n">
        <v>-14200</v>
      </c>
      <c r="J39" s="25">
        <f>SUMIFS(전표!$K$5:$K$1000,전표!$H$5:$H$1000,E39,전표!$J$5:$J$1000,"S")</f>
        <v/>
      </c>
      <c r="K39" s="25">
        <f>SUMIFS(전표!$K$5:$K$1000,전표!$H$5:$H$1000,E39,전표!$J$5:$J$1000,"H")</f>
        <v/>
      </c>
      <c r="L39" s="21">
        <f>I39+J39-K39</f>
        <v/>
      </c>
      <c r="M39" s="21">
        <f>MAX(L39,0)</f>
        <v/>
      </c>
      <c r="N39" s="21">
        <f>MAX(-L39,0)</f>
        <v/>
      </c>
    </row>
    <row r="40">
      <c r="A40" s="16">
        <f>안내!$B$5</f>
        <v/>
      </c>
      <c r="B40" s="16">
        <f>안내!$B$7</f>
        <v/>
      </c>
      <c r="C40" s="16">
        <f>안내!$B$8</f>
        <v/>
      </c>
      <c r="D40" s="16">
        <f>안내!$B$9</f>
        <v/>
      </c>
      <c r="E40" s="14" t="inlineStr">
        <is>
          <t>42301000</t>
        </is>
      </c>
      <c r="F40" s="19">
        <f>IFERROR(INDEX(계정과목!$B$5:$B$78,MATCH(E40,계정과목!$A$5:$A$78,0)),"계정 없음")</f>
        <v/>
      </c>
      <c r="G40" s="16">
        <f>IFERROR(INDEX(계정과목!$C$5:$C$78,MATCH(E40,계정과목!$A$5:$A$78,0)),"계정 없음")</f>
        <v/>
      </c>
      <c r="H40" s="16">
        <f>IFERROR(INDEX(계정과목!$E$5:$E$78,MATCH(E40,계정과목!$A$5:$A$78,0)),"계정 없음")</f>
        <v/>
      </c>
      <c r="I40" s="20" t="n">
        <v>-11300</v>
      </c>
      <c r="J40" s="25">
        <f>SUMIFS(전표!$K$5:$K$1000,전표!$H$5:$H$1000,E40,전표!$J$5:$J$1000,"S")</f>
        <v/>
      </c>
      <c r="K40" s="25">
        <f>SUMIFS(전표!$K$5:$K$1000,전표!$H$5:$H$1000,E40,전표!$J$5:$J$1000,"H")</f>
        <v/>
      </c>
      <c r="L40" s="21">
        <f>I40+J40-K40</f>
        <v/>
      </c>
      <c r="M40" s="21">
        <f>MAX(L40,0)</f>
        <v/>
      </c>
      <c r="N40" s="21">
        <f>MAX(-L40,0)</f>
        <v/>
      </c>
    </row>
    <row r="41">
      <c r="A41" s="16">
        <f>안내!$B$5</f>
        <v/>
      </c>
      <c r="B41" s="16">
        <f>안내!$B$7</f>
        <v/>
      </c>
      <c r="C41" s="16">
        <f>안내!$B$8</f>
        <v/>
      </c>
      <c r="D41" s="16">
        <f>안내!$B$9</f>
        <v/>
      </c>
      <c r="E41" s="14" t="inlineStr">
        <is>
          <t>51101000</t>
        </is>
      </c>
      <c r="F41" s="19">
        <f>IFERROR(INDEX(계정과목!$B$5:$B$78,MATCH(E41,계정과목!$A$5:$A$78,0)),"계정 없음")</f>
        <v/>
      </c>
      <c r="G41" s="16">
        <f>IFERROR(INDEX(계정과목!$C$5:$C$78,MATCH(E41,계정과목!$A$5:$A$78,0)),"계정 없음")</f>
        <v/>
      </c>
      <c r="H41" s="16">
        <f>IFERROR(INDEX(계정과목!$E$5:$E$78,MATCH(E41,계정과목!$A$5:$A$78,0)),"계정 없음")</f>
        <v/>
      </c>
      <c r="I41" s="20" t="n">
        <v>455000</v>
      </c>
      <c r="J41" s="25">
        <f>SUMIFS(전표!$K$5:$K$1000,전표!$H$5:$H$1000,E41,전표!$J$5:$J$1000,"S")</f>
        <v/>
      </c>
      <c r="K41" s="25">
        <f>SUMIFS(전표!$K$5:$K$1000,전표!$H$5:$H$1000,E41,전표!$J$5:$J$1000,"H")</f>
        <v/>
      </c>
      <c r="L41" s="21">
        <f>I41+J41-K41</f>
        <v/>
      </c>
      <c r="M41" s="21">
        <f>MAX(L41,0)</f>
        <v/>
      </c>
      <c r="N41" s="21">
        <f>MAX(-L41,0)</f>
        <v/>
      </c>
    </row>
    <row r="42">
      <c r="A42" s="16">
        <f>안내!$B$5</f>
        <v/>
      </c>
      <c r="B42" s="16">
        <f>안내!$B$7</f>
        <v/>
      </c>
      <c r="C42" s="16">
        <f>안내!$B$8</f>
        <v/>
      </c>
      <c r="D42" s="16">
        <f>안내!$B$9</f>
        <v/>
      </c>
      <c r="E42" s="14" t="inlineStr">
        <is>
          <t>51201000</t>
        </is>
      </c>
      <c r="F42" s="19">
        <f>IFERROR(INDEX(계정과목!$B$5:$B$78,MATCH(E42,계정과목!$A$5:$A$78,0)),"계정 없음")</f>
        <v/>
      </c>
      <c r="G42" s="16">
        <f>IFERROR(INDEX(계정과목!$C$5:$C$78,MATCH(E42,계정과목!$A$5:$A$78,0)),"계정 없음")</f>
        <v/>
      </c>
      <c r="H42" s="16">
        <f>IFERROR(INDEX(계정과목!$E$5:$E$78,MATCH(E42,계정과목!$A$5:$A$78,0)),"계정 없음")</f>
        <v/>
      </c>
      <c r="I42" s="20" t="n">
        <v>26100</v>
      </c>
      <c r="J42" s="25">
        <f>SUMIFS(전표!$K$5:$K$1000,전표!$H$5:$H$1000,E42,전표!$J$5:$J$1000,"S")</f>
        <v/>
      </c>
      <c r="K42" s="25">
        <f>SUMIFS(전표!$K$5:$K$1000,전표!$H$5:$H$1000,E42,전표!$J$5:$J$1000,"H")</f>
        <v/>
      </c>
      <c r="L42" s="21">
        <f>I42+J42-K42</f>
        <v/>
      </c>
      <c r="M42" s="21">
        <f>MAX(L42,0)</f>
        <v/>
      </c>
      <c r="N42" s="21">
        <f>MAX(-L42,0)</f>
        <v/>
      </c>
    </row>
    <row r="43">
      <c r="A43" s="16">
        <f>안내!$B$5</f>
        <v/>
      </c>
      <c r="B43" s="16">
        <f>안내!$B$7</f>
        <v/>
      </c>
      <c r="C43" s="16">
        <f>안내!$B$8</f>
        <v/>
      </c>
      <c r="D43" s="16">
        <f>안내!$B$9</f>
        <v/>
      </c>
      <c r="E43" s="14" t="inlineStr">
        <is>
          <t>52101000</t>
        </is>
      </c>
      <c r="F43" s="19">
        <f>IFERROR(INDEX(계정과목!$B$5:$B$78,MATCH(E43,계정과목!$A$5:$A$78,0)),"계정 없음")</f>
        <v/>
      </c>
      <c r="G43" s="16">
        <f>IFERROR(INDEX(계정과목!$C$5:$C$78,MATCH(E43,계정과목!$A$5:$A$78,0)),"계정 없음")</f>
        <v/>
      </c>
      <c r="H43" s="16">
        <f>IFERROR(INDEX(계정과목!$E$5:$E$78,MATCH(E43,계정과목!$A$5:$A$78,0)),"계정 없음")</f>
        <v/>
      </c>
      <c r="I43" s="20" t="n">
        <v>60500</v>
      </c>
      <c r="J43" s="25">
        <f>SUMIFS(전표!$K$5:$K$1000,전표!$H$5:$H$1000,E43,전표!$J$5:$J$1000,"S")</f>
        <v/>
      </c>
      <c r="K43" s="25">
        <f>SUMIFS(전표!$K$5:$K$1000,전표!$H$5:$H$1000,E43,전표!$J$5:$J$1000,"H")</f>
        <v/>
      </c>
      <c r="L43" s="21">
        <f>I43+J43-K43</f>
        <v/>
      </c>
      <c r="M43" s="21">
        <f>MAX(L43,0)</f>
        <v/>
      </c>
      <c r="N43" s="21">
        <f>MAX(-L43,0)</f>
        <v/>
      </c>
    </row>
    <row r="44">
      <c r="A44" s="16">
        <f>안내!$B$5</f>
        <v/>
      </c>
      <c r="B44" s="16">
        <f>안내!$B$7</f>
        <v/>
      </c>
      <c r="C44" s="16">
        <f>안내!$B$8</f>
        <v/>
      </c>
      <c r="D44" s="16">
        <f>안내!$B$9</f>
        <v/>
      </c>
      <c r="E44" s="14" t="inlineStr">
        <is>
          <t>52201000</t>
        </is>
      </c>
      <c r="F44" s="19">
        <f>IFERROR(INDEX(계정과목!$B$5:$B$78,MATCH(E44,계정과목!$A$5:$A$78,0)),"계정 없음")</f>
        <v/>
      </c>
      <c r="G44" s="16">
        <f>IFERROR(INDEX(계정과목!$C$5:$C$78,MATCH(E44,계정과목!$A$5:$A$78,0)),"계정 없음")</f>
        <v/>
      </c>
      <c r="H44" s="16">
        <f>IFERROR(INDEX(계정과목!$E$5:$E$78,MATCH(E44,계정과목!$A$5:$A$78,0)),"계정 없음")</f>
        <v/>
      </c>
      <c r="I44" s="20" t="n">
        <v>3100</v>
      </c>
      <c r="J44" s="25">
        <f>SUMIFS(전표!$K$5:$K$1000,전표!$H$5:$H$1000,E44,전표!$J$5:$J$1000,"S")</f>
        <v/>
      </c>
      <c r="K44" s="25">
        <f>SUMIFS(전표!$K$5:$K$1000,전표!$H$5:$H$1000,E44,전표!$J$5:$J$1000,"H")</f>
        <v/>
      </c>
      <c r="L44" s="21">
        <f>I44+J44-K44</f>
        <v/>
      </c>
      <c r="M44" s="21">
        <f>MAX(L44,0)</f>
        <v/>
      </c>
      <c r="N44" s="21">
        <f>MAX(-L44,0)</f>
        <v/>
      </c>
    </row>
    <row r="45">
      <c r="A45" s="16">
        <f>안내!$B$5</f>
        <v/>
      </c>
      <c r="B45" s="16">
        <f>안내!$B$7</f>
        <v/>
      </c>
      <c r="C45" s="16">
        <f>안내!$B$8</f>
        <v/>
      </c>
      <c r="D45" s="16">
        <f>안내!$B$9</f>
        <v/>
      </c>
      <c r="E45" s="14" t="inlineStr">
        <is>
          <t>52202000</t>
        </is>
      </c>
      <c r="F45" s="19">
        <f>IFERROR(INDEX(계정과목!$B$5:$B$78,MATCH(E45,계정과목!$A$5:$A$78,0)),"계정 없음")</f>
        <v/>
      </c>
      <c r="G45" s="16">
        <f>IFERROR(INDEX(계정과목!$C$5:$C$78,MATCH(E45,계정과목!$A$5:$A$78,0)),"계정 없음")</f>
        <v/>
      </c>
      <c r="H45" s="16">
        <f>IFERROR(INDEX(계정과목!$E$5:$E$78,MATCH(E45,계정과목!$A$5:$A$78,0)),"계정 없음")</f>
        <v/>
      </c>
      <c r="I45" s="20" t="n">
        <v>8700</v>
      </c>
      <c r="J45" s="25">
        <f>SUMIFS(전표!$K$5:$K$1000,전표!$H$5:$H$1000,E45,전표!$J$5:$J$1000,"S")</f>
        <v/>
      </c>
      <c r="K45" s="25">
        <f>SUMIFS(전표!$K$5:$K$1000,전표!$H$5:$H$1000,E45,전표!$J$5:$J$1000,"H")</f>
        <v/>
      </c>
      <c r="L45" s="21">
        <f>I45+J45-K45</f>
        <v/>
      </c>
      <c r="M45" s="21">
        <f>MAX(L45,0)</f>
        <v/>
      </c>
      <c r="N45" s="21">
        <f>MAX(-L45,0)</f>
        <v/>
      </c>
    </row>
    <row r="46">
      <c r="A46" s="16">
        <f>안내!$B$5</f>
        <v/>
      </c>
      <c r="B46" s="16">
        <f>안내!$B$7</f>
        <v/>
      </c>
      <c r="C46" s="16">
        <f>안내!$B$8</f>
        <v/>
      </c>
      <c r="D46" s="16">
        <f>안내!$B$9</f>
        <v/>
      </c>
      <c r="E46" s="14" t="inlineStr">
        <is>
          <t>52301000</t>
        </is>
      </c>
      <c r="F46" s="19">
        <f>IFERROR(INDEX(계정과목!$B$5:$B$78,MATCH(E46,계정과목!$A$5:$A$78,0)),"계정 없음")</f>
        <v/>
      </c>
      <c r="G46" s="16">
        <f>IFERROR(INDEX(계정과목!$C$5:$C$78,MATCH(E46,계정과목!$A$5:$A$78,0)),"계정 없음")</f>
        <v/>
      </c>
      <c r="H46" s="16">
        <f>IFERROR(INDEX(계정과목!$E$5:$E$78,MATCH(E46,계정과목!$A$5:$A$78,0)),"계정 없음")</f>
        <v/>
      </c>
      <c r="I46" s="20" t="n">
        <v>950</v>
      </c>
      <c r="J46" s="25">
        <f>SUMIFS(전표!$K$5:$K$1000,전표!$H$5:$H$1000,E46,전표!$J$5:$J$1000,"S")</f>
        <v/>
      </c>
      <c r="K46" s="25">
        <f>SUMIFS(전표!$K$5:$K$1000,전표!$H$5:$H$1000,E46,전표!$J$5:$J$1000,"H")</f>
        <v/>
      </c>
      <c r="L46" s="21">
        <f>I46+J46-K46</f>
        <v/>
      </c>
      <c r="M46" s="21">
        <f>MAX(L46,0)</f>
        <v/>
      </c>
      <c r="N46" s="21">
        <f>MAX(-L46,0)</f>
        <v/>
      </c>
    </row>
    <row r="47">
      <c r="A47" s="16">
        <f>안내!$B$5</f>
        <v/>
      </c>
      <c r="B47" s="16">
        <f>안내!$B$7</f>
        <v/>
      </c>
      <c r="C47" s="16">
        <f>안내!$B$8</f>
        <v/>
      </c>
      <c r="D47" s="16">
        <f>안내!$B$9</f>
        <v/>
      </c>
      <c r="E47" s="14" t="inlineStr">
        <is>
          <t>52401000</t>
        </is>
      </c>
      <c r="F47" s="19">
        <f>IFERROR(INDEX(계정과목!$B$5:$B$78,MATCH(E47,계정과목!$A$5:$A$78,0)),"계정 없음")</f>
        <v/>
      </c>
      <c r="G47" s="16">
        <f>IFERROR(INDEX(계정과목!$C$5:$C$78,MATCH(E47,계정과목!$A$5:$A$78,0)),"계정 없음")</f>
        <v/>
      </c>
      <c r="H47" s="16">
        <f>IFERROR(INDEX(계정과목!$E$5:$E$78,MATCH(E47,계정과목!$A$5:$A$78,0)),"계정 없음")</f>
        <v/>
      </c>
      <c r="I47" s="20" t="n">
        <v>2550</v>
      </c>
      <c r="J47" s="25">
        <f>SUMIFS(전표!$K$5:$K$1000,전표!$H$5:$H$1000,E47,전표!$J$5:$J$1000,"S")</f>
        <v/>
      </c>
      <c r="K47" s="25">
        <f>SUMIFS(전표!$K$5:$K$1000,전표!$H$5:$H$1000,E47,전표!$J$5:$J$1000,"H")</f>
        <v/>
      </c>
      <c r="L47" s="21">
        <f>I47+J47-K47</f>
        <v/>
      </c>
      <c r="M47" s="21">
        <f>MAX(L47,0)</f>
        <v/>
      </c>
      <c r="N47" s="21">
        <f>MAX(-L47,0)</f>
        <v/>
      </c>
    </row>
    <row r="48">
      <c r="A48" s="16">
        <f>안내!$B$5</f>
        <v/>
      </c>
      <c r="B48" s="16">
        <f>안내!$B$7</f>
        <v/>
      </c>
      <c r="C48" s="16">
        <f>안내!$B$8</f>
        <v/>
      </c>
      <c r="D48" s="16">
        <f>안내!$B$9</f>
        <v/>
      </c>
      <c r="E48" s="14" t="inlineStr">
        <is>
          <t>52501000</t>
        </is>
      </c>
      <c r="F48" s="19">
        <f>IFERROR(INDEX(계정과목!$B$5:$B$78,MATCH(E48,계정과목!$A$5:$A$78,0)),"계정 없음")</f>
        <v/>
      </c>
      <c r="G48" s="16">
        <f>IFERROR(INDEX(계정과목!$C$5:$C$78,MATCH(E48,계정과목!$A$5:$A$78,0)),"계정 없음")</f>
        <v/>
      </c>
      <c r="H48" s="16">
        <f>IFERROR(INDEX(계정과목!$E$5:$E$78,MATCH(E48,계정과목!$A$5:$A$78,0)),"계정 없음")</f>
        <v/>
      </c>
      <c r="I48" s="20" t="n">
        <v>5200</v>
      </c>
      <c r="J48" s="25">
        <f>SUMIFS(전표!$K$5:$K$1000,전표!$H$5:$H$1000,E48,전표!$J$5:$J$1000,"S")</f>
        <v/>
      </c>
      <c r="K48" s="25">
        <f>SUMIFS(전표!$K$5:$K$1000,전표!$H$5:$H$1000,E48,전표!$J$5:$J$1000,"H")</f>
        <v/>
      </c>
      <c r="L48" s="21">
        <f>I48+J48-K48</f>
        <v/>
      </c>
      <c r="M48" s="21">
        <f>MAX(L48,0)</f>
        <v/>
      </c>
      <c r="N48" s="21">
        <f>MAX(-L48,0)</f>
        <v/>
      </c>
    </row>
    <row r="49">
      <c r="A49" s="16">
        <f>안내!$B$5</f>
        <v/>
      </c>
      <c r="B49" s="16">
        <f>안내!$B$7</f>
        <v/>
      </c>
      <c r="C49" s="16">
        <f>안내!$B$8</f>
        <v/>
      </c>
      <c r="D49" s="16">
        <f>안내!$B$9</f>
        <v/>
      </c>
      <c r="E49" s="14" t="inlineStr">
        <is>
          <t>53101000</t>
        </is>
      </c>
      <c r="F49" s="19">
        <f>IFERROR(INDEX(계정과목!$B$5:$B$78,MATCH(E49,계정과목!$A$5:$A$78,0)),"계정 없음")</f>
        <v/>
      </c>
      <c r="G49" s="16">
        <f>IFERROR(INDEX(계정과목!$C$5:$C$78,MATCH(E49,계정과목!$A$5:$A$78,0)),"계정 없음")</f>
        <v/>
      </c>
      <c r="H49" s="16">
        <f>IFERROR(INDEX(계정과목!$E$5:$E$78,MATCH(E49,계정과목!$A$5:$A$78,0)),"계정 없음")</f>
        <v/>
      </c>
      <c r="I49" s="20" t="n">
        <v>17600</v>
      </c>
      <c r="J49" s="25">
        <f>SUMIFS(전표!$K$5:$K$1000,전표!$H$5:$H$1000,E49,전표!$J$5:$J$1000,"S")</f>
        <v/>
      </c>
      <c r="K49" s="25">
        <f>SUMIFS(전표!$K$5:$K$1000,전표!$H$5:$H$1000,E49,전표!$J$5:$J$1000,"H")</f>
        <v/>
      </c>
      <c r="L49" s="21">
        <f>I49+J49-K49</f>
        <v/>
      </c>
      <c r="M49" s="21">
        <f>MAX(L49,0)</f>
        <v/>
      </c>
      <c r="N49" s="21">
        <f>MAX(-L49,0)</f>
        <v/>
      </c>
    </row>
    <row r="50">
      <c r="A50" s="26" t="n"/>
      <c r="B50" s="26" t="n"/>
      <c r="C50" s="26" t="n"/>
      <c r="D50" s="26" t="n"/>
      <c r="E50" s="26" t="n"/>
      <c r="F50" s="22" t="inlineStr">
        <is>
          <t>합계</t>
        </is>
      </c>
      <c r="G50" s="26" t="n"/>
      <c r="H50" s="26" t="n"/>
      <c r="I50" s="27">
        <f>SUM(I6:I49)</f>
        <v/>
      </c>
      <c r="J50" s="27">
        <f>SUM(J6:J49)</f>
        <v/>
      </c>
      <c r="K50" s="27">
        <f>SUM(K6:K49)</f>
        <v/>
      </c>
      <c r="L50" s="27">
        <f>SUM(L6:L49)</f>
        <v/>
      </c>
      <c r="M50" s="27">
        <f>SUM(M6:M49)</f>
        <v/>
      </c>
      <c r="N50" s="27">
        <f>SUM(N6:N49)</f>
        <v/>
      </c>
    </row>
    <row r="51">
      <c r="F51" s="8" t="inlineStr">
        <is>
          <t>검증</t>
        </is>
      </c>
      <c r="I51" s="28">
        <f>IF(ABS(I50)&lt;0.5,"OK","기초 불일치")</f>
        <v/>
      </c>
      <c r="J51" s="28">
        <f>IF(ABS(J50-K50)&lt;0.5,"OK","차대 불일치")</f>
        <v/>
      </c>
      <c r="K51" s="29" t="n"/>
      <c r="L51" s="28">
        <f>IF(ABS(L50)&lt;0.5,"OK","기말 불일치")</f>
        <v/>
      </c>
      <c r="M51" s="28">
        <f>IF(ABS(M50-N50)&lt;0.5,"OK","잔액 불일치")</f>
        <v/>
      </c>
      <c r="N51" s="29" t="n"/>
    </row>
    <row r="53">
      <c r="F53" s="3" t="inlineStr">
        <is>
          <t>대분류별 요약 (재무제표 표시 부호: 양수)</t>
        </is>
      </c>
    </row>
    <row r="54" ht="20" customHeight="1">
      <c r="A54" s="30" t="n"/>
      <c r="B54" s="30" t="n"/>
      <c r="C54" s="30" t="n"/>
      <c r="D54" s="30" t="n"/>
      <c r="E54" s="30" t="n"/>
      <c r="F54" s="7" t="inlineStr">
        <is>
          <t>대분류</t>
        </is>
      </c>
      <c r="G54" s="7" t="inlineStr"/>
      <c r="H54" s="7" t="inlineStr"/>
      <c r="I54" s="7" t="inlineStr">
        <is>
          <t>기초</t>
        </is>
      </c>
      <c r="J54" s="7" t="inlineStr">
        <is>
          <t>당기 차변</t>
        </is>
      </c>
      <c r="K54" s="7" t="inlineStr">
        <is>
          <t>당기 대변</t>
        </is>
      </c>
      <c r="L54" s="7" t="inlineStr">
        <is>
          <t>기말</t>
        </is>
      </c>
    </row>
    <row r="55">
      <c r="F55" s="8" t="inlineStr">
        <is>
          <t>자산</t>
        </is>
      </c>
      <c r="I55" s="21">
        <f>SUMIFS(I$6:I$49,$G$6:$G$49,$F55)</f>
        <v/>
      </c>
      <c r="J55" s="21">
        <f>SUMIFS(J$6:J$49,$G$6:$G$49,$F55)</f>
        <v/>
      </c>
      <c r="K55" s="21">
        <f>SUMIFS(K$6:K$49,$G$6:$G$49,$F55)</f>
        <v/>
      </c>
      <c r="L55" s="21">
        <f>SUMIFS(L$6:L$49,$G$6:$G$49,$F55)</f>
        <v/>
      </c>
    </row>
    <row r="56">
      <c r="F56" s="8" t="inlineStr">
        <is>
          <t>부채</t>
        </is>
      </c>
      <c r="I56" s="21">
        <f>-SUMIFS(I$6:I$49,$G$6:$G$49,$F56)</f>
        <v/>
      </c>
      <c r="J56" s="21">
        <f>SUMIFS(J$6:J$49,$G$6:$G$49,$F56)</f>
        <v/>
      </c>
      <c r="K56" s="21">
        <f>SUMIFS(K$6:K$49,$G$6:$G$49,$F56)</f>
        <v/>
      </c>
      <c r="L56" s="21">
        <f>-SUMIFS(L$6:L$49,$G$6:$G$49,$F56)</f>
        <v/>
      </c>
    </row>
    <row r="57">
      <c r="F57" s="8" t="inlineStr">
        <is>
          <t>자본</t>
        </is>
      </c>
      <c r="I57" s="21">
        <f>-SUMIFS(I$6:I$49,$G$6:$G$49,$F57)</f>
        <v/>
      </c>
      <c r="J57" s="21">
        <f>SUMIFS(J$6:J$49,$G$6:$G$49,$F57)</f>
        <v/>
      </c>
      <c r="K57" s="21">
        <f>SUMIFS(K$6:K$49,$G$6:$G$49,$F57)</f>
        <v/>
      </c>
      <c r="L57" s="21">
        <f>-SUMIFS(L$6:L$49,$G$6:$G$49,$F57)</f>
        <v/>
      </c>
    </row>
    <row r="58">
      <c r="F58" s="8" t="inlineStr">
        <is>
          <t>수익</t>
        </is>
      </c>
      <c r="I58" s="21">
        <f>-SUMIFS(I$6:I$49,$G$6:$G$49,$F58)</f>
        <v/>
      </c>
      <c r="J58" s="21">
        <f>SUMIFS(J$6:J$49,$G$6:$G$49,$F58)</f>
        <v/>
      </c>
      <c r="K58" s="21">
        <f>SUMIFS(K$6:K$49,$G$6:$G$49,$F58)</f>
        <v/>
      </c>
      <c r="L58" s="21">
        <f>-SUMIFS(L$6:L$49,$G$6:$G$49,$F58)</f>
        <v/>
      </c>
    </row>
    <row r="59">
      <c r="F59" s="8" t="inlineStr">
        <is>
          <t>비용</t>
        </is>
      </c>
      <c r="I59" s="21">
        <f>SUMIFS(I$6:I$49,$G$6:$G$49,$F59)</f>
        <v/>
      </c>
      <c r="J59" s="21">
        <f>SUMIFS(J$6:J$49,$G$6:$G$49,$F59)</f>
        <v/>
      </c>
      <c r="K59" s="21">
        <f>SUMIFS(K$6:K$49,$G$6:$G$49,$F59)</f>
        <v/>
      </c>
      <c r="L59" s="21">
        <f>SUMIFS(L$6:L$49,$G$6:$G$49,$F59)</f>
        <v/>
      </c>
    </row>
    <row r="60">
      <c r="F60" s="4" t="inlineStr">
        <is>
          <t>당기순이익 (수익−비용, 연누계)</t>
        </is>
      </c>
      <c r="I60" s="31">
        <f>I58-I59</f>
        <v/>
      </c>
      <c r="L60" s="31">
        <f>L58-L59</f>
        <v/>
      </c>
    </row>
    <row r="61">
      <c r="F61" s="8" t="inlineStr">
        <is>
          <t>대차검증 (자산 = 부채+자본+순이익)</t>
        </is>
      </c>
      <c r="L61" s="28">
        <f>IF(ABS(L55-L56-L57-L60)&lt;0.5,"OK","불일치")</f>
        <v/>
      </c>
    </row>
    <row r="63">
      <c r="F63" s="13" t="inlineStr">
        <is>
          <t>※ 기초잔액은 전기말까지의 누계(손익계정은 연초~전월 누계)입니다. 당기 차변·대변은 '전표' 시트에서 자동 집계됩니다.</t>
        </is>
      </c>
    </row>
  </sheetData>
  <autoFilter ref="A5:N49"/>
  <mergeCells count="2">
    <mergeCell ref="M51:N51"/>
    <mergeCell ref="J51:K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5" customWidth="1" min="4" max="4"/>
    <col width="28" customWidth="1" min="5" max="5"/>
    <col width="10" customWidth="1" min="6" max="6"/>
    <col width="9" customWidth="1" min="7" max="7"/>
    <col width="6" customWidth="1" min="8" max="8"/>
    <col width="11" customWidth="1" min="9" max="9"/>
    <col width="10" customWidth="1" min="10" max="10"/>
    <col width="11" customWidth="1" min="11" max="11"/>
    <col width="11" customWidth="1" min="12" max="12"/>
    <col width="11" customWidth="1" min="13" max="13"/>
    <col width="12" customWidth="1" min="14" max="14"/>
    <col width="13" customWidth="1" min="15" max="15"/>
    <col width="11" customWidth="1" min="16" max="16"/>
    <col width="12" customWidth="1" min="17" max="17"/>
    <col width="10" customWidth="1" min="18" max="18"/>
    <col width="8" customWidth="1" min="19" max="19"/>
    <col width="8" customWidth="1" min="20" max="20"/>
    <col width="11" customWidth="1" min="21" max="21"/>
    <col width="9" customWidth="1" min="22" max="22"/>
    <col width="8" customWidth="1" min="23" max="23"/>
    <col width="11" customWidth="1" min="24" max="24"/>
    <col width="11" customWidth="1" min="25" max="25"/>
  </cols>
  <sheetData>
    <row r="1">
      <c r="A1" s="1" t="inlineStr">
        <is>
          <t>운용자산 종목별 명세 (Investment Holdings)</t>
        </is>
      </c>
    </row>
    <row r="2">
      <c r="A2" s="2" t="inlineStr">
        <is>
          <t>서브원장 추출 형태: SAP TRM(증권) · FS-CML(대출) · 부동산 관리 등 · 금액 단위: 백만원</t>
        </is>
      </c>
    </row>
    <row r="3">
      <c r="A3" s="2">
        <f>"회사: "&amp;안내!$B$6&amp;" ("&amp;안내!$B$5&amp;")   기준일: "&amp;TEXT(안내!$B$10,"yyyy-mm-dd")&amp;"   단위: "&amp;안내!$B$11</f>
        <v/>
      </c>
    </row>
    <row r="5" ht="42" customHeight="1">
      <c r="A5" s="7" t="inlineStr">
        <is>
          <t>포지션번호</t>
        </is>
      </c>
      <c r="B5" s="7" t="inlineStr">
        <is>
          <t>회사코드</t>
        </is>
      </c>
      <c r="C5" s="7" t="inlineStr">
        <is>
          <t>포트폴리오
(계정구분)</t>
        </is>
      </c>
      <c r="D5" s="7" t="inlineStr">
        <is>
          <t>종목코드
(ISIN 등)</t>
        </is>
      </c>
      <c r="E5" s="7" t="inlineStr">
        <is>
          <t>종목명</t>
        </is>
      </c>
      <c r="F5" s="7" t="inlineStr">
        <is>
          <t>자산군</t>
        </is>
      </c>
      <c r="G5" s="7" t="inlineStr">
        <is>
          <t>IFRS 9
분류</t>
        </is>
      </c>
      <c r="H5" s="7" t="inlineStr">
        <is>
          <t>통화</t>
        </is>
      </c>
      <c r="I5" s="7" t="inlineStr">
        <is>
          <t>액면금액
(통화, 백만)</t>
        </is>
      </c>
      <c r="J5" s="7" t="inlineStr">
        <is>
          <t>환율
(KRW/통화)</t>
        </is>
      </c>
      <c r="K5" s="7" t="inlineStr">
        <is>
          <t>취득원가</t>
        </is>
      </c>
      <c r="L5" s="7" t="inlineStr">
        <is>
          <t>상각후원가</t>
        </is>
      </c>
      <c r="M5" s="7" t="inlineStr">
        <is>
          <t>공정가치</t>
        </is>
      </c>
      <c r="N5" s="7" t="inlineStr">
        <is>
          <t>장부금액
(총액)</t>
        </is>
      </c>
      <c r="O5" s="7" t="inlineStr">
        <is>
          <t>평가손익
(FV−상각후원가)</t>
        </is>
      </c>
      <c r="P5" s="7" t="inlineStr">
        <is>
          <t>기대신용손실
(ECL)</t>
        </is>
      </c>
      <c r="Q5" s="7" t="inlineStr">
        <is>
          <t>순장부금액</t>
        </is>
      </c>
      <c r="R5" s="7" t="inlineStr">
        <is>
          <t>미수이자</t>
        </is>
      </c>
      <c r="S5" s="7" t="inlineStr">
        <is>
          <t>표면금리</t>
        </is>
      </c>
      <c r="T5" s="7" t="inlineStr">
        <is>
          <t>신용등급</t>
        </is>
      </c>
      <c r="U5" s="7" t="inlineStr">
        <is>
          <t>만기일</t>
        </is>
      </c>
      <c r="V5" s="7" t="inlineStr">
        <is>
          <t>잔존만기
(년)</t>
        </is>
      </c>
      <c r="W5" s="7" t="inlineStr">
        <is>
          <t>수정
듀레이션</t>
        </is>
      </c>
      <c r="X5" s="7" t="inlineStr">
        <is>
          <t>자산 G/L</t>
        </is>
      </c>
      <c r="Y5" s="7" t="inlineStr">
        <is>
          <t>충당금 G/L</t>
        </is>
      </c>
    </row>
    <row r="6">
      <c r="A6" s="14" t="inlineStr">
        <is>
          <t>P0001</t>
        </is>
      </c>
      <c r="B6" s="16">
        <f>안내!$B$5</f>
        <v/>
      </c>
      <c r="C6" s="14" t="inlineStr">
        <is>
          <t>일반계정</t>
        </is>
      </c>
      <c r="D6" s="15" t="inlineStr">
        <is>
          <t>KR7000000001</t>
        </is>
      </c>
      <c r="E6" s="15" t="inlineStr">
        <is>
          <t>국내상장주식 A (전기전자)</t>
        </is>
      </c>
      <c r="F6" s="14" t="inlineStr">
        <is>
          <t>주식</t>
        </is>
      </c>
      <c r="G6" s="14" t="inlineStr">
        <is>
          <t>FVPL</t>
        </is>
      </c>
      <c r="H6" s="14" t="inlineStr">
        <is>
          <t>KRW</t>
        </is>
      </c>
      <c r="I6" s="20" t="n"/>
      <c r="J6" s="32" t="n"/>
      <c r="K6" s="20" t="n">
        <v>85000</v>
      </c>
      <c r="L6" s="20" t="n">
        <v>85000</v>
      </c>
      <c r="M6" s="20" t="n">
        <v>97400</v>
      </c>
      <c r="N6" s="21">
        <f>IF(OR(G6="AC",G6="원가모형"),L6,M6)</f>
        <v/>
      </c>
      <c r="O6" s="21">
        <f>M6-L6</f>
        <v/>
      </c>
      <c r="P6" s="20" t="n">
        <v>0</v>
      </c>
      <c r="Q6" s="21">
        <f>N6-IF(G6="AC",P6,0)</f>
        <v/>
      </c>
      <c r="R6" s="20" t="n">
        <v>0</v>
      </c>
      <c r="S6" s="33" t="n"/>
      <c r="T6" s="14" t="inlineStr">
        <is>
          <t>-</t>
        </is>
      </c>
      <c r="U6" s="18" t="n"/>
      <c r="V6" s="34">
        <f>IF(U6="","",ROUND((U6-안내!$B$10)/365.25,2))</f>
        <v/>
      </c>
      <c r="W6" s="32" t="n"/>
      <c r="X6" s="14" t="inlineStr">
        <is>
          <t>11101000</t>
        </is>
      </c>
      <c r="Y6" s="14" t="inlineStr"/>
    </row>
    <row r="7">
      <c r="A7" s="14" t="inlineStr">
        <is>
          <t>P0002</t>
        </is>
      </c>
      <c r="B7" s="16">
        <f>안내!$B$5</f>
        <v/>
      </c>
      <c r="C7" s="14" t="inlineStr">
        <is>
          <t>일반계정</t>
        </is>
      </c>
      <c r="D7" s="15" t="inlineStr">
        <is>
          <t>KR7000000002</t>
        </is>
      </c>
      <c r="E7" s="15" t="inlineStr">
        <is>
          <t>국내상장주식 B (금융)</t>
        </is>
      </c>
      <c r="F7" s="14" t="inlineStr">
        <is>
          <t>주식</t>
        </is>
      </c>
      <c r="G7" s="14" t="inlineStr">
        <is>
          <t>FVPL</t>
        </is>
      </c>
      <c r="H7" s="14" t="inlineStr">
        <is>
          <t>KRW</t>
        </is>
      </c>
      <c r="I7" s="20" t="n"/>
      <c r="J7" s="32" t="n"/>
      <c r="K7" s="20" t="n">
        <v>42000</v>
      </c>
      <c r="L7" s="20" t="n">
        <v>42000</v>
      </c>
      <c r="M7" s="20" t="n">
        <v>38600</v>
      </c>
      <c r="N7" s="21">
        <f>IF(OR(G7="AC",G7="원가모형"),L7,M7)</f>
        <v/>
      </c>
      <c r="O7" s="21">
        <f>M7-L7</f>
        <v/>
      </c>
      <c r="P7" s="20" t="n">
        <v>0</v>
      </c>
      <c r="Q7" s="21">
        <f>N7-IF(G7="AC",P7,0)</f>
        <v/>
      </c>
      <c r="R7" s="20" t="n">
        <v>0</v>
      </c>
      <c r="S7" s="33" t="n"/>
      <c r="T7" s="14" t="inlineStr">
        <is>
          <t>-</t>
        </is>
      </c>
      <c r="U7" s="18" t="n"/>
      <c r="V7" s="34">
        <f>IF(U7="","",ROUND((U7-안내!$B$10)/365.25,2))</f>
        <v/>
      </c>
      <c r="W7" s="32" t="n"/>
      <c r="X7" s="14" t="inlineStr">
        <is>
          <t>11101000</t>
        </is>
      </c>
      <c r="Y7" s="14" t="inlineStr"/>
    </row>
    <row r="8">
      <c r="A8" s="14" t="inlineStr">
        <is>
          <t>P0003</t>
        </is>
      </c>
      <c r="B8" s="16">
        <f>안내!$B$5</f>
        <v/>
      </c>
      <c r="C8" s="14" t="inlineStr">
        <is>
          <t>일반계정</t>
        </is>
      </c>
      <c r="D8" s="15" t="inlineStr">
        <is>
          <t>KRZ500000003</t>
        </is>
      </c>
      <c r="E8" s="15" t="inlineStr">
        <is>
          <t>국내채권형 사모펀드</t>
        </is>
      </c>
      <c r="F8" s="14" t="inlineStr">
        <is>
          <t>수익증권</t>
        </is>
      </c>
      <c r="G8" s="14" t="inlineStr">
        <is>
          <t>FVPL</t>
        </is>
      </c>
      <c r="H8" s="14" t="inlineStr">
        <is>
          <t>KRW</t>
        </is>
      </c>
      <c r="I8" s="20" t="n"/>
      <c r="J8" s="32" t="n"/>
      <c r="K8" s="20" t="n">
        <v>120000</v>
      </c>
      <c r="L8" s="20" t="n">
        <v>120000</v>
      </c>
      <c r="M8" s="20" t="n">
        <v>123500</v>
      </c>
      <c r="N8" s="21">
        <f>IF(OR(G8="AC",G8="원가모형"),L8,M8)</f>
        <v/>
      </c>
      <c r="O8" s="21">
        <f>M8-L8</f>
        <v/>
      </c>
      <c r="P8" s="20" t="n">
        <v>0</v>
      </c>
      <c r="Q8" s="21">
        <f>N8-IF(G8="AC",P8,0)</f>
        <v/>
      </c>
      <c r="R8" s="20" t="n">
        <v>0</v>
      </c>
      <c r="S8" s="33" t="n"/>
      <c r="T8" s="14" t="inlineStr">
        <is>
          <t>-</t>
        </is>
      </c>
      <c r="U8" s="18" t="n"/>
      <c r="V8" s="34">
        <f>IF(U8="","",ROUND((U8-안내!$B$10)/365.25,2))</f>
        <v/>
      </c>
      <c r="W8" s="32" t="n">
        <v>3.1</v>
      </c>
      <c r="X8" s="14" t="inlineStr">
        <is>
          <t>11102000</t>
        </is>
      </c>
      <c r="Y8" s="14" t="inlineStr"/>
    </row>
    <row r="9">
      <c r="A9" s="14" t="inlineStr">
        <is>
          <t>P0004</t>
        </is>
      </c>
      <c r="B9" s="16">
        <f>안내!$B$5</f>
        <v/>
      </c>
      <c r="C9" s="14" t="inlineStr">
        <is>
          <t>일반계정</t>
        </is>
      </c>
      <c r="D9" s="15" t="inlineStr">
        <is>
          <t>KYG000000004</t>
        </is>
      </c>
      <c r="E9" s="15" t="inlineStr">
        <is>
          <t>해외인프라 블라인드펀드</t>
        </is>
      </c>
      <c r="F9" s="14" t="inlineStr">
        <is>
          <t>수익증권</t>
        </is>
      </c>
      <c r="G9" s="14" t="inlineStr">
        <is>
          <t>FVPL</t>
        </is>
      </c>
      <c r="H9" s="14" t="inlineStr">
        <is>
          <t>USD</t>
        </is>
      </c>
      <c r="I9" s="20" t="n">
        <v>60</v>
      </c>
      <c r="J9" s="32" t="n">
        <v>1380</v>
      </c>
      <c r="K9" s="20" t="n">
        <v>79800</v>
      </c>
      <c r="L9" s="20" t="n">
        <v>79800</v>
      </c>
      <c r="M9" s="20" t="n">
        <v>84200</v>
      </c>
      <c r="N9" s="21">
        <f>IF(OR(G9="AC",G9="원가모형"),L9,M9)</f>
        <v/>
      </c>
      <c r="O9" s="21">
        <f>M9-L9</f>
        <v/>
      </c>
      <c r="P9" s="20" t="n">
        <v>0</v>
      </c>
      <c r="Q9" s="21">
        <f>N9-IF(G9="AC",P9,0)</f>
        <v/>
      </c>
      <c r="R9" s="20" t="n">
        <v>0</v>
      </c>
      <c r="S9" s="33" t="n"/>
      <c r="T9" s="14" t="inlineStr">
        <is>
          <t>-</t>
        </is>
      </c>
      <c r="U9" s="18" t="n"/>
      <c r="V9" s="34">
        <f>IF(U9="","",ROUND((U9-안내!$B$10)/365.25,2))</f>
        <v/>
      </c>
      <c r="W9" s="32" t="n"/>
      <c r="X9" s="14" t="inlineStr">
        <is>
          <t>11102000</t>
        </is>
      </c>
      <c r="Y9" s="14" t="inlineStr"/>
    </row>
    <row r="10">
      <c r="A10" s="14" t="inlineStr">
        <is>
          <t>P0005</t>
        </is>
      </c>
      <c r="B10" s="16">
        <f>안내!$B$5</f>
        <v/>
      </c>
      <c r="C10" s="14" t="inlineStr">
        <is>
          <t>일반계정</t>
        </is>
      </c>
      <c r="D10" s="15" t="inlineStr">
        <is>
          <t>KRZ500000005</t>
        </is>
      </c>
      <c r="E10" s="15" t="inlineStr">
        <is>
          <t>국내 오피스 부동산펀드</t>
        </is>
      </c>
      <c r="F10" s="14" t="inlineStr">
        <is>
          <t>수익증권</t>
        </is>
      </c>
      <c r="G10" s="14" t="inlineStr">
        <is>
          <t>FVPL</t>
        </is>
      </c>
      <c r="H10" s="14" t="inlineStr">
        <is>
          <t>KRW</t>
        </is>
      </c>
      <c r="I10" s="20" t="n"/>
      <c r="J10" s="32" t="n"/>
      <c r="K10" s="20" t="n">
        <v>65000</v>
      </c>
      <c r="L10" s="20" t="n">
        <v>65000</v>
      </c>
      <c r="M10" s="20" t="n">
        <v>66100</v>
      </c>
      <c r="N10" s="21">
        <f>IF(OR(G10="AC",G10="원가모형"),L10,M10)</f>
        <v/>
      </c>
      <c r="O10" s="21">
        <f>M10-L10</f>
        <v/>
      </c>
      <c r="P10" s="20" t="n">
        <v>0</v>
      </c>
      <c r="Q10" s="21">
        <f>N10-IF(G10="AC",P10,0)</f>
        <v/>
      </c>
      <c r="R10" s="20" t="n">
        <v>0</v>
      </c>
      <c r="S10" s="33" t="n"/>
      <c r="T10" s="14" t="inlineStr">
        <is>
          <t>-</t>
        </is>
      </c>
      <c r="U10" s="18" t="n"/>
      <c r="V10" s="34">
        <f>IF(U10="","",ROUND((U10-안내!$B$10)/365.25,2))</f>
        <v/>
      </c>
      <c r="W10" s="32" t="n"/>
      <c r="X10" s="14" t="inlineStr">
        <is>
          <t>11102000</t>
        </is>
      </c>
      <c r="Y10" s="14" t="inlineStr"/>
    </row>
    <row r="11">
      <c r="A11" s="14" t="inlineStr">
        <is>
          <t>P0006</t>
        </is>
      </c>
      <c r="B11" s="16">
        <f>안내!$B$5</f>
        <v/>
      </c>
      <c r="C11" s="14" t="inlineStr">
        <is>
          <t>일반계정</t>
        </is>
      </c>
      <c r="D11" s="15" t="inlineStr">
        <is>
          <t>KR1035000006</t>
        </is>
      </c>
      <c r="E11" s="15" t="inlineStr">
        <is>
          <t>국고채권 30년</t>
        </is>
      </c>
      <c r="F11" s="14" t="inlineStr">
        <is>
          <t>국공채</t>
        </is>
      </c>
      <c r="G11" s="14" t="inlineStr">
        <is>
          <t>FVOCI</t>
        </is>
      </c>
      <c r="H11" s="14" t="inlineStr">
        <is>
          <t>KRW</t>
        </is>
      </c>
      <c r="I11" s="20" t="n">
        <v>500000</v>
      </c>
      <c r="J11" s="32" t="n">
        <v>1</v>
      </c>
      <c r="K11" s="20" t="n">
        <v>486200</v>
      </c>
      <c r="L11" s="20" t="n">
        <v>488900</v>
      </c>
      <c r="M11" s="20" t="n">
        <v>452300</v>
      </c>
      <c r="N11" s="21">
        <f>IF(OR(G11="AC",G11="원가모형"),L11,M11)</f>
        <v/>
      </c>
      <c r="O11" s="21">
        <f>M11-L11</f>
        <v/>
      </c>
      <c r="P11" s="20" t="n">
        <v>0</v>
      </c>
      <c r="Q11" s="21">
        <f>N11-IF(G11="AC",P11,0)</f>
        <v/>
      </c>
      <c r="R11" s="20" t="n">
        <v>8460</v>
      </c>
      <c r="S11" s="33" t="n">
        <v>0.0325</v>
      </c>
      <c r="T11" s="14" t="inlineStr">
        <is>
          <t>AAA</t>
        </is>
      </c>
      <c r="U11" s="18" t="n">
        <v>57049</v>
      </c>
      <c r="V11" s="34">
        <f>IF(U11="","",ROUND((U11-안내!$B$10)/365.25,2))</f>
        <v/>
      </c>
      <c r="W11" s="32" t="n">
        <v>19.8</v>
      </c>
      <c r="X11" s="14" t="inlineStr">
        <is>
          <t>11201000</t>
        </is>
      </c>
      <c r="Y11" s="14" t="inlineStr"/>
    </row>
    <row r="12">
      <c r="A12" s="14" t="inlineStr">
        <is>
          <t>P0007</t>
        </is>
      </c>
      <c r="B12" s="16">
        <f>안내!$B$5</f>
        <v/>
      </c>
      <c r="C12" s="14" t="inlineStr">
        <is>
          <t>일반계정</t>
        </is>
      </c>
      <c r="D12" s="15" t="inlineStr">
        <is>
          <t>KR1035000007</t>
        </is>
      </c>
      <c r="E12" s="15" t="inlineStr">
        <is>
          <t>국고채권 20년</t>
        </is>
      </c>
      <c r="F12" s="14" t="inlineStr">
        <is>
          <t>국공채</t>
        </is>
      </c>
      <c r="G12" s="14" t="inlineStr">
        <is>
          <t>FVOCI</t>
        </is>
      </c>
      <c r="H12" s="14" t="inlineStr">
        <is>
          <t>KRW</t>
        </is>
      </c>
      <c r="I12" s="20" t="n">
        <v>300000</v>
      </c>
      <c r="J12" s="32" t="n">
        <v>1</v>
      </c>
      <c r="K12" s="20" t="n">
        <v>301500</v>
      </c>
      <c r="L12" s="20" t="n">
        <v>301100</v>
      </c>
      <c r="M12" s="20" t="n">
        <v>288400</v>
      </c>
      <c r="N12" s="21">
        <f>IF(OR(G12="AC",G12="원가모형"),L12,M12)</f>
        <v/>
      </c>
      <c r="O12" s="21">
        <f>M12-L12</f>
        <v/>
      </c>
      <c r="P12" s="20" t="n">
        <v>0</v>
      </c>
      <c r="Q12" s="21">
        <f>N12-IF(G12="AC",P12,0)</f>
        <v/>
      </c>
      <c r="R12" s="20" t="n">
        <v>450</v>
      </c>
      <c r="S12" s="33" t="n">
        <v>0.0275</v>
      </c>
      <c r="T12" s="14" t="inlineStr">
        <is>
          <t>AAA</t>
        </is>
      </c>
      <c r="U12" s="18" t="n">
        <v>52850</v>
      </c>
      <c r="V12" s="34">
        <f>IF(U12="","",ROUND((U12-안내!$B$10)/365.25,2))</f>
        <v/>
      </c>
      <c r="W12" s="32" t="n">
        <v>14.6</v>
      </c>
      <c r="X12" s="14" t="inlineStr">
        <is>
          <t>11201000</t>
        </is>
      </c>
      <c r="Y12" s="14" t="inlineStr"/>
    </row>
    <row r="13">
      <c r="A13" s="14" t="inlineStr">
        <is>
          <t>P0008</t>
        </is>
      </c>
      <c r="B13" s="16">
        <f>안내!$B$5</f>
        <v/>
      </c>
      <c r="C13" s="14" t="inlineStr">
        <is>
          <t>일반계정</t>
        </is>
      </c>
      <c r="D13" s="15" t="inlineStr">
        <is>
          <t>KR3500000008</t>
        </is>
      </c>
      <c r="E13" s="15" t="inlineStr">
        <is>
          <t>공사채 A (특수채)</t>
        </is>
      </c>
      <c r="F13" s="14" t="inlineStr">
        <is>
          <t>국공채</t>
        </is>
      </c>
      <c r="G13" s="14" t="inlineStr">
        <is>
          <t>FVOCI</t>
        </is>
      </c>
      <c r="H13" s="14" t="inlineStr">
        <is>
          <t>KRW</t>
        </is>
      </c>
      <c r="I13" s="20" t="n">
        <v>200000</v>
      </c>
      <c r="J13" s="32" t="n">
        <v>1</v>
      </c>
      <c r="K13" s="20" t="n">
        <v>199400</v>
      </c>
      <c r="L13" s="20" t="n">
        <v>199400</v>
      </c>
      <c r="M13" s="20" t="n">
        <v>196800</v>
      </c>
      <c r="N13" s="21">
        <f>IF(OR(G13="AC",G13="원가모형"),L13,M13)</f>
        <v/>
      </c>
      <c r="O13" s="21">
        <f>M13-L13</f>
        <v/>
      </c>
      <c r="P13" s="20" t="n">
        <v>12</v>
      </c>
      <c r="Q13" s="21">
        <f>N13-IF(G13="AC",P13,0)</f>
        <v/>
      </c>
      <c r="R13" s="20" t="n">
        <v>2240</v>
      </c>
      <c r="S13" s="33" t="n">
        <v>0.034</v>
      </c>
      <c r="T13" s="14" t="inlineStr">
        <is>
          <t>AAA</t>
        </is>
      </c>
      <c r="U13" s="18" t="n">
        <v>49110</v>
      </c>
      <c r="V13" s="34">
        <f>IF(U13="","",ROUND((U13-안내!$B$10)/365.25,2))</f>
        <v/>
      </c>
      <c r="W13" s="32" t="n">
        <v>7</v>
      </c>
      <c r="X13" s="14" t="inlineStr">
        <is>
          <t>11201000</t>
        </is>
      </c>
      <c r="Y13" s="14" t="inlineStr"/>
    </row>
    <row r="14">
      <c r="A14" s="14" t="inlineStr">
        <is>
          <t>P0009</t>
        </is>
      </c>
      <c r="B14" s="16">
        <f>안내!$B$5</f>
        <v/>
      </c>
      <c r="C14" s="14" t="inlineStr">
        <is>
          <t>일반계정</t>
        </is>
      </c>
      <c r="D14" s="15" t="inlineStr">
        <is>
          <t>KR6000000009</t>
        </is>
      </c>
      <c r="E14" s="15" t="inlineStr">
        <is>
          <t>회사채 A (AA+)</t>
        </is>
      </c>
      <c r="F14" s="14" t="inlineStr">
        <is>
          <t>회사채</t>
        </is>
      </c>
      <c r="G14" s="14" t="inlineStr">
        <is>
          <t>FVOCI</t>
        </is>
      </c>
      <c r="H14" s="14" t="inlineStr">
        <is>
          <t>KRW</t>
        </is>
      </c>
      <c r="I14" s="20" t="n">
        <v>150000</v>
      </c>
      <c r="J14" s="32" t="n">
        <v>1</v>
      </c>
      <c r="K14" s="20" t="n">
        <v>150000</v>
      </c>
      <c r="L14" s="20" t="n">
        <v>150000</v>
      </c>
      <c r="M14" s="20" t="n">
        <v>148200</v>
      </c>
      <c r="N14" s="21">
        <f>IF(OR(G14="AC",G14="원가모형"),L14,M14)</f>
        <v/>
      </c>
      <c r="O14" s="21">
        <f>M14-L14</f>
        <v/>
      </c>
      <c r="P14" s="20" t="n">
        <v>45</v>
      </c>
      <c r="Q14" s="21">
        <f>N14-IF(G14="AC",P14,0)</f>
        <v/>
      </c>
      <c r="R14" s="20" t="n">
        <v>2560</v>
      </c>
      <c r="S14" s="33" t="n">
        <v>0.0385</v>
      </c>
      <c r="T14" s="14" t="inlineStr">
        <is>
          <t>AA+</t>
        </is>
      </c>
      <c r="U14" s="18" t="n">
        <v>47958</v>
      </c>
      <c r="V14" s="34">
        <f>IF(U14="","",ROUND((U14-안내!$B$10)/365.25,2))</f>
        <v/>
      </c>
      <c r="W14" s="32" t="n">
        <v>4.2</v>
      </c>
      <c r="X14" s="14" t="inlineStr">
        <is>
          <t>11202000</t>
        </is>
      </c>
      <c r="Y14" s="14" t="inlineStr"/>
    </row>
    <row r="15">
      <c r="A15" s="14" t="inlineStr">
        <is>
          <t>P0010</t>
        </is>
      </c>
      <c r="B15" s="16">
        <f>안내!$B$5</f>
        <v/>
      </c>
      <c r="C15" s="14" t="inlineStr">
        <is>
          <t>일반계정</t>
        </is>
      </c>
      <c r="D15" s="15" t="inlineStr">
        <is>
          <t>KR6000000010</t>
        </is>
      </c>
      <c r="E15" s="15" t="inlineStr">
        <is>
          <t>회사채 B (AA-)</t>
        </is>
      </c>
      <c r="F15" s="14" t="inlineStr">
        <is>
          <t>회사채</t>
        </is>
      </c>
      <c r="G15" s="14" t="inlineStr">
        <is>
          <t>FVOCI</t>
        </is>
      </c>
      <c r="H15" s="14" t="inlineStr">
        <is>
          <t>KRW</t>
        </is>
      </c>
      <c r="I15" s="20" t="n">
        <v>100000</v>
      </c>
      <c r="J15" s="32" t="n">
        <v>1</v>
      </c>
      <c r="K15" s="20" t="n">
        <v>99800</v>
      </c>
      <c r="L15" s="20" t="n">
        <v>99880</v>
      </c>
      <c r="M15" s="20" t="n">
        <v>97900</v>
      </c>
      <c r="N15" s="21">
        <f>IF(OR(G15="AC",G15="원가모형"),L15,M15)</f>
        <v/>
      </c>
      <c r="O15" s="21">
        <f>M15-L15</f>
        <v/>
      </c>
      <c r="P15" s="20" t="n">
        <v>85</v>
      </c>
      <c r="Q15" s="21">
        <f>N15-IF(G15="AC",P15,0)</f>
        <v/>
      </c>
      <c r="R15" s="20" t="n">
        <v>4390</v>
      </c>
      <c r="S15" s="33" t="n">
        <v>0.042</v>
      </c>
      <c r="T15" s="14" t="inlineStr">
        <is>
          <t>AA-</t>
        </is>
      </c>
      <c r="U15" s="18" t="n">
        <v>47452</v>
      </c>
      <c r="V15" s="34">
        <f>IF(U15="","",ROUND((U15-안내!$B$10)/365.25,2))</f>
        <v/>
      </c>
      <c r="W15" s="32" t="n">
        <v>2.9</v>
      </c>
      <c r="X15" s="14" t="inlineStr">
        <is>
          <t>11202000</t>
        </is>
      </c>
      <c r="Y15" s="14" t="inlineStr"/>
    </row>
    <row r="16">
      <c r="A16" s="14" t="inlineStr">
        <is>
          <t>P0011</t>
        </is>
      </c>
      <c r="B16" s="16">
        <f>안내!$B$5</f>
        <v/>
      </c>
      <c r="C16" s="14" t="inlineStr">
        <is>
          <t>일반계정</t>
        </is>
      </c>
      <c r="D16" s="15" t="inlineStr">
        <is>
          <t>US9120000011</t>
        </is>
      </c>
      <c r="E16" s="15" t="inlineStr">
        <is>
          <t>미국 국채 30년</t>
        </is>
      </c>
      <c r="F16" s="14" t="inlineStr">
        <is>
          <t>외화채권</t>
        </is>
      </c>
      <c r="G16" s="14" t="inlineStr">
        <is>
          <t>FVOCI</t>
        </is>
      </c>
      <c r="H16" s="14" t="inlineStr">
        <is>
          <t>USD</t>
        </is>
      </c>
      <c r="I16" s="20" t="n">
        <v>200</v>
      </c>
      <c r="J16" s="32" t="n">
        <v>1380</v>
      </c>
      <c r="K16" s="20" t="n">
        <v>268000</v>
      </c>
      <c r="L16" s="20" t="n">
        <v>270500</v>
      </c>
      <c r="M16" s="20" t="n">
        <v>251600</v>
      </c>
      <c r="N16" s="21">
        <f>IF(OR(G16="AC",G16="원가모형"),L16,M16)</f>
        <v/>
      </c>
      <c r="O16" s="21">
        <f>M16-L16</f>
        <v/>
      </c>
      <c r="P16" s="20" t="n">
        <v>20</v>
      </c>
      <c r="Q16" s="21">
        <f>N16-IF(G16="AC",P16,0)</f>
        <v/>
      </c>
      <c r="R16" s="20" t="n">
        <v>1370</v>
      </c>
      <c r="S16" s="33" t="n">
        <v>0.0425</v>
      </c>
      <c r="T16" s="14" t="inlineStr">
        <is>
          <t>AA+</t>
        </is>
      </c>
      <c r="U16" s="18" t="n">
        <v>56476</v>
      </c>
      <c r="V16" s="34">
        <f>IF(U16="","",ROUND((U16-안내!$B$10)/365.25,2))</f>
        <v/>
      </c>
      <c r="W16" s="32" t="n">
        <v>16.9</v>
      </c>
      <c r="X16" s="14" t="inlineStr">
        <is>
          <t>11203000</t>
        </is>
      </c>
      <c r="Y16" s="14" t="inlineStr"/>
    </row>
    <row r="17">
      <c r="A17" s="14" t="inlineStr">
        <is>
          <t>P0012</t>
        </is>
      </c>
      <c r="B17" s="16">
        <f>안내!$B$5</f>
        <v/>
      </c>
      <c r="C17" s="14" t="inlineStr">
        <is>
          <t>일반계정</t>
        </is>
      </c>
      <c r="D17" s="15" t="inlineStr">
        <is>
          <t>US0000000012</t>
        </is>
      </c>
      <c r="E17" s="15" t="inlineStr">
        <is>
          <t>해외 회사채 A (USD)</t>
        </is>
      </c>
      <c r="F17" s="14" t="inlineStr">
        <is>
          <t>외화채권</t>
        </is>
      </c>
      <c r="G17" s="14" t="inlineStr">
        <is>
          <t>FVOCI</t>
        </is>
      </c>
      <c r="H17" s="14" t="inlineStr">
        <is>
          <t>USD</t>
        </is>
      </c>
      <c r="I17" s="20" t="n">
        <v>80</v>
      </c>
      <c r="J17" s="32" t="n">
        <v>1380</v>
      </c>
      <c r="K17" s="20" t="n">
        <v>106500</v>
      </c>
      <c r="L17" s="20" t="n">
        <v>107200</v>
      </c>
      <c r="M17" s="20" t="n">
        <v>108900</v>
      </c>
      <c r="N17" s="21">
        <f>IF(OR(G17="AC",G17="원가모형"),L17,M17)</f>
        <v/>
      </c>
      <c r="O17" s="21">
        <f>M17-L17</f>
        <v/>
      </c>
      <c r="P17" s="20" t="n">
        <v>160</v>
      </c>
      <c r="Q17" s="21">
        <f>N17-IF(G17="AC",P17,0)</f>
        <v/>
      </c>
      <c r="R17" s="20" t="n">
        <v>2060</v>
      </c>
      <c r="S17" s="33" t="n">
        <v>0.051</v>
      </c>
      <c r="T17" s="14" t="inlineStr">
        <is>
          <t>A</t>
        </is>
      </c>
      <c r="U17" s="18" t="n">
        <v>49355</v>
      </c>
      <c r="V17" s="34">
        <f>IF(U17="","",ROUND((U17-안내!$B$10)/365.25,2))</f>
        <v/>
      </c>
      <c r="W17" s="32" t="n">
        <v>7.4</v>
      </c>
      <c r="X17" s="14" t="inlineStr">
        <is>
          <t>11203000</t>
        </is>
      </c>
      <c r="Y17" s="14" t="inlineStr"/>
    </row>
    <row r="18">
      <c r="A18" s="14" t="inlineStr">
        <is>
          <t>P0013</t>
        </is>
      </c>
      <c r="B18" s="16">
        <f>안내!$B$5</f>
        <v/>
      </c>
      <c r="C18" s="14" t="inlineStr">
        <is>
          <t>일반계정</t>
        </is>
      </c>
      <c r="D18" s="15" t="inlineStr">
        <is>
          <t>KR1035000013</t>
        </is>
      </c>
      <c r="E18" s="15" t="inlineStr">
        <is>
          <t>국고채권 50년</t>
        </is>
      </c>
      <c r="F18" s="14" t="inlineStr">
        <is>
          <t>국공채</t>
        </is>
      </c>
      <c r="G18" s="14" t="inlineStr">
        <is>
          <t>AC</t>
        </is>
      </c>
      <c r="H18" s="14" t="inlineStr">
        <is>
          <t>KRW</t>
        </is>
      </c>
      <c r="I18" s="20" t="n">
        <v>400000</v>
      </c>
      <c r="J18" s="32" t="n">
        <v>1</v>
      </c>
      <c r="K18" s="20" t="n">
        <v>372000</v>
      </c>
      <c r="L18" s="20" t="n">
        <v>376800</v>
      </c>
      <c r="M18" s="20" t="n">
        <v>331200</v>
      </c>
      <c r="N18" s="21">
        <f>IF(OR(G18="AC",G18="원가모형"),L18,M18)</f>
        <v/>
      </c>
      <c r="O18" s="21">
        <f>M18-L18</f>
        <v/>
      </c>
      <c r="P18" s="20" t="n">
        <v>0</v>
      </c>
      <c r="Q18" s="21">
        <f>N18-IF(G18="AC",P18,0)</f>
        <v/>
      </c>
      <c r="R18" s="20" t="n">
        <v>5480</v>
      </c>
      <c r="S18" s="33" t="n">
        <v>0.025</v>
      </c>
      <c r="T18" s="14" t="inlineStr">
        <is>
          <t>AAA</t>
        </is>
      </c>
      <c r="U18" s="18" t="n">
        <v>63623</v>
      </c>
      <c r="V18" s="34">
        <f>IF(U18="","",ROUND((U18-안내!$B$10)/365.25,2))</f>
        <v/>
      </c>
      <c r="W18" s="32" t="n">
        <v>27.5</v>
      </c>
      <c r="X18" s="14" t="inlineStr">
        <is>
          <t>11301000</t>
        </is>
      </c>
      <c r="Y18" s="14" t="inlineStr">
        <is>
          <t>11309000</t>
        </is>
      </c>
    </row>
    <row r="19">
      <c r="A19" s="14" t="inlineStr">
        <is>
          <t>P0014</t>
        </is>
      </c>
      <c r="B19" s="16">
        <f>안내!$B$5</f>
        <v/>
      </c>
      <c r="C19" s="14" t="inlineStr">
        <is>
          <t>일반계정</t>
        </is>
      </c>
      <c r="D19" s="15" t="inlineStr">
        <is>
          <t>KR2000000014</t>
        </is>
      </c>
      <c r="E19" s="15" t="inlineStr">
        <is>
          <t>지방채 A</t>
        </is>
      </c>
      <c r="F19" s="14" t="inlineStr">
        <is>
          <t>국공채</t>
        </is>
      </c>
      <c r="G19" s="14" t="inlineStr">
        <is>
          <t>AC</t>
        </is>
      </c>
      <c r="H19" s="14" t="inlineStr">
        <is>
          <t>KRW</t>
        </is>
      </c>
      <c r="I19" s="20" t="n">
        <v>120000</v>
      </c>
      <c r="J19" s="32" t="n">
        <v>1</v>
      </c>
      <c r="K19" s="20" t="n">
        <v>119500</v>
      </c>
      <c r="L19" s="20" t="n">
        <v>119700</v>
      </c>
      <c r="M19" s="20" t="n">
        <v>116900</v>
      </c>
      <c r="N19" s="21">
        <f>IF(OR(G19="AC",G19="원가모형"),L19,M19)</f>
        <v/>
      </c>
      <c r="O19" s="21">
        <f>M19-L19</f>
        <v/>
      </c>
      <c r="P19" s="20" t="n">
        <v>18</v>
      </c>
      <c r="Q19" s="21">
        <f>N19-IF(G19="AC",P19,0)</f>
        <v/>
      </c>
      <c r="R19" s="20" t="n">
        <v>3410</v>
      </c>
      <c r="S19" s="33" t="n">
        <v>0.031</v>
      </c>
      <c r="T19" s="14" t="inlineStr">
        <is>
          <t>AAA</t>
        </is>
      </c>
      <c r="U19" s="18" t="n">
        <v>50019</v>
      </c>
      <c r="V19" s="34">
        <f>IF(U19="","",ROUND((U19-안내!$B$10)/365.25,2))</f>
        <v/>
      </c>
      <c r="W19" s="32" t="n">
        <v>8.6</v>
      </c>
      <c r="X19" s="14" t="inlineStr">
        <is>
          <t>11301000</t>
        </is>
      </c>
      <c r="Y19" s="14" t="inlineStr">
        <is>
          <t>11309000</t>
        </is>
      </c>
    </row>
    <row r="20">
      <c r="A20" s="14" t="inlineStr">
        <is>
          <t>L0015</t>
        </is>
      </c>
      <c r="B20" s="16">
        <f>안내!$B$5</f>
        <v/>
      </c>
      <c r="C20" s="14" t="inlineStr">
        <is>
          <t>일반계정</t>
        </is>
      </c>
      <c r="D20" s="15" t="inlineStr">
        <is>
          <t>LN-2026-0015</t>
        </is>
      </c>
      <c r="E20" s="15" t="inlineStr">
        <is>
          <t>PF대출 (선순위, 물류센터)</t>
        </is>
      </c>
      <c r="F20" s="14" t="inlineStr">
        <is>
          <t>대출채권</t>
        </is>
      </c>
      <c r="G20" s="14" t="inlineStr">
        <is>
          <t>AC</t>
        </is>
      </c>
      <c r="H20" s="14" t="inlineStr">
        <is>
          <t>KRW</t>
        </is>
      </c>
      <c r="I20" s="20" t="n">
        <v>80000</v>
      </c>
      <c r="J20" s="32" t="n">
        <v>1</v>
      </c>
      <c r="K20" s="20" t="n">
        <v>80000</v>
      </c>
      <c r="L20" s="20" t="n">
        <v>80000</v>
      </c>
      <c r="M20" s="20" t="n">
        <v>79100</v>
      </c>
      <c r="N20" s="21">
        <f>IF(OR(G20="AC",G20="원가모형"),L20,M20)</f>
        <v/>
      </c>
      <c r="O20" s="21">
        <f>M20-L20</f>
        <v/>
      </c>
      <c r="P20" s="20" t="n">
        <v>960</v>
      </c>
      <c r="Q20" s="21">
        <f>N20-IF(G20="AC",P20,0)</f>
        <v/>
      </c>
      <c r="R20" s="20" t="n">
        <v>390</v>
      </c>
      <c r="S20" s="33" t="n">
        <v>0.058</v>
      </c>
      <c r="T20" s="14" t="inlineStr">
        <is>
          <t>BBB+</t>
        </is>
      </c>
      <c r="U20" s="18" t="n">
        <v>47118</v>
      </c>
      <c r="V20" s="34">
        <f>IF(U20="","",ROUND((U20-안내!$B$10)/365.25,2))</f>
        <v/>
      </c>
      <c r="W20" s="32" t="n">
        <v>2.1</v>
      </c>
      <c r="X20" s="14" t="inlineStr">
        <is>
          <t>11401000</t>
        </is>
      </c>
      <c r="Y20" s="14" t="inlineStr">
        <is>
          <t>11409000</t>
        </is>
      </c>
    </row>
    <row r="21">
      <c r="A21" s="14" t="inlineStr">
        <is>
          <t>L0016</t>
        </is>
      </c>
      <c r="B21" s="16">
        <f>안내!$B$5</f>
        <v/>
      </c>
      <c r="C21" s="14" t="inlineStr">
        <is>
          <t>일반계정</t>
        </is>
      </c>
      <c r="D21" s="15" t="inlineStr">
        <is>
          <t>LN-2026-0016</t>
        </is>
      </c>
      <c r="E21" s="15" t="inlineStr">
        <is>
          <t>인수금융 대출 (Term Loan A)</t>
        </is>
      </c>
      <c r="F21" s="14" t="inlineStr">
        <is>
          <t>대출채권</t>
        </is>
      </c>
      <c r="G21" s="14" t="inlineStr">
        <is>
          <t>AC</t>
        </is>
      </c>
      <c r="H21" s="14" t="inlineStr">
        <is>
          <t>KRW</t>
        </is>
      </c>
      <c r="I21" s="20" t="n">
        <v>50000</v>
      </c>
      <c r="J21" s="32" t="n">
        <v>1</v>
      </c>
      <c r="K21" s="20" t="n">
        <v>50000</v>
      </c>
      <c r="L21" s="20" t="n">
        <v>50000</v>
      </c>
      <c r="M21" s="20" t="n">
        <v>49600</v>
      </c>
      <c r="N21" s="21">
        <f>IF(OR(G21="AC",G21="원가모형"),L21,M21)</f>
        <v/>
      </c>
      <c r="O21" s="21">
        <f>M21-L21</f>
        <v/>
      </c>
      <c r="P21" s="20" t="n">
        <v>750</v>
      </c>
      <c r="Q21" s="21">
        <f>N21-IF(G21="AC",P21,0)</f>
        <v/>
      </c>
      <c r="R21" s="20" t="n">
        <v>260</v>
      </c>
      <c r="S21" s="33" t="n">
        <v>0.062</v>
      </c>
      <c r="T21" s="14" t="inlineStr">
        <is>
          <t>BBB</t>
        </is>
      </c>
      <c r="U21" s="18" t="n">
        <v>47664</v>
      </c>
      <c r="V21" s="34">
        <f>IF(U21="","",ROUND((U21-안내!$B$10)/365.25,2))</f>
        <v/>
      </c>
      <c r="W21" s="32" t="n">
        <v>3.3</v>
      </c>
      <c r="X21" s="14" t="inlineStr">
        <is>
          <t>11401000</t>
        </is>
      </c>
      <c r="Y21" s="14" t="inlineStr">
        <is>
          <t>11409000</t>
        </is>
      </c>
    </row>
    <row r="22">
      <c r="A22" s="14" t="inlineStr">
        <is>
          <t>L0017</t>
        </is>
      </c>
      <c r="B22" s="16">
        <f>안내!$B$5</f>
        <v/>
      </c>
      <c r="C22" s="14" t="inlineStr">
        <is>
          <t>일반계정</t>
        </is>
      </c>
      <c r="D22" s="15" t="inlineStr">
        <is>
          <t>LN-POOL-0017</t>
        </is>
      </c>
      <c r="E22" s="15" t="inlineStr">
        <is>
          <t>부동산담보대출 (개인, Pool)</t>
        </is>
      </c>
      <c r="F22" s="14" t="inlineStr">
        <is>
          <t>대출채권</t>
        </is>
      </c>
      <c r="G22" s="14" t="inlineStr">
        <is>
          <t>AC</t>
        </is>
      </c>
      <c r="H22" s="14" t="inlineStr">
        <is>
          <t>KRW</t>
        </is>
      </c>
      <c r="I22" s="20" t="n">
        <v>150000</v>
      </c>
      <c r="J22" s="32" t="n">
        <v>1</v>
      </c>
      <c r="K22" s="20" t="n">
        <v>150000</v>
      </c>
      <c r="L22" s="20" t="n">
        <v>150000</v>
      </c>
      <c r="M22" s="20" t="n">
        <v>148500</v>
      </c>
      <c r="N22" s="21">
        <f>IF(OR(G22="AC",G22="원가모형"),L22,M22)</f>
        <v/>
      </c>
      <c r="O22" s="21">
        <f>M22-L22</f>
        <v/>
      </c>
      <c r="P22" s="20" t="n">
        <v>300</v>
      </c>
      <c r="Q22" s="21">
        <f>N22-IF(G22="AC",P22,0)</f>
        <v/>
      </c>
      <c r="R22" s="20" t="n">
        <v>580</v>
      </c>
      <c r="S22" s="33" t="n">
        <v>0.046</v>
      </c>
      <c r="T22" s="14" t="inlineStr">
        <is>
          <t>-</t>
        </is>
      </c>
      <c r="U22" s="18" t="n">
        <v>53235</v>
      </c>
      <c r="V22" s="34">
        <f>IF(U22="","",ROUND((U22-안내!$B$10)/365.25,2))</f>
        <v/>
      </c>
      <c r="W22" s="32" t="n">
        <v>6.5</v>
      </c>
      <c r="X22" s="14" t="inlineStr">
        <is>
          <t>11402000</t>
        </is>
      </c>
      <c r="Y22" s="14" t="inlineStr">
        <is>
          <t>11409000</t>
        </is>
      </c>
    </row>
    <row r="23">
      <c r="A23" s="14" t="inlineStr">
        <is>
          <t>R0018</t>
        </is>
      </c>
      <c r="B23" s="16">
        <f>안내!$B$5</f>
        <v/>
      </c>
      <c r="C23" s="14" t="inlineStr">
        <is>
          <t>일반계정</t>
        </is>
      </c>
      <c r="D23" s="15" t="inlineStr">
        <is>
          <t>RE-0018</t>
        </is>
      </c>
      <c r="E23" s="15" t="inlineStr">
        <is>
          <t>투자부동산 (임대 오피스)</t>
        </is>
      </c>
      <c r="F23" s="14" t="inlineStr">
        <is>
          <t>투자부동산</t>
        </is>
      </c>
      <c r="G23" s="14" t="inlineStr">
        <is>
          <t>원가모형</t>
        </is>
      </c>
      <c r="H23" s="14" t="inlineStr">
        <is>
          <t>KRW</t>
        </is>
      </c>
      <c r="I23" s="20" t="n"/>
      <c r="J23" s="32" t="n"/>
      <c r="K23" s="20" t="n">
        <v>210000</v>
      </c>
      <c r="L23" s="20" t="n">
        <v>182400</v>
      </c>
      <c r="M23" s="20" t="n">
        <v>265000</v>
      </c>
      <c r="N23" s="21">
        <f>IF(OR(G23="AC",G23="원가모형"),L23,M23)</f>
        <v/>
      </c>
      <c r="O23" s="21">
        <f>M23-L23</f>
        <v/>
      </c>
      <c r="P23" s="20" t="n">
        <v>0</v>
      </c>
      <c r="Q23" s="21">
        <f>N23-IF(G23="AC",P23,0)</f>
        <v/>
      </c>
      <c r="R23" s="20" t="n">
        <v>0</v>
      </c>
      <c r="S23" s="33" t="n"/>
      <c r="T23" s="14" t="inlineStr">
        <is>
          <t>-</t>
        </is>
      </c>
      <c r="U23" s="18" t="n"/>
      <c r="V23" s="34">
        <f>IF(U23="","",ROUND((U23-안내!$B$10)/365.25,2))</f>
        <v/>
      </c>
      <c r="W23" s="32" t="n"/>
      <c r="X23" s="14" t="inlineStr">
        <is>
          <t>11501000</t>
        </is>
      </c>
      <c r="Y23" s="14" t="inlineStr"/>
    </row>
    <row r="24">
      <c r="A24" s="26" t="n"/>
      <c r="B24" s="26" t="n"/>
      <c r="C24" s="26" t="n"/>
      <c r="D24" s="26" t="n"/>
      <c r="E24" s="22" t="inlineStr">
        <is>
          <t>합계</t>
        </is>
      </c>
      <c r="F24" s="26" t="n"/>
      <c r="G24" s="26" t="n"/>
      <c r="H24" s="26" t="n"/>
      <c r="I24" s="26" t="n"/>
      <c r="J24" s="26" t="n"/>
      <c r="K24" s="27">
        <f>SUM(K6:K23)</f>
        <v/>
      </c>
      <c r="L24" s="27">
        <f>SUM(L6:L23)</f>
        <v/>
      </c>
      <c r="M24" s="27">
        <f>SUM(M6:M23)</f>
        <v/>
      </c>
      <c r="N24" s="27">
        <f>SUM(N6:N23)</f>
        <v/>
      </c>
      <c r="O24" s="27">
        <f>SUM(O6:O23)</f>
        <v/>
      </c>
      <c r="P24" s="27">
        <f>SUM(P6:P23)</f>
        <v/>
      </c>
      <c r="Q24" s="27">
        <f>SUM(Q6:Q23)</f>
        <v/>
      </c>
      <c r="R24" s="27">
        <f>SUM(R6:R23)</f>
        <v/>
      </c>
      <c r="S24" s="26" t="n"/>
      <c r="T24" s="26" t="n"/>
      <c r="U24" s="26" t="n"/>
      <c r="V24" s="26" t="n"/>
      <c r="W24" s="26" t="n"/>
      <c r="X24" s="26" t="n"/>
      <c r="Y24" s="26" t="n"/>
    </row>
    <row r="26">
      <c r="A26" s="13" t="inlineStr">
        <is>
          <t>※ 장부금액(총액): FVPL·FVOCI는 공정가치, AC·원가모형(투자부동산)은 상각후원가(감가상각 후 금액).</t>
        </is>
      </c>
    </row>
    <row r="27">
      <c r="A27" s="13" t="inlineStr">
        <is>
          <t>※ 순장부금액: AC 자산은 기대신용손실(ECL)을 차감. FVOCI의 ECL은 기타포괄손익에 반영되어 장부금액에서 차감하지 않음.</t>
        </is>
      </c>
    </row>
    <row r="28">
      <c r="A28" s="13" t="inlineStr">
        <is>
          <t>※ 주식·수익증권은 상각후원가 칸에 취득원가를 입력. 원가모형 투자부동산의 평가손익은 미인식 평가차익(주석 공시용).</t>
        </is>
      </c>
    </row>
    <row r="29">
      <c r="A29" s="13" t="inlineStr">
        <is>
          <t>※ 행을 추가할 때는 합계 행 위에 삽입하세요. 요약 시트는 6~500행을 집계합니다.</t>
        </is>
      </c>
    </row>
  </sheetData>
  <autoFilter ref="A5:Y23"/>
  <dataValidations count="3">
    <dataValidation sqref="F6:F23" showDropDown="0" showInputMessage="0" showErrorMessage="0" allowBlank="1" type="list">
      <formula1>"주식,수익증권,국공채,회사채,외화채권,대출채권,투자부동산"</formula1>
    </dataValidation>
    <dataValidation sqref="G6:G23" showDropDown="0" showInputMessage="0" showErrorMessage="0" allowBlank="1" type="list">
      <formula1>"FVPL,FVOCI,AC,원가모형"</formula1>
    </dataValidation>
    <dataValidation sqref="C6:C23" showDropDown="0" showInputMessage="0" showErrorMessage="0" allowBlank="1" type="list">
      <formula1>"일반계정,특별계정"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5" customWidth="1" min="4" max="4"/>
    <col width="17" customWidth="1" min="5" max="5"/>
    <col width="13" customWidth="1" min="6" max="6"/>
    <col width="18" customWidth="1" min="7" max="7"/>
    <col width="12" customWidth="1" min="8" max="8"/>
    <col width="12" customWidth="1" min="9" max="9"/>
  </cols>
  <sheetData>
    <row r="1">
      <c r="A1" s="1" t="inlineStr">
        <is>
          <t>운용자산 요약 및 GL 대사</t>
        </is>
      </c>
    </row>
    <row r="2">
      <c r="A2" s="2" t="inlineStr">
        <is>
          <t>자산운용명세 시트를 자동 집계 · 금액 단위: 백만원</t>
        </is>
      </c>
    </row>
    <row r="3">
      <c r="A3" s="2">
        <f>"회사: "&amp;안내!$B$6&amp;" ("&amp;안내!$B$5&amp;")   기준일: "&amp;TEXT(안내!$B$10,"yyyy-mm-dd")</f>
        <v/>
      </c>
    </row>
    <row r="5">
      <c r="A5" s="3" t="inlineStr">
        <is>
          <t>1. 자산군별 현황</t>
        </is>
      </c>
    </row>
    <row r="6" ht="32" customHeight="1">
      <c r="A6" s="7" t="inlineStr">
        <is>
          <t>자산군</t>
        </is>
      </c>
      <c r="B6" s="7" t="inlineStr">
        <is>
          <t>종목수</t>
        </is>
      </c>
      <c r="C6" s="7" t="inlineStr">
        <is>
          <t>장부금액(총액)</t>
        </is>
      </c>
      <c r="D6" s="7" t="inlineStr">
        <is>
          <t>ECL(AC 차감분)</t>
        </is>
      </c>
      <c r="E6" s="7" t="inlineStr">
        <is>
          <t>순장부금액</t>
        </is>
      </c>
      <c r="F6" s="7" t="inlineStr">
        <is>
          <t>비중</t>
        </is>
      </c>
      <c r="G6" s="7" t="inlineStr">
        <is>
          <t>평가손익</t>
        </is>
      </c>
      <c r="H6" s="7" t="inlineStr">
        <is>
          <t>가중평균
표면금리</t>
        </is>
      </c>
      <c r="I6" s="7" t="inlineStr">
        <is>
          <t>가중평균
수정듀레이션</t>
        </is>
      </c>
    </row>
    <row r="7">
      <c r="A7" s="10" t="inlineStr">
        <is>
          <t>주식</t>
        </is>
      </c>
      <c r="B7" s="25">
        <f>COUNTIF(자산운용명세!$F$6:$F$500,A7)</f>
        <v/>
      </c>
      <c r="C7" s="25">
        <f>SUMIFS(자산운용명세!$N$6:$N$500,자산운용명세!$F$6:$F$500,A7)</f>
        <v/>
      </c>
      <c r="D7" s="25">
        <f>SUMIFS(자산운용명세!$P$6:$P$500,자산운용명세!$F$6:$F$500,A7,자산운용명세!$G$6:$G$500,"AC")</f>
        <v/>
      </c>
      <c r="E7" s="21">
        <f>C7-D7</f>
        <v/>
      </c>
      <c r="F7" s="35">
        <f>IF($E$14=0,0,E7/$E$14)</f>
        <v/>
      </c>
      <c r="G7" s="25">
        <f>SUMIFS(자산운용명세!$O$6:$O$500,자산운용명세!$F$6:$F$500,A7)</f>
        <v/>
      </c>
      <c r="H7" s="36">
        <f>IFERROR(SUMPRODUCT((자산운용명세!$F$6:$F$500=A7)*자산운용명세!$N$6:$N$500*자산운용명세!$S$6:$S$500)/SUMPRODUCT((자산운용명세!$F$6:$F$500=A7)*(자산운용명세!$S$6:$S$500&lt;&gt;"")*자산운용명세!$N$6:$N$500),0)</f>
        <v/>
      </c>
      <c r="I7" s="34">
        <f>IFERROR(SUMPRODUCT((자산운용명세!$F$6:$F$500=A7)*자산운용명세!$N$6:$N$500*자산운용명세!$W$6:$W$500)/SUMPRODUCT((자산운용명세!$F$6:$F$500=A7)*(자산운용명세!$W$6:$W$500&lt;&gt;"")*자산운용명세!$N$6:$N$500),0)</f>
        <v/>
      </c>
    </row>
    <row r="8">
      <c r="A8" s="10" t="inlineStr">
        <is>
          <t>수익증권</t>
        </is>
      </c>
      <c r="B8" s="25">
        <f>COUNTIF(자산운용명세!$F$6:$F$500,A8)</f>
        <v/>
      </c>
      <c r="C8" s="25">
        <f>SUMIFS(자산운용명세!$N$6:$N$500,자산운용명세!$F$6:$F$500,A8)</f>
        <v/>
      </c>
      <c r="D8" s="25">
        <f>SUMIFS(자산운용명세!$P$6:$P$500,자산운용명세!$F$6:$F$500,A8,자산운용명세!$G$6:$G$500,"AC")</f>
        <v/>
      </c>
      <c r="E8" s="21">
        <f>C8-D8</f>
        <v/>
      </c>
      <c r="F8" s="35">
        <f>IF($E$14=0,0,E8/$E$14)</f>
        <v/>
      </c>
      <c r="G8" s="25">
        <f>SUMIFS(자산운용명세!$O$6:$O$500,자산운용명세!$F$6:$F$500,A8)</f>
        <v/>
      </c>
      <c r="H8" s="36">
        <f>IFERROR(SUMPRODUCT((자산운용명세!$F$6:$F$500=A8)*자산운용명세!$N$6:$N$500*자산운용명세!$S$6:$S$500)/SUMPRODUCT((자산운용명세!$F$6:$F$500=A8)*(자산운용명세!$S$6:$S$500&lt;&gt;"")*자산운용명세!$N$6:$N$500),0)</f>
        <v/>
      </c>
      <c r="I8" s="34">
        <f>IFERROR(SUMPRODUCT((자산운용명세!$F$6:$F$500=A8)*자산운용명세!$N$6:$N$500*자산운용명세!$W$6:$W$500)/SUMPRODUCT((자산운용명세!$F$6:$F$500=A8)*(자산운용명세!$W$6:$W$500&lt;&gt;"")*자산운용명세!$N$6:$N$500),0)</f>
        <v/>
      </c>
    </row>
    <row r="9">
      <c r="A9" s="10" t="inlineStr">
        <is>
          <t>국공채</t>
        </is>
      </c>
      <c r="B9" s="25">
        <f>COUNTIF(자산운용명세!$F$6:$F$500,A9)</f>
        <v/>
      </c>
      <c r="C9" s="25">
        <f>SUMIFS(자산운용명세!$N$6:$N$500,자산운용명세!$F$6:$F$500,A9)</f>
        <v/>
      </c>
      <c r="D9" s="25">
        <f>SUMIFS(자산운용명세!$P$6:$P$500,자산운용명세!$F$6:$F$500,A9,자산운용명세!$G$6:$G$500,"AC")</f>
        <v/>
      </c>
      <c r="E9" s="21">
        <f>C9-D9</f>
        <v/>
      </c>
      <c r="F9" s="35">
        <f>IF($E$14=0,0,E9/$E$14)</f>
        <v/>
      </c>
      <c r="G9" s="25">
        <f>SUMIFS(자산운용명세!$O$6:$O$500,자산운용명세!$F$6:$F$500,A9)</f>
        <v/>
      </c>
      <c r="H9" s="36">
        <f>IFERROR(SUMPRODUCT((자산운용명세!$F$6:$F$500=A9)*자산운용명세!$N$6:$N$500*자산운용명세!$S$6:$S$500)/SUMPRODUCT((자산운용명세!$F$6:$F$500=A9)*(자산운용명세!$S$6:$S$500&lt;&gt;"")*자산운용명세!$N$6:$N$500),0)</f>
        <v/>
      </c>
      <c r="I9" s="34">
        <f>IFERROR(SUMPRODUCT((자산운용명세!$F$6:$F$500=A9)*자산운용명세!$N$6:$N$500*자산운용명세!$W$6:$W$500)/SUMPRODUCT((자산운용명세!$F$6:$F$500=A9)*(자산운용명세!$W$6:$W$500&lt;&gt;"")*자산운용명세!$N$6:$N$500),0)</f>
        <v/>
      </c>
    </row>
    <row r="10">
      <c r="A10" s="10" t="inlineStr">
        <is>
          <t>회사채</t>
        </is>
      </c>
      <c r="B10" s="25">
        <f>COUNTIF(자산운용명세!$F$6:$F$500,A10)</f>
        <v/>
      </c>
      <c r="C10" s="25">
        <f>SUMIFS(자산운용명세!$N$6:$N$500,자산운용명세!$F$6:$F$500,A10)</f>
        <v/>
      </c>
      <c r="D10" s="25">
        <f>SUMIFS(자산운용명세!$P$6:$P$500,자산운용명세!$F$6:$F$500,A10,자산운용명세!$G$6:$G$500,"AC")</f>
        <v/>
      </c>
      <c r="E10" s="21">
        <f>C10-D10</f>
        <v/>
      </c>
      <c r="F10" s="35">
        <f>IF($E$14=0,0,E10/$E$14)</f>
        <v/>
      </c>
      <c r="G10" s="25">
        <f>SUMIFS(자산운용명세!$O$6:$O$500,자산운용명세!$F$6:$F$500,A10)</f>
        <v/>
      </c>
      <c r="H10" s="36">
        <f>IFERROR(SUMPRODUCT((자산운용명세!$F$6:$F$500=A10)*자산운용명세!$N$6:$N$500*자산운용명세!$S$6:$S$500)/SUMPRODUCT((자산운용명세!$F$6:$F$500=A10)*(자산운용명세!$S$6:$S$500&lt;&gt;"")*자산운용명세!$N$6:$N$500),0)</f>
        <v/>
      </c>
      <c r="I10" s="34">
        <f>IFERROR(SUMPRODUCT((자산운용명세!$F$6:$F$500=A10)*자산운용명세!$N$6:$N$500*자산운용명세!$W$6:$W$500)/SUMPRODUCT((자산운용명세!$F$6:$F$500=A10)*(자산운용명세!$W$6:$W$500&lt;&gt;"")*자산운용명세!$N$6:$N$500),0)</f>
        <v/>
      </c>
    </row>
    <row r="11">
      <c r="A11" s="10" t="inlineStr">
        <is>
          <t>외화채권</t>
        </is>
      </c>
      <c r="B11" s="25">
        <f>COUNTIF(자산운용명세!$F$6:$F$500,A11)</f>
        <v/>
      </c>
      <c r="C11" s="25">
        <f>SUMIFS(자산운용명세!$N$6:$N$500,자산운용명세!$F$6:$F$500,A11)</f>
        <v/>
      </c>
      <c r="D11" s="25">
        <f>SUMIFS(자산운용명세!$P$6:$P$500,자산운용명세!$F$6:$F$500,A11,자산운용명세!$G$6:$G$500,"AC")</f>
        <v/>
      </c>
      <c r="E11" s="21">
        <f>C11-D11</f>
        <v/>
      </c>
      <c r="F11" s="35">
        <f>IF($E$14=0,0,E11/$E$14)</f>
        <v/>
      </c>
      <c r="G11" s="25">
        <f>SUMIFS(자산운용명세!$O$6:$O$500,자산운용명세!$F$6:$F$500,A11)</f>
        <v/>
      </c>
      <c r="H11" s="36">
        <f>IFERROR(SUMPRODUCT((자산운용명세!$F$6:$F$500=A11)*자산운용명세!$N$6:$N$500*자산운용명세!$S$6:$S$500)/SUMPRODUCT((자산운용명세!$F$6:$F$500=A11)*(자산운용명세!$S$6:$S$500&lt;&gt;"")*자산운용명세!$N$6:$N$500),0)</f>
        <v/>
      </c>
      <c r="I11" s="34">
        <f>IFERROR(SUMPRODUCT((자산운용명세!$F$6:$F$500=A11)*자산운용명세!$N$6:$N$500*자산운용명세!$W$6:$W$500)/SUMPRODUCT((자산운용명세!$F$6:$F$500=A11)*(자산운용명세!$W$6:$W$500&lt;&gt;"")*자산운용명세!$N$6:$N$500),0)</f>
        <v/>
      </c>
    </row>
    <row r="12">
      <c r="A12" s="10" t="inlineStr">
        <is>
          <t>대출채권</t>
        </is>
      </c>
      <c r="B12" s="25">
        <f>COUNTIF(자산운용명세!$F$6:$F$500,A12)</f>
        <v/>
      </c>
      <c r="C12" s="25">
        <f>SUMIFS(자산운용명세!$N$6:$N$500,자산운용명세!$F$6:$F$500,A12)</f>
        <v/>
      </c>
      <c r="D12" s="25">
        <f>SUMIFS(자산운용명세!$P$6:$P$500,자산운용명세!$F$6:$F$500,A12,자산운용명세!$G$6:$G$500,"AC")</f>
        <v/>
      </c>
      <c r="E12" s="21">
        <f>C12-D12</f>
        <v/>
      </c>
      <c r="F12" s="35">
        <f>IF($E$14=0,0,E12/$E$14)</f>
        <v/>
      </c>
      <c r="G12" s="25">
        <f>SUMIFS(자산운용명세!$O$6:$O$500,자산운용명세!$F$6:$F$500,A12)</f>
        <v/>
      </c>
      <c r="H12" s="36">
        <f>IFERROR(SUMPRODUCT((자산운용명세!$F$6:$F$500=A12)*자산운용명세!$N$6:$N$500*자산운용명세!$S$6:$S$500)/SUMPRODUCT((자산운용명세!$F$6:$F$500=A12)*(자산운용명세!$S$6:$S$500&lt;&gt;"")*자산운용명세!$N$6:$N$500),0)</f>
        <v/>
      </c>
      <c r="I12" s="34">
        <f>IFERROR(SUMPRODUCT((자산운용명세!$F$6:$F$500=A12)*자산운용명세!$N$6:$N$500*자산운용명세!$W$6:$W$500)/SUMPRODUCT((자산운용명세!$F$6:$F$500=A12)*(자산운용명세!$W$6:$W$500&lt;&gt;"")*자산운용명세!$N$6:$N$500),0)</f>
        <v/>
      </c>
    </row>
    <row r="13">
      <c r="A13" s="10" t="inlineStr">
        <is>
          <t>투자부동산</t>
        </is>
      </c>
      <c r="B13" s="25">
        <f>COUNTIF(자산운용명세!$F$6:$F$500,A13)</f>
        <v/>
      </c>
      <c r="C13" s="25">
        <f>SUMIFS(자산운용명세!$N$6:$N$500,자산운용명세!$F$6:$F$500,A13)</f>
        <v/>
      </c>
      <c r="D13" s="25">
        <f>SUMIFS(자산운용명세!$P$6:$P$500,자산운용명세!$F$6:$F$500,A13,자산운용명세!$G$6:$G$500,"AC")</f>
        <v/>
      </c>
      <c r="E13" s="21">
        <f>C13-D13</f>
        <v/>
      </c>
      <c r="F13" s="35">
        <f>IF($E$14=0,0,E13/$E$14)</f>
        <v/>
      </c>
      <c r="G13" s="25">
        <f>SUMIFS(자산운용명세!$O$6:$O$500,자산운용명세!$F$6:$F$500,A13)</f>
        <v/>
      </c>
      <c r="H13" s="36">
        <f>IFERROR(SUMPRODUCT((자산운용명세!$F$6:$F$500=A13)*자산운용명세!$N$6:$N$500*자산운용명세!$S$6:$S$500)/SUMPRODUCT((자산운용명세!$F$6:$F$500=A13)*(자산운용명세!$S$6:$S$500&lt;&gt;"")*자산운용명세!$N$6:$N$500),0)</f>
        <v/>
      </c>
      <c r="I13" s="34">
        <f>IFERROR(SUMPRODUCT((자산운용명세!$F$6:$F$500=A13)*자산운용명세!$N$6:$N$500*자산운용명세!$W$6:$W$500)/SUMPRODUCT((자산운용명세!$F$6:$F$500=A13)*(자산운용명세!$W$6:$W$500&lt;&gt;"")*자산운용명세!$N$6:$N$500),0)</f>
        <v/>
      </c>
    </row>
    <row r="14">
      <c r="A14" s="22" t="inlineStr">
        <is>
          <t>합계</t>
        </is>
      </c>
      <c r="B14" s="27">
        <f>SUM(B7:B13)</f>
        <v/>
      </c>
      <c r="C14" s="27">
        <f>SUM(C7:C13)</f>
        <v/>
      </c>
      <c r="D14" s="27">
        <f>SUM(D7:D13)</f>
        <v/>
      </c>
      <c r="E14" s="27">
        <f>SUM(E7:E13)</f>
        <v/>
      </c>
      <c r="F14" s="37">
        <f>SUM(F7:F13)</f>
        <v/>
      </c>
      <c r="G14" s="27">
        <f>SUM(G7:G13)</f>
        <v/>
      </c>
      <c r="H14" s="38">
        <f>IFERROR(SUMPRODUCT(자산운용명세!$N$6:$N$500*자산운용명세!$S$6:$S$500)/SUMPRODUCT((자산운용명세!$S$6:$S$500&lt;&gt;"")*자산운용명세!$N$6:$N$500),0)</f>
        <v/>
      </c>
      <c r="I14" s="39">
        <f>IFERROR(SUMPRODUCT(자산운용명세!$N$6:$N$500*자산운용명세!$W$6:$W$500)/SUMPRODUCT((자산운용명세!$W$6:$W$500&lt;&gt;"")*자산운용명세!$N$6:$N$500),0)</f>
        <v/>
      </c>
    </row>
    <row r="17">
      <c r="A17" s="3" t="inlineStr">
        <is>
          <t>2. IFRS 9 분류별 현황</t>
        </is>
      </c>
    </row>
    <row r="18" ht="32" customHeight="1">
      <c r="A18" s="7" t="inlineStr">
        <is>
          <t>IFRS 9 분류</t>
        </is>
      </c>
      <c r="B18" s="7" t="inlineStr">
        <is>
          <t>종목수</t>
        </is>
      </c>
      <c r="C18" s="7" t="inlineStr">
        <is>
          <t>장부금액(총액)</t>
        </is>
      </c>
      <c r="D18" s="7" t="inlineStr">
        <is>
          <t>공정가치</t>
        </is>
      </c>
      <c r="E18" s="7" t="inlineStr">
        <is>
          <t>비중(장부금액)</t>
        </is>
      </c>
      <c r="F18" s="7" t="inlineStr">
        <is>
          <t>평가손익</t>
        </is>
      </c>
      <c r="G18" s="7" t="inlineStr">
        <is>
          <t>손익 반영처</t>
        </is>
      </c>
    </row>
    <row r="19">
      <c r="A19" s="10" t="inlineStr">
        <is>
          <t>FVPL</t>
        </is>
      </c>
      <c r="B19" s="25">
        <f>COUNTIF(자산운용명세!$G$6:$G$500,A19)</f>
        <v/>
      </c>
      <c r="C19" s="25">
        <f>SUMIFS(자산운용명세!$N$6:$N$500,자산운용명세!$G$6:$G$500,A19)</f>
        <v/>
      </c>
      <c r="D19" s="25">
        <f>SUMIFS(자산운용명세!$M$6:$M$500,자산운용명세!$G$6:$G$500,A19)</f>
        <v/>
      </c>
      <c r="E19" s="35">
        <f>IF($C$23=0,0,C19/$C$23)</f>
        <v/>
      </c>
      <c r="F19" s="25">
        <f>SUMIFS(자산운용명세!$O$6:$O$500,자산운용명세!$G$6:$G$500,A19)</f>
        <v/>
      </c>
      <c r="G19" s="15" t="inlineStr">
        <is>
          <t>당기손익</t>
        </is>
      </c>
    </row>
    <row r="20">
      <c r="A20" s="10" t="inlineStr">
        <is>
          <t>FVOCI</t>
        </is>
      </c>
      <c r="B20" s="25">
        <f>COUNTIF(자산운용명세!$G$6:$G$500,A20)</f>
        <v/>
      </c>
      <c r="C20" s="25">
        <f>SUMIFS(자산운용명세!$N$6:$N$500,자산운용명세!$G$6:$G$500,A20)</f>
        <v/>
      </c>
      <c r="D20" s="25">
        <f>SUMIFS(자산운용명세!$M$6:$M$500,자산운용명세!$G$6:$G$500,A20)</f>
        <v/>
      </c>
      <c r="E20" s="35">
        <f>IF($C$23=0,0,C20/$C$23)</f>
        <v/>
      </c>
      <c r="F20" s="25">
        <f>SUMIFS(자산운용명세!$O$6:$O$500,자산운용명세!$G$6:$G$500,A20)</f>
        <v/>
      </c>
      <c r="G20" s="15" t="inlineStr">
        <is>
          <t>기타포괄손익(OCI)</t>
        </is>
      </c>
    </row>
    <row r="21">
      <c r="A21" s="10" t="inlineStr">
        <is>
          <t>AC</t>
        </is>
      </c>
      <c r="B21" s="25">
        <f>COUNTIF(자산운용명세!$G$6:$G$500,A21)</f>
        <v/>
      </c>
      <c r="C21" s="25">
        <f>SUMIFS(자산운용명세!$N$6:$N$500,자산운용명세!$G$6:$G$500,A21)</f>
        <v/>
      </c>
      <c r="D21" s="25">
        <f>SUMIFS(자산운용명세!$M$6:$M$500,자산운용명세!$G$6:$G$500,A21)</f>
        <v/>
      </c>
      <c r="E21" s="35">
        <f>IF($C$23=0,0,C21/$C$23)</f>
        <v/>
      </c>
      <c r="F21" s="25">
        <f>SUMIFS(자산운용명세!$O$6:$O$500,자산운용명세!$G$6:$G$500,A21)</f>
        <v/>
      </c>
      <c r="G21" s="15" t="inlineStr">
        <is>
          <t>미반영 (주석 공시)</t>
        </is>
      </c>
    </row>
    <row r="22">
      <c r="A22" s="10" t="inlineStr">
        <is>
          <t>원가모형</t>
        </is>
      </c>
      <c r="B22" s="25">
        <f>COUNTIF(자산운용명세!$G$6:$G$500,A22)</f>
        <v/>
      </c>
      <c r="C22" s="25">
        <f>SUMIFS(자산운용명세!$N$6:$N$500,자산운용명세!$G$6:$G$500,A22)</f>
        <v/>
      </c>
      <c r="D22" s="25">
        <f>SUMIFS(자산운용명세!$M$6:$M$500,자산운용명세!$G$6:$G$500,A22)</f>
        <v/>
      </c>
      <c r="E22" s="35">
        <f>IF($C$23=0,0,C22/$C$23)</f>
        <v/>
      </c>
      <c r="F22" s="25">
        <f>SUMIFS(자산운용명세!$O$6:$O$500,자산운용명세!$G$6:$G$500,A22)</f>
        <v/>
      </c>
      <c r="G22" s="15" t="inlineStr">
        <is>
          <t>미반영 (주석 공시)</t>
        </is>
      </c>
    </row>
    <row r="23">
      <c r="A23" s="22" t="inlineStr">
        <is>
          <t>합계</t>
        </is>
      </c>
      <c r="B23" s="27">
        <f>SUM(B19:B22)</f>
        <v/>
      </c>
      <c r="C23" s="27">
        <f>SUM(C19:C22)</f>
        <v/>
      </c>
      <c r="D23" s="27">
        <f>SUM(D19:D22)</f>
        <v/>
      </c>
      <c r="E23" s="37">
        <f>SUM(E19:E22)</f>
        <v/>
      </c>
      <c r="F23" s="27">
        <f>SUM(F19:F22)</f>
        <v/>
      </c>
      <c r="G23" s="40" t="n"/>
    </row>
    <row r="26">
      <c r="A26" s="3" t="inlineStr">
        <is>
          <t>3. 명세 ↔ 시산표 GL 대사 (Sub-ledger vs General Ledger)</t>
        </is>
      </c>
    </row>
    <row r="27" ht="32" customHeight="1">
      <c r="A27" s="7" t="inlineStr">
        <is>
          <t>G/L 계정</t>
        </is>
      </c>
      <c r="B27" s="7" t="inlineStr">
        <is>
          <t>계정명</t>
        </is>
      </c>
      <c r="C27" s="7" t="inlineStr">
        <is>
          <t>명세 집계 기준</t>
        </is>
      </c>
      <c r="D27" s="7" t="inlineStr">
        <is>
          <t>명세 합계 (A)</t>
        </is>
      </c>
      <c r="E27" s="7" t="inlineStr">
        <is>
          <t>시산표 기말잔액 (B)</t>
        </is>
      </c>
      <c r="F27" s="7" t="inlineStr">
        <is>
          <t>차이 (A−B)</t>
        </is>
      </c>
      <c r="G27" s="7" t="inlineStr">
        <is>
          <t>판정</t>
        </is>
      </c>
    </row>
    <row r="28">
      <c r="A28" s="14" t="inlineStr">
        <is>
          <t>11101000</t>
        </is>
      </c>
      <c r="B28" s="19">
        <f>IFERROR(INDEX(계정과목!$B$5:$B$78,MATCH(A28,계정과목!$A$5:$A$78,0)),"계정 없음")</f>
        <v/>
      </c>
      <c r="C28" s="15" t="inlineStr">
        <is>
          <t>자산 G/L별 장부금액(총액)</t>
        </is>
      </c>
      <c r="D28" s="25">
        <f>SUMIFS(자산운용명세!$N$6:$N$500,자산운용명세!$X$6:$X$500,A28)</f>
        <v/>
      </c>
      <c r="E28" s="25">
        <f>SUMIFS(시산표!$L$6:$L$49,시산표!$E$6:$E$49,A28)</f>
        <v/>
      </c>
      <c r="F28" s="21">
        <f>D28-E28</f>
        <v/>
      </c>
      <c r="G28" s="17">
        <f>IF(ABS(F28)&lt;0.5,"OK","차이 확인")</f>
        <v/>
      </c>
    </row>
    <row r="29">
      <c r="A29" s="14" t="inlineStr">
        <is>
          <t>11102000</t>
        </is>
      </c>
      <c r="B29" s="19">
        <f>IFERROR(INDEX(계정과목!$B$5:$B$78,MATCH(A29,계정과목!$A$5:$A$78,0)),"계정 없음")</f>
        <v/>
      </c>
      <c r="C29" s="15" t="inlineStr">
        <is>
          <t>자산 G/L별 장부금액(총액)</t>
        </is>
      </c>
      <c r="D29" s="25">
        <f>SUMIFS(자산운용명세!$N$6:$N$500,자산운용명세!$X$6:$X$500,A29)</f>
        <v/>
      </c>
      <c r="E29" s="25">
        <f>SUMIFS(시산표!$L$6:$L$49,시산표!$E$6:$E$49,A29)</f>
        <v/>
      </c>
      <c r="F29" s="21">
        <f>D29-E29</f>
        <v/>
      </c>
      <c r="G29" s="17">
        <f>IF(ABS(F29)&lt;0.5,"OK","차이 확인")</f>
        <v/>
      </c>
    </row>
    <row r="30">
      <c r="A30" s="14" t="inlineStr">
        <is>
          <t>11201000</t>
        </is>
      </c>
      <c r="B30" s="19">
        <f>IFERROR(INDEX(계정과목!$B$5:$B$78,MATCH(A30,계정과목!$A$5:$A$78,0)),"계정 없음")</f>
        <v/>
      </c>
      <c r="C30" s="15" t="inlineStr">
        <is>
          <t>자산 G/L별 장부금액(총액)</t>
        </is>
      </c>
      <c r="D30" s="25">
        <f>SUMIFS(자산운용명세!$N$6:$N$500,자산운용명세!$X$6:$X$500,A30)</f>
        <v/>
      </c>
      <c r="E30" s="25">
        <f>SUMIFS(시산표!$L$6:$L$49,시산표!$E$6:$E$49,A30)</f>
        <v/>
      </c>
      <c r="F30" s="21">
        <f>D30-E30</f>
        <v/>
      </c>
      <c r="G30" s="17">
        <f>IF(ABS(F30)&lt;0.5,"OK","차이 확인")</f>
        <v/>
      </c>
    </row>
    <row r="31">
      <c r="A31" s="14" t="inlineStr">
        <is>
          <t>11202000</t>
        </is>
      </c>
      <c r="B31" s="19">
        <f>IFERROR(INDEX(계정과목!$B$5:$B$78,MATCH(A31,계정과목!$A$5:$A$78,0)),"계정 없음")</f>
        <v/>
      </c>
      <c r="C31" s="15" t="inlineStr">
        <is>
          <t>자산 G/L별 장부금액(총액)</t>
        </is>
      </c>
      <c r="D31" s="25">
        <f>SUMIFS(자산운용명세!$N$6:$N$500,자산운용명세!$X$6:$X$500,A31)</f>
        <v/>
      </c>
      <c r="E31" s="25">
        <f>SUMIFS(시산표!$L$6:$L$49,시산표!$E$6:$E$49,A31)</f>
        <v/>
      </c>
      <c r="F31" s="21">
        <f>D31-E31</f>
        <v/>
      </c>
      <c r="G31" s="17">
        <f>IF(ABS(F31)&lt;0.5,"OK","차이 확인")</f>
        <v/>
      </c>
    </row>
    <row r="32">
      <c r="A32" s="14" t="inlineStr">
        <is>
          <t>11203000</t>
        </is>
      </c>
      <c r="B32" s="19">
        <f>IFERROR(INDEX(계정과목!$B$5:$B$78,MATCH(A32,계정과목!$A$5:$A$78,0)),"계정 없음")</f>
        <v/>
      </c>
      <c r="C32" s="15" t="inlineStr">
        <is>
          <t>자산 G/L별 장부금액(총액)</t>
        </is>
      </c>
      <c r="D32" s="25">
        <f>SUMIFS(자산운용명세!$N$6:$N$500,자산운용명세!$X$6:$X$500,A32)</f>
        <v/>
      </c>
      <c r="E32" s="25">
        <f>SUMIFS(시산표!$L$6:$L$49,시산표!$E$6:$E$49,A32)</f>
        <v/>
      </c>
      <c r="F32" s="21">
        <f>D32-E32</f>
        <v/>
      </c>
      <c r="G32" s="17">
        <f>IF(ABS(F32)&lt;0.5,"OK","차이 확인")</f>
        <v/>
      </c>
    </row>
    <row r="33">
      <c r="A33" s="14" t="inlineStr">
        <is>
          <t>11301000</t>
        </is>
      </c>
      <c r="B33" s="19">
        <f>IFERROR(INDEX(계정과목!$B$5:$B$78,MATCH(A33,계정과목!$A$5:$A$78,0)),"계정 없음")</f>
        <v/>
      </c>
      <c r="C33" s="15" t="inlineStr">
        <is>
          <t>자산 G/L별 장부금액(총액)</t>
        </is>
      </c>
      <c r="D33" s="25">
        <f>SUMIFS(자산운용명세!$N$6:$N$500,자산운용명세!$X$6:$X$500,A33)</f>
        <v/>
      </c>
      <c r="E33" s="25">
        <f>SUMIFS(시산표!$L$6:$L$49,시산표!$E$6:$E$49,A33)</f>
        <v/>
      </c>
      <c r="F33" s="21">
        <f>D33-E33</f>
        <v/>
      </c>
      <c r="G33" s="17">
        <f>IF(ABS(F33)&lt;0.5,"OK","차이 확인")</f>
        <v/>
      </c>
    </row>
    <row r="34">
      <c r="A34" s="14" t="inlineStr">
        <is>
          <t>11401000</t>
        </is>
      </c>
      <c r="B34" s="19">
        <f>IFERROR(INDEX(계정과목!$B$5:$B$78,MATCH(A34,계정과목!$A$5:$A$78,0)),"계정 없음")</f>
        <v/>
      </c>
      <c r="C34" s="15" t="inlineStr">
        <is>
          <t>자산 G/L별 장부금액(총액)</t>
        </is>
      </c>
      <c r="D34" s="25">
        <f>SUMIFS(자산운용명세!$N$6:$N$500,자산운용명세!$X$6:$X$500,A34)</f>
        <v/>
      </c>
      <c r="E34" s="25">
        <f>SUMIFS(시산표!$L$6:$L$49,시산표!$E$6:$E$49,A34)</f>
        <v/>
      </c>
      <c r="F34" s="21">
        <f>D34-E34</f>
        <v/>
      </c>
      <c r="G34" s="17">
        <f>IF(ABS(F34)&lt;0.5,"OK","차이 확인")</f>
        <v/>
      </c>
    </row>
    <row r="35">
      <c r="A35" s="14" t="inlineStr">
        <is>
          <t>11402000</t>
        </is>
      </c>
      <c r="B35" s="19">
        <f>IFERROR(INDEX(계정과목!$B$5:$B$78,MATCH(A35,계정과목!$A$5:$A$78,0)),"계정 없음")</f>
        <v/>
      </c>
      <c r="C35" s="15" t="inlineStr">
        <is>
          <t>자산 G/L별 장부금액(총액)</t>
        </is>
      </c>
      <c r="D35" s="25">
        <f>SUMIFS(자산운용명세!$N$6:$N$500,자산운용명세!$X$6:$X$500,A35)</f>
        <v/>
      </c>
      <c r="E35" s="25">
        <f>SUMIFS(시산표!$L$6:$L$49,시산표!$E$6:$E$49,A35)</f>
        <v/>
      </c>
      <c r="F35" s="21">
        <f>D35-E35</f>
        <v/>
      </c>
      <c r="G35" s="17">
        <f>IF(ABS(F35)&lt;0.5,"OK","차이 확인")</f>
        <v/>
      </c>
    </row>
    <row r="36">
      <c r="A36" s="14" t="inlineStr">
        <is>
          <t>11501000</t>
        </is>
      </c>
      <c r="B36" s="19">
        <f>IFERROR(INDEX(계정과목!$B$5:$B$78,MATCH(A36,계정과목!$A$5:$A$78,0)),"계정 없음")</f>
        <v/>
      </c>
      <c r="C36" s="15" t="inlineStr">
        <is>
          <t>자산 G/L별 장부금액(총액)</t>
        </is>
      </c>
      <c r="D36" s="25">
        <f>SUMIFS(자산운용명세!$N$6:$N$500,자산운용명세!$X$6:$X$500,A36)</f>
        <v/>
      </c>
      <c r="E36" s="25">
        <f>SUMIFS(시산표!$L$6:$L$49,시산표!$E$6:$E$49,A36)</f>
        <v/>
      </c>
      <c r="F36" s="21">
        <f>D36-E36</f>
        <v/>
      </c>
      <c r="G36" s="17">
        <f>IF(ABS(F36)&lt;0.5,"OK","차이 확인")</f>
        <v/>
      </c>
    </row>
    <row r="37">
      <c r="A37" s="14" t="inlineStr">
        <is>
          <t>11309000</t>
        </is>
      </c>
      <c r="B37" s="19">
        <f>IFERROR(INDEX(계정과목!$B$5:$B$78,MATCH(A37,계정과목!$A$5:$A$78,0)),"계정 없음")</f>
        <v/>
      </c>
      <c r="C37" s="15" t="inlineStr">
        <is>
          <t>충당금 G/L별 ECL (음수)</t>
        </is>
      </c>
      <c r="D37" s="25">
        <f>-SUMIFS(자산운용명세!$P$6:$P$500,자산운용명세!$Y$6:$Y$500,A37)</f>
        <v/>
      </c>
      <c r="E37" s="25">
        <f>SUMIFS(시산표!$L$6:$L$49,시산표!$E$6:$E$49,A37)</f>
        <v/>
      </c>
      <c r="F37" s="21">
        <f>D37-E37</f>
        <v/>
      </c>
      <c r="G37" s="17">
        <f>IF(ABS(F37)&lt;0.5,"OK","차이 확인")</f>
        <v/>
      </c>
    </row>
    <row r="38">
      <c r="A38" s="14" t="inlineStr">
        <is>
          <t>11409000</t>
        </is>
      </c>
      <c r="B38" s="19">
        <f>IFERROR(INDEX(계정과목!$B$5:$B$78,MATCH(A38,계정과목!$A$5:$A$78,0)),"계정 없음")</f>
        <v/>
      </c>
      <c r="C38" s="15" t="inlineStr">
        <is>
          <t>충당금 G/L별 ECL (음수)</t>
        </is>
      </c>
      <c r="D38" s="25">
        <f>-SUMIFS(자산운용명세!$P$6:$P$500,자산운용명세!$Y$6:$Y$500,A38)</f>
        <v/>
      </c>
      <c r="E38" s="25">
        <f>SUMIFS(시산표!$L$6:$L$49,시산표!$E$6:$E$49,A38)</f>
        <v/>
      </c>
      <c r="F38" s="21">
        <f>D38-E38</f>
        <v/>
      </c>
      <c r="G38" s="17">
        <f>IF(ABS(F38)&lt;0.5,"OK","차이 확인")</f>
        <v/>
      </c>
    </row>
    <row r="39">
      <c r="A39" s="14" t="inlineStr">
        <is>
          <t>11601000</t>
        </is>
      </c>
      <c r="B39" s="19">
        <f>IFERROR(INDEX(계정과목!$B$5:$B$78,MATCH(A39,계정과목!$A$5:$A$78,0)),"계정 없음")</f>
        <v/>
      </c>
      <c r="C39" s="15" t="inlineStr">
        <is>
          <t>미수이자 전체</t>
        </is>
      </c>
      <c r="D39" s="25">
        <f>SUMPRODUCT((LEN(자산운용명세!$X$6:$X$500)&gt;0)*자산운용명세!$R$6:$R$500)</f>
        <v/>
      </c>
      <c r="E39" s="25">
        <f>SUMIFS(시산표!$L$6:$L$49,시산표!$E$6:$E$49,A39)</f>
        <v/>
      </c>
      <c r="F39" s="21">
        <f>D39-E39</f>
        <v/>
      </c>
      <c r="G39" s="17">
        <f>IF(ABS(F39)&lt;0.5,"OK","차이 확인")</f>
        <v/>
      </c>
    </row>
    <row r="40">
      <c r="A40" s="22" t="inlineStr">
        <is>
          <t>합계</t>
        </is>
      </c>
      <c r="B40" s="40" t="n"/>
      <c r="C40" s="40" t="n"/>
      <c r="D40" s="27">
        <f>SUM(D28:D39)</f>
        <v/>
      </c>
      <c r="E40" s="27">
        <f>SUM(E28:E39)</f>
        <v/>
      </c>
      <c r="F40" s="27">
        <f>SUM(F28:F39)</f>
        <v/>
      </c>
      <c r="G40" s="23">
        <f>IF(COUNTIF(G28:G39,"OK")=12,"전체 일치","차이 있음")</f>
        <v/>
      </c>
    </row>
    <row r="42">
      <c r="A42" s="13" t="inlineStr">
        <is>
          <t>※ 차이가 나면 미전기 거래, 평가 전표 누락, 외화환산 시점 차이, G/L 매핑 오류 순으로 확인합니다.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2026-10-14T00:36:25Z</dcterms:created>
  <dcterms:modified xsi:type="dcterms:W3CDTF">2026-10-14T00:36:25Z</dcterms:modified>
</cp:coreProperties>
</file>