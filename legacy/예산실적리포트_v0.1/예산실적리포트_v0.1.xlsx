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안내" sheetId="1" state="visible" r:id="rId1"/>
    <sheet name="설정" sheetId="2" state="visible" r:id="rId2"/>
    <sheet name="자가진단" sheetId="3" state="visible" r:id="rId3"/>
    <sheet name="리포트" sheetId="4" state="visible" r:id="rId4"/>
    <sheet name="요약" sheetId="5" state="visible" r:id="rId5"/>
    <sheet name="예외목록" sheetId="6" state="visible" r:id="rId6"/>
    <sheet name="월별추이" sheetId="7" state="visible" r:id="rId7"/>
    <sheet name="집계" sheetId="8" state="visible" r:id="rId8"/>
    <sheet name="코멘트" sheetId="9" state="visible" r:id="rId9"/>
    <sheet name="마감이력" sheetId="10" state="visible" r:id="rId10"/>
    <sheet name="예산_원본" sheetId="11" state="visible" r:id="rId11"/>
    <sheet name="실적_원본" sheetId="12" state="visible" r:id="rId12"/>
    <sheet name="계정매핑" sheetId="13" state="visible" r:id="rId13"/>
    <sheet name="부서매핑" sheetId="14" state="visible" r:id="rId14"/>
  </sheets>
  <definedNames>
    <definedName name="_xlnm.Print_Area" localSheetId="3">'리포트'!$A$1:$H$50</definedName>
    <definedName name="_xlnm._FilterDatabase" localSheetId="7" hidden="1">'집계'!$A$6:$T$95</definedName>
    <definedName name="_xlnm._FilterDatabase" localSheetId="10" hidden="1">'예산_원본'!$A$4:$Y$4</definedName>
    <definedName name="_xlnm._FilterDatabase" localSheetId="11" hidden="1">'실적_원본'!$A$4:$Q$4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%;&quot;△&quot;0.0%;&quot;-&quot;"/>
    <numFmt numFmtId="165" formatCode="#,##0;&quot;△&quot;#,##0;&quot;-&quot;"/>
    <numFmt numFmtId="166" formatCode="0.######"/>
    <numFmt numFmtId="167" formatCode="#,##0.0;&quot;△&quot;#,##0.0;&quot;-&quot;"/>
    <numFmt numFmtId="168" formatCode="0&quot;월&quot;"/>
    <numFmt numFmtId="169" formatCode="yyyy-mm-dd"/>
    <numFmt numFmtId="170" formatCode="+0.0%;-0.0%;0.0%"/>
    <numFmt numFmtId="171" formatCode="0&quot;건&quot;"/>
    <numFmt numFmtId="172" formatCode="0&quot;건&quot;;;&quot;-&quot;"/>
  </numFmts>
  <fonts count="16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color rgb="007F7F7F"/>
      <sz val="9"/>
    </font>
    <font>
      <name val="맑은 고딕"/>
      <b val="1"/>
      <color rgb="00000000"/>
      <sz val="11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FF"/>
      <sz val="10"/>
    </font>
    <font>
      <name val="맑은 고딕"/>
      <color rgb="007F7F7F"/>
      <sz val="10"/>
    </font>
    <font>
      <name val="맑은 고딕"/>
      <color rgb="00008000"/>
      <sz val="10"/>
    </font>
    <font>
      <name val="맑은 고딕"/>
      <b val="1"/>
      <color rgb="00FFFFFF"/>
    </font>
    <font>
      <name val="맑은 고딕"/>
      <color rgb="00008000"/>
      <sz val="9"/>
    </font>
    <font>
      <name val="맑은 고딕"/>
      <b val="1"/>
      <color rgb="00000000"/>
      <sz val="16"/>
    </font>
    <font>
      <name val="맑은 고딕"/>
      <b val="1"/>
      <color rgb="00008000"/>
      <sz val="14"/>
    </font>
    <font>
      <name val="맑은 고딕"/>
      <b val="1"/>
      <color rgb="00008000"/>
      <sz val="10"/>
    </font>
    <font>
      <name val="맑은 고딕"/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80808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6" fillId="3" borderId="1" pivotButton="0" quotePrefix="0" xfId="0"/>
    <xf numFmtId="0" fontId="7" fillId="4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  <xf numFmtId="3" fontId="7" fillId="0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7" fillId="4" borderId="1" pivotButton="0" quotePrefix="0" xfId="0"/>
    <xf numFmtId="0" fontId="15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2" fillId="6" borderId="1" applyAlignment="1" pivotButton="0" quotePrefix="0" xfId="0">
      <alignment horizontal="center"/>
    </xf>
    <xf numFmtId="165" fontId="13" fillId="6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170" fontId="13" fillId="6" borderId="1" applyAlignment="1" pivotButton="0" quotePrefix="0" xfId="0">
      <alignment horizontal="center" vertical="center"/>
    </xf>
    <xf numFmtId="171" fontId="13" fillId="6" borderId="1" applyAlignment="1" pivotButton="0" quotePrefix="0" xfId="0">
      <alignment horizontal="center" vertical="center"/>
    </xf>
    <xf numFmtId="165" fontId="9" fillId="0" borderId="1" pivotButton="0" quotePrefix="0" xfId="0"/>
    <xf numFmtId="164" fontId="9" fillId="0" borderId="1" pivotButton="0" quotePrefix="0" xfId="0"/>
    <xf numFmtId="170" fontId="9" fillId="0" borderId="1" pivotButton="0" quotePrefix="0" xfId="0"/>
    <xf numFmtId="172" fontId="9" fillId="0" borderId="1" applyAlignment="1" pivotButton="0" quotePrefix="0" xfId="0">
      <alignment horizontal="center" vertical="center"/>
    </xf>
    <xf numFmtId="0" fontId="6" fillId="6" borderId="1" pivotButton="0" quotePrefix="0" xfId="0"/>
    <xf numFmtId="165" fontId="14" fillId="6" borderId="1" pivotButton="0" quotePrefix="0" xfId="0"/>
    <xf numFmtId="164" fontId="14" fillId="6" borderId="1" pivotButton="0" quotePrefix="0" xfId="0"/>
    <xf numFmtId="170" fontId="14" fillId="6" borderId="1" pivotButton="0" quotePrefix="0" xfId="0"/>
    <xf numFmtId="172" fontId="14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11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165" fontId="4" fillId="0" borderId="1" pivotButton="0" quotePrefix="0" xfId="0"/>
    <xf numFmtId="164" fontId="4" fillId="0" borderId="1" pivotButton="0" quotePrefix="0" xfId="0"/>
    <xf numFmtId="2" fontId="9" fillId="0" borderId="1" pivotButton="0" quotePrefix="0" xfId="0"/>
    <xf numFmtId="165" fontId="6" fillId="6" borderId="1" pivotButton="0" quotePrefix="0" xfId="0"/>
    <xf numFmtId="164" fontId="6" fillId="6" borderId="1" pivotButton="0" quotePrefix="0" xfId="0"/>
    <xf numFmtId="168" fontId="10" fillId="2" borderId="1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/>
    </xf>
    <xf numFmtId="0" fontId="4" fillId="3" borderId="1" pivotButton="0" quotePrefix="0" xfId="0"/>
    <xf numFmtId="165" fontId="9" fillId="3" borderId="1" pivotButton="0" quotePrefix="0" xfId="0"/>
    <xf numFmtId="165" fontId="6" fillId="3" borderId="1" pivotButton="0" quotePrefix="0" xfId="0"/>
    <xf numFmtId="165" fontId="6" fillId="0" borderId="1" pivotButton="0" quotePrefix="0" xfId="0"/>
    <xf numFmtId="2" fontId="4" fillId="0" borderId="1" pivotButton="0" quotePrefix="0" xfId="0"/>
    <xf numFmtId="0" fontId="7" fillId="0" borderId="1" pivotButton="0" quotePrefix="0" xfId="0"/>
    <xf numFmtId="169" fontId="7" fillId="0" borderId="1" pivotButton="0" quotePrefix="0" xfId="0"/>
    <xf numFmtId="0" fontId="8" fillId="0" borderId="0" pivotButton="0" quotePrefix="0" xfId="0"/>
    <xf numFmtId="168" fontId="10" fillId="2" borderId="1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pivotButton="0" quotePrefix="0" xfId="0"/>
    <xf numFmtId="165" fontId="9" fillId="0" borderId="0" pivotButton="0" quotePrefix="0" xfId="0"/>
    <xf numFmtId="0" fontId="9" fillId="0" borderId="0" pivotButton="0" quotePrefix="0" xfId="0"/>
    <xf numFmtId="167" fontId="9" fillId="0" borderId="0" pivotButton="0" quotePrefix="0" xfId="0"/>
    <xf numFmtId="49" fontId="7" fillId="0" borderId="1" applyAlignment="1" pivotButton="0" quotePrefix="0" xfId="0">
      <alignment horizontal="center" vertical="center"/>
    </xf>
    <xf numFmtId="49" fontId="7" fillId="0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b val="1"/>
        <color rgb="009C0006"/>
      </font>
    </dxf>
    <dxf>
      <font>
        <b val="1"/>
        <color rgb="007030A0"/>
      </font>
    </dxf>
    <dxf>
      <font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ont>
        <b val="1"/>
      </font>
      <fill>
        <patternFill patternType="solid">
          <fgColor rgb="00D9C3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부서별 누계예산 vs 누계실적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'요약'!C6</f>
            </strRef>
          </tx>
          <spPr>
            <a:ln>
              <a:prstDash val="solid"/>
            </a:ln>
          </spPr>
          <cat>
            <numRef>
              <f>'요약'!$B$7:$B$14</f>
            </numRef>
          </cat>
          <val>
            <numRef>
              <f>'요약'!$C$7:$C$14</f>
            </numRef>
          </val>
        </ser>
        <ser>
          <idx val="1"/>
          <order val="1"/>
          <tx>
            <strRef>
              <f>'요약'!D6</f>
            </strRef>
          </tx>
          <spPr>
            <a:ln>
              <a:prstDash val="solid"/>
            </a:ln>
          </spPr>
          <cat>
            <numRef>
              <f>'요약'!$B$7:$B$14</f>
            </numRef>
          </cat>
          <val>
            <numRef>
              <f>'요약'!$D$7:$D$14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93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예산 대비 실적 리포트 v0.1</t>
        </is>
      </c>
    </row>
    <row r="2">
      <c r="A2" s="2" t="inlineStr">
        <is>
          <t>Excel 2016 호환 · 예시 데이터는 가상 수치 · 단위는 설정 시트에서 변경</t>
        </is>
      </c>
    </row>
    <row r="4">
      <c r="A4" s="3" t="inlineStr">
        <is>
          <t>최초 설치 (1회)</t>
        </is>
      </c>
    </row>
    <row r="5">
      <c r="A5" s="4" t="inlineStr">
        <is>
          <t>1. 이 파일을 연 상태에서 Alt+F11 → [파일] → [파일 가져오기] → modBudget.bas 선택</t>
        </is>
      </c>
    </row>
    <row r="6">
      <c r="A6" s="4" t="inlineStr">
        <is>
          <t>2. Alt+F8 → SetupButtons 실행 → 설정 시트에 버튼 6개가 생깁니다</t>
        </is>
      </c>
    </row>
    <row r="7">
      <c r="A7" s="4" t="inlineStr">
        <is>
          <t>3. [다른 이름으로 저장] → 파일 형식 'Excel 매크로 사용 통합 문서 (*.xlsm)'</t>
        </is>
      </c>
    </row>
    <row r="8">
      <c r="A8" s="4" t="inlineStr">
        <is>
          <t>4. 대시보드.html 을 이 엑셀 파일과 같은 폴더에 둡니다</t>
        </is>
      </c>
    </row>
    <row r="10">
      <c r="A10" s="3" t="inlineStr">
        <is>
          <t>매월 사용 순서</t>
        </is>
      </c>
    </row>
    <row r="11">
      <c r="A11" s="4" t="inlineStr">
        <is>
          <t>1. 설정 시트에서 기준연도·기준월 변경</t>
        </is>
      </c>
    </row>
    <row r="12">
      <c r="A12" s="4" t="inlineStr">
        <is>
          <t>2. [실적 불러오기] → 자체 화면에서 내려받은 파일 선택 (전년 실적 포함, 열 순서 무관)</t>
        </is>
      </c>
    </row>
    <row r="13">
      <c r="A13" s="4" t="inlineStr">
        <is>
          <t>3. [예산 불러오기] → 예산 파일 선택 (예산이 바뀐 달에만)</t>
        </is>
      </c>
    </row>
    <row r="14">
      <c r="A14" s="4" t="inlineStr">
        <is>
          <t>4. 자가진단 시트가 '전체 정상'인지 확인 (불러오기 후 자동으로 결과 팝업)</t>
        </is>
      </c>
    </row>
    <row r="15">
      <c r="A15" s="4" t="inlineStr">
        <is>
          <t>5. 예외목록 확인 → 코멘트 시트에 원인·조치 입력 → 리포트·요약에 자동 반영</t>
        </is>
      </c>
    </row>
    <row r="16">
      <c r="A16" s="4" t="inlineStr">
        <is>
          <t>6. [리포트 PDF] → [월마감 저장] → [대시보드 내보내기]</t>
        </is>
      </c>
    </row>
    <row r="18">
      <c r="A18" s="3" t="inlineStr">
        <is>
          <t>매크로 없이 쓸 때</t>
        </is>
      </c>
    </row>
    <row r="19">
      <c r="A19" s="4" t="inlineStr">
        <is>
          <t>실적_원본 A~H열, 예산_원본 A~R열에 붙여넣고, 보조수식(회색 머리글 열)을 데이터 마지막 행까지 끌어서 채우면 됩니다.</t>
        </is>
      </c>
    </row>
    <row r="21">
      <c r="A21" s="3" t="inlineStr">
        <is>
          <t>자체 화면 열 이름이 다를 때</t>
        </is>
      </c>
    </row>
    <row r="22">
      <c r="A22" s="4" t="inlineStr">
        <is>
          <t>설정 시트의 '열 매핑' 표에서 [원본 화면 열 이름] 칸을 실제 화면 헤더와 똑같이 고치세요. 불러오기가 그 이름으로 열을 찾습니다.</t>
        </is>
      </c>
    </row>
    <row r="23">
      <c r="A23" s="4" t="inlineStr">
        <is>
          <t>합계 행, 빈 행(코스트센터·부서코드가 비어 있는 행)은 불러올 때 자동으로 제외됩니다.</t>
        </is>
      </c>
    </row>
    <row r="25">
      <c r="A25" s="3" t="inlineStr">
        <is>
          <t>외부망으로 오류를 전달할 때</t>
        </is>
      </c>
    </row>
    <row r="26">
      <c r="A26" s="4" t="inlineStr">
        <is>
          <t>자가진단 시트의 [점검 항목]과 [상태]만 전달하세요. 금액·코드는 옮기지 않아도 원인을 찾을 수 있게 만들었습니다.</t>
        </is>
      </c>
    </row>
    <row r="28">
      <c r="A28" s="3" t="inlineStr">
        <is>
          <t>셀 색상 규칙</t>
        </is>
      </c>
    </row>
    <row r="29">
      <c r="A29" s="4" t="inlineStr">
        <is>
          <t>파란 글씨 = 입력값 · 검정 = 수식 · 초록 = 다른 시트 참조 수식 · 노란 배경 = 매월 바꾸는 설정 · 회색 머리글 = 보조수식(수정 금지)</t>
        </is>
      </c>
    </row>
    <row r="31">
      <c r="A31" s="3" t="inlineStr">
        <is>
          <t>시트 구성</t>
        </is>
      </c>
    </row>
    <row r="32" ht="20" customHeight="1">
      <c r="A32" s="5" t="inlineStr">
        <is>
          <t>시트</t>
        </is>
      </c>
      <c r="B32" s="5" t="inlineStr">
        <is>
          <t>역할</t>
        </is>
      </c>
    </row>
    <row r="33">
      <c r="A33" s="6" t="inlineStr">
        <is>
          <t>설정</t>
        </is>
      </c>
      <c r="B33" s="7" t="inlineStr">
        <is>
          <t>기준월·단위·경고 기준, 열 매핑, 매크로 버튼</t>
        </is>
      </c>
    </row>
    <row r="34">
      <c r="A34" s="6" t="inlineStr">
        <is>
          <t>자가진단</t>
        </is>
      </c>
      <c r="B34" s="7" t="inlineStr">
        <is>
          <t>데이터 구조·매핑·대사 점검 (15개 항목)</t>
        </is>
      </c>
    </row>
    <row r="35">
      <c r="A35" s="6" t="inlineStr">
        <is>
          <t>리포트</t>
        </is>
      </c>
      <c r="B35" s="7" t="inlineStr">
        <is>
          <t>인쇄용 1장 보고서 (PDF 출력 대상)</t>
        </is>
      </c>
    </row>
    <row r="36">
      <c r="A36" s="6" t="inlineStr">
        <is>
          <t>요약</t>
        </is>
      </c>
      <c r="B36" s="7" t="inlineStr">
        <is>
          <t>부서별·예산항목별 요약, 부서별 보고 문구 초안</t>
        </is>
      </c>
    </row>
    <row r="37">
      <c r="A37" s="6" t="inlineStr">
        <is>
          <t>예외목록</t>
        </is>
      </c>
      <c r="B37" s="7" t="inlineStr">
        <is>
          <t>경고 기준을 넘은 항목, 차이 금액 큰 순</t>
        </is>
      </c>
    </row>
    <row r="38">
      <c r="A38" s="6" t="inlineStr">
        <is>
          <t>월별추이</t>
        </is>
      </c>
      <c r="B38" s="7" t="inlineStr">
        <is>
          <t>부서별 월 예산·실적·전년실적 (대시보드 원천)</t>
        </is>
      </c>
    </row>
    <row r="39">
      <c r="A39" s="6" t="inlineStr">
        <is>
          <t>집계</t>
        </is>
      </c>
      <c r="B39" s="7" t="inlineStr">
        <is>
          <t>부서 × 예산항목 상세 (모든 계산의 중심)</t>
        </is>
      </c>
    </row>
    <row r="40">
      <c r="A40" s="6" t="inlineStr">
        <is>
          <t>코멘트</t>
        </is>
      </c>
      <c r="B40" s="7" t="inlineStr">
        <is>
          <t>예외 항목 원인·조치 입력 (월별 누적)</t>
        </is>
      </c>
    </row>
    <row r="41">
      <c r="A41" s="6" t="inlineStr">
        <is>
          <t>마감이력</t>
        </is>
      </c>
      <c r="B41" s="7" t="inlineStr">
        <is>
          <t>[월마감 저장] 시 집계 결과 보관</t>
        </is>
      </c>
    </row>
    <row r="42">
      <c r="A42" s="6" t="inlineStr">
        <is>
          <t>예산_원본</t>
        </is>
      </c>
      <c r="B42" s="7" t="inlineStr">
        <is>
          <t>예산 파일 (부서 × 항목 × 12개월)</t>
        </is>
      </c>
    </row>
    <row r="43">
      <c r="A43" s="6" t="inlineStr">
        <is>
          <t>실적_원본</t>
        </is>
      </c>
      <c r="B43" s="7" t="inlineStr">
        <is>
          <t>자체 화면 실적 (코스트센터 × G/L × 월)</t>
        </is>
      </c>
    </row>
    <row r="44">
      <c r="A44" s="6" t="inlineStr">
        <is>
          <t>계정매핑</t>
        </is>
      </c>
      <c r="B44" s="7" t="inlineStr">
        <is>
          <t>G/L 계정 → 예산항목</t>
        </is>
      </c>
    </row>
    <row r="45">
      <c r="A45" s="6" t="inlineStr">
        <is>
          <t>부서매핑</t>
        </is>
      </c>
      <c r="B45" s="7" t="inlineStr">
        <is>
          <t>코스트센터 → 부서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46" customWidth="1" min="4" max="4"/>
    <col width="3" customWidth="1" min="5" max="5"/>
    <col width="9" customWidth="1" min="6" max="6"/>
    <col width="12" customWidth="1" min="7" max="7"/>
    <col width="3" customWidth="1" min="8" max="8"/>
    <col width="24" customWidth="1" min="9" max="9"/>
  </cols>
  <sheetData>
    <row r="1">
      <c r="A1" s="1" t="inlineStr">
        <is>
          <t>설정</t>
        </is>
      </c>
    </row>
    <row r="2">
      <c r="A2" s="2" t="inlineStr">
        <is>
          <t>노란 칸만 바꾸세요 · 오른쪽 버튼은 SetupButtons 실행 후 생깁니다</t>
        </is>
      </c>
    </row>
    <row r="4" ht="20" customHeight="1">
      <c r="B4" s="5" t="inlineStr">
        <is>
          <t>항목</t>
        </is>
      </c>
      <c r="C4" s="5" t="inlineStr">
        <is>
          <t>값</t>
        </is>
      </c>
      <c r="D4" s="5" t="inlineStr">
        <is>
          <t>설명</t>
        </is>
      </c>
      <c r="F4" s="5" t="inlineStr">
        <is>
          <t>단위</t>
        </is>
      </c>
      <c r="G4" s="5" t="inlineStr">
        <is>
          <t>원 환산</t>
        </is>
      </c>
      <c r="I4" s="8" t="inlineStr">
        <is>
          <t>매크로 버튼</t>
        </is>
      </c>
    </row>
    <row r="5">
      <c r="B5" s="9" t="inlineStr">
        <is>
          <t>회사명</t>
        </is>
      </c>
      <c r="C5" s="10" t="inlineStr">
        <is>
          <t>예시보험㈜</t>
        </is>
      </c>
      <c r="D5" s="11" t="inlineStr">
        <is>
          <t>리포트 제목에 표시</t>
        </is>
      </c>
      <c r="F5" s="12" t="inlineStr">
        <is>
          <t>원</t>
        </is>
      </c>
      <c r="G5" s="13" t="n">
        <v>1</v>
      </c>
    </row>
    <row r="6">
      <c r="B6" s="9" t="inlineStr">
        <is>
          <t>기준연도</t>
        </is>
      </c>
      <c r="C6" s="10" t="n">
        <v>2026</v>
      </c>
      <c r="D6" s="11" t="inlineStr">
        <is>
          <t>보고 대상 연도</t>
        </is>
      </c>
      <c r="F6" s="12" t="inlineStr">
        <is>
          <t>천원</t>
        </is>
      </c>
      <c r="G6" s="13" t="n">
        <v>1000</v>
      </c>
    </row>
    <row r="7">
      <c r="B7" s="9" t="inlineStr">
        <is>
          <t>기준월</t>
        </is>
      </c>
      <c r="C7" s="10" t="n">
        <v>9</v>
      </c>
      <c r="D7" s="11" t="inlineStr">
        <is>
          <t>1~12. 누계는 1월~기준월</t>
        </is>
      </c>
      <c r="F7" s="12" t="inlineStr">
        <is>
          <t>백만원</t>
        </is>
      </c>
      <c r="G7" s="13" t="n">
        <v>1000000</v>
      </c>
    </row>
    <row r="8">
      <c r="B8" s="9" t="inlineStr">
        <is>
          <t>적용 예산버전</t>
        </is>
      </c>
      <c r="C8" s="10" t="inlineStr">
        <is>
          <t>본예산</t>
        </is>
      </c>
      <c r="D8" s="11" t="inlineStr">
        <is>
          <t>예산_원본 B열(예산버전) 중 집계할 버전</t>
        </is>
      </c>
    </row>
    <row r="9">
      <c r="B9" s="9" t="inlineStr">
        <is>
          <t>예산_원본 금액단위</t>
        </is>
      </c>
      <c r="C9" s="10" t="inlineStr">
        <is>
          <t>천원</t>
        </is>
      </c>
      <c r="D9" s="11" t="inlineStr">
        <is>
          <t>예산 파일에 적힌 금액 단위</t>
        </is>
      </c>
    </row>
    <row r="10">
      <c r="B10" s="9" t="inlineStr">
        <is>
          <t>실적_원본 금액단위</t>
        </is>
      </c>
      <c r="C10" s="10" t="inlineStr">
        <is>
          <t>원</t>
        </is>
      </c>
      <c r="D10" s="11" t="inlineStr">
        <is>
          <t>자체 화면 금액 단위</t>
        </is>
      </c>
    </row>
    <row r="11">
      <c r="B11" s="9" t="inlineStr">
        <is>
          <t>보고 단위</t>
        </is>
      </c>
      <c r="C11" s="10" t="inlineStr">
        <is>
          <t>천원</t>
        </is>
      </c>
      <c r="D11" s="11" t="inlineStr">
        <is>
          <t>모든 집계·리포트 표시 단위</t>
        </is>
      </c>
    </row>
    <row r="12">
      <c r="B12" s="9" t="inlineStr">
        <is>
          <t>경고 기준: 집행률 차이</t>
        </is>
      </c>
      <c r="C12" s="14" t="n">
        <v>0.1</v>
      </c>
      <c r="D12" s="11" t="inlineStr">
        <is>
          <t>누계 집행률이 100% ± 이 값을 벗어나면 초과/과소</t>
        </is>
      </c>
    </row>
    <row r="13">
      <c r="B13" s="9" t="inlineStr">
        <is>
          <t>경고 기준: 금액 하한 (보고단위)</t>
        </is>
      </c>
      <c r="C13" s="15" t="n">
        <v>10000</v>
      </c>
      <c r="D13" s="11" t="inlineStr">
        <is>
          <t>누계 차이가 이 금액 미만이면 집행률과 무관하게 정상</t>
        </is>
      </c>
    </row>
    <row r="14">
      <c r="B14" s="9" t="inlineStr">
        <is>
          <t>(계산) 예산 환산계수</t>
        </is>
      </c>
      <c r="C14" s="16">
        <f>INDEX($G$5:$G$7,MATCH(C9,$F$5:$F$7,0))/INDEX($G$5:$G$7,MATCH(C11,$F$5:$F$7,0))</f>
        <v/>
      </c>
      <c r="D14" s="11" t="inlineStr">
        <is>
          <t>예산_원본 금액 × 계수 = 보고단위</t>
        </is>
      </c>
    </row>
    <row r="15">
      <c r="B15" s="9" t="inlineStr">
        <is>
          <t>(계산) 실적 환산계수</t>
        </is>
      </c>
      <c r="C15" s="16">
        <f>INDEX($G$5:$G$7,MATCH(C10,$F$5:$F$7,0))/INDEX($G$5:$G$7,MATCH(C11,$F$5:$F$7,0))</f>
        <v/>
      </c>
      <c r="D15" s="11" t="inlineStr">
        <is>
          <t>실적_원본 금액 × 계수 = 보고단위</t>
        </is>
      </c>
    </row>
    <row r="19">
      <c r="B19" s="3" t="inlineStr">
        <is>
          <t>열 매핑 - 실적 (자체 화면)</t>
        </is>
      </c>
    </row>
    <row r="20" ht="20" customHeight="1">
      <c r="B20" s="5" t="inlineStr">
        <is>
          <t>표준 열 (실적_원본)</t>
        </is>
      </c>
      <c r="C20" s="5" t="inlineStr">
        <is>
          <t>원본 화면 열 이름</t>
        </is>
      </c>
      <c r="D20" s="5" t="inlineStr">
        <is>
          <t>설명</t>
        </is>
      </c>
    </row>
    <row r="21">
      <c r="B21" s="9" t="inlineStr">
        <is>
          <t>A열 회계연도</t>
        </is>
      </c>
      <c r="C21" s="17" t="inlineStr">
        <is>
          <t>회계연도</t>
        </is>
      </c>
      <c r="D21" s="11" t="inlineStr">
        <is>
          <t>숫자·텍스트 모두 가능</t>
        </is>
      </c>
    </row>
    <row r="22">
      <c r="B22" s="9" t="inlineStr">
        <is>
          <t>B열 기간</t>
        </is>
      </c>
      <c r="C22" s="17" t="inlineStr">
        <is>
          <t>기간</t>
        </is>
      </c>
      <c r="D22" s="11" t="inlineStr">
        <is>
          <t>1~12 또는 001~012</t>
        </is>
      </c>
    </row>
    <row r="23">
      <c r="B23" s="9" t="inlineStr">
        <is>
          <t>C열 회사코드</t>
        </is>
      </c>
      <c r="C23" s="17" t="inlineStr">
        <is>
          <t>회사코드</t>
        </is>
      </c>
      <c r="D23" s="11" t="inlineStr"/>
    </row>
    <row r="24">
      <c r="B24" s="9" t="inlineStr">
        <is>
          <t>D열 코스트센터</t>
        </is>
      </c>
      <c r="C24" s="17" t="inlineStr">
        <is>
          <t>코스트센터</t>
        </is>
      </c>
      <c r="D24" s="11" t="inlineStr">
        <is>
          <t>코스트센터 코드 (비어 있는 행은 제외)</t>
        </is>
      </c>
    </row>
    <row r="25">
      <c r="B25" s="9" t="inlineStr">
        <is>
          <t>E열 코스트센터명</t>
        </is>
      </c>
      <c r="C25" s="17" t="inlineStr">
        <is>
          <t>코스트센터명</t>
        </is>
      </c>
      <c r="D25" s="11" t="inlineStr"/>
    </row>
    <row r="26">
      <c r="B26" s="9" t="inlineStr">
        <is>
          <t>F열 G/L계정</t>
        </is>
      </c>
      <c r="C26" s="17" t="inlineStr">
        <is>
          <t>G/L계정</t>
        </is>
      </c>
      <c r="D26" s="11" t="inlineStr"/>
    </row>
    <row r="27">
      <c r="B27" s="9" t="inlineStr">
        <is>
          <t>G열 계정명</t>
        </is>
      </c>
      <c r="C27" s="17" t="inlineStr">
        <is>
          <t>계정명</t>
        </is>
      </c>
      <c r="D27" s="11" t="inlineStr"/>
    </row>
    <row r="28">
      <c r="B28" s="9" t="inlineStr">
        <is>
          <t>H열 금액</t>
        </is>
      </c>
      <c r="C28" s="17" t="inlineStr">
        <is>
          <t>금액</t>
        </is>
      </c>
      <c r="D28" s="11" t="inlineStr">
        <is>
          <t>회사코드 통화, 비용 차변 +</t>
        </is>
      </c>
    </row>
    <row r="30">
      <c r="B30" s="3" t="inlineStr">
        <is>
          <t>열 매핑 - 예산 파일</t>
        </is>
      </c>
    </row>
    <row r="31" ht="20" customHeight="1">
      <c r="B31" s="5" t="inlineStr">
        <is>
          <t>표준 열 (예산_원본)</t>
        </is>
      </c>
      <c r="C31" s="5" t="inlineStr">
        <is>
          <t>원본 파일 열 이름</t>
        </is>
      </c>
      <c r="D31" s="5" t="inlineStr">
        <is>
          <t>설명</t>
        </is>
      </c>
    </row>
    <row r="32">
      <c r="B32" s="9" t="inlineStr">
        <is>
          <t>A열 연도</t>
        </is>
      </c>
      <c r="C32" s="17" t="inlineStr">
        <is>
          <t>연도</t>
        </is>
      </c>
      <c r="D32" s="11" t="inlineStr"/>
    </row>
    <row r="33">
      <c r="B33" s="9" t="inlineStr">
        <is>
          <t>B열 예산버전</t>
        </is>
      </c>
      <c r="C33" s="17" t="inlineStr">
        <is>
          <t>예산버전</t>
        </is>
      </c>
      <c r="D33" s="11" t="inlineStr"/>
    </row>
    <row r="34">
      <c r="B34" s="9" t="inlineStr">
        <is>
          <t>C열 부서코드</t>
        </is>
      </c>
      <c r="C34" s="17" t="inlineStr">
        <is>
          <t>부서코드</t>
        </is>
      </c>
      <c r="D34" s="11" t="inlineStr">
        <is>
          <t>부서코드가 비어 있는 행은 제외</t>
        </is>
      </c>
    </row>
    <row r="35">
      <c r="B35" s="9" t="inlineStr">
        <is>
          <t>D열 부서명</t>
        </is>
      </c>
      <c r="C35" s="17" t="inlineStr">
        <is>
          <t>부서명</t>
        </is>
      </c>
      <c r="D35" s="11" t="inlineStr"/>
    </row>
    <row r="36">
      <c r="B36" s="9" t="inlineStr">
        <is>
          <t>E열 예산항목코드</t>
        </is>
      </c>
      <c r="C36" s="17" t="inlineStr">
        <is>
          <t>예산항목코드</t>
        </is>
      </c>
      <c r="D36" s="11" t="inlineStr"/>
    </row>
    <row r="37">
      <c r="B37" s="9" t="inlineStr">
        <is>
          <t>F열 예산항목명</t>
        </is>
      </c>
      <c r="C37" s="17" t="inlineStr">
        <is>
          <t>예산항목명</t>
        </is>
      </c>
      <c r="D37" s="11" t="inlineStr"/>
    </row>
    <row r="38">
      <c r="B38" s="9" t="inlineStr">
        <is>
          <t>G열 1월</t>
        </is>
      </c>
      <c r="C38" s="17" t="inlineStr">
        <is>
          <t>1월</t>
        </is>
      </c>
      <c r="D38" s="11" t="inlineStr"/>
    </row>
    <row r="39">
      <c r="B39" s="9" t="inlineStr">
        <is>
          <t>H열 2월</t>
        </is>
      </c>
      <c r="C39" s="17" t="inlineStr">
        <is>
          <t>2월</t>
        </is>
      </c>
      <c r="D39" s="11" t="inlineStr"/>
    </row>
    <row r="40">
      <c r="B40" s="9" t="inlineStr">
        <is>
          <t>I열 3월</t>
        </is>
      </c>
      <c r="C40" s="17" t="inlineStr">
        <is>
          <t>3월</t>
        </is>
      </c>
      <c r="D40" s="11" t="inlineStr"/>
    </row>
    <row r="41">
      <c r="B41" s="9" t="inlineStr">
        <is>
          <t>J열 4월</t>
        </is>
      </c>
      <c r="C41" s="17" t="inlineStr">
        <is>
          <t>4월</t>
        </is>
      </c>
      <c r="D41" s="11" t="inlineStr"/>
    </row>
    <row r="42">
      <c r="B42" s="9" t="inlineStr">
        <is>
          <t>K열 5월</t>
        </is>
      </c>
      <c r="C42" s="17" t="inlineStr">
        <is>
          <t>5월</t>
        </is>
      </c>
      <c r="D42" s="11" t="inlineStr"/>
    </row>
    <row r="43">
      <c r="B43" s="9" t="inlineStr">
        <is>
          <t>L열 6월</t>
        </is>
      </c>
      <c r="C43" s="17" t="inlineStr">
        <is>
          <t>6월</t>
        </is>
      </c>
      <c r="D43" s="11" t="inlineStr"/>
    </row>
    <row r="44">
      <c r="B44" s="9" t="inlineStr">
        <is>
          <t>M열 7월</t>
        </is>
      </c>
      <c r="C44" s="17" t="inlineStr">
        <is>
          <t>7월</t>
        </is>
      </c>
      <c r="D44" s="11" t="inlineStr"/>
    </row>
    <row r="45">
      <c r="B45" s="9" t="inlineStr">
        <is>
          <t>N열 8월</t>
        </is>
      </c>
      <c r="C45" s="17" t="inlineStr">
        <is>
          <t>8월</t>
        </is>
      </c>
      <c r="D45" s="11" t="inlineStr"/>
    </row>
    <row r="46">
      <c r="B46" s="9" t="inlineStr">
        <is>
          <t>O열 9월</t>
        </is>
      </c>
      <c r="C46" s="17" t="inlineStr">
        <is>
          <t>9월</t>
        </is>
      </c>
      <c r="D46" s="11" t="inlineStr"/>
    </row>
    <row r="47">
      <c r="B47" s="9" t="inlineStr">
        <is>
          <t>P열 10월</t>
        </is>
      </c>
      <c r="C47" s="17" t="inlineStr">
        <is>
          <t>10월</t>
        </is>
      </c>
      <c r="D47" s="11" t="inlineStr"/>
    </row>
    <row r="48">
      <c r="B48" s="9" t="inlineStr">
        <is>
          <t>Q열 11월</t>
        </is>
      </c>
      <c r="C48" s="17" t="inlineStr">
        <is>
          <t>11월</t>
        </is>
      </c>
      <c r="D48" s="11" t="inlineStr"/>
    </row>
    <row r="49">
      <c r="B49" s="9" t="inlineStr">
        <is>
          <t>R열 12월</t>
        </is>
      </c>
      <c r="C49" s="17" t="inlineStr">
        <is>
          <t>12월</t>
        </is>
      </c>
      <c r="D49" s="11" t="inlineStr"/>
    </row>
  </sheetData>
  <dataValidations count="2">
    <dataValidation sqref="C9:C11" showDropDown="0" showInputMessage="0" showErrorMessage="0" allowBlank="0" type="list">
      <formula1>=$F$5:$F$7</formula1>
    </dataValidation>
    <dataValidation sqref="C7" showDropDown="0" showInputMessage="0" showErrorMessage="0" allowBlank="0" type="whole" operator="between">
      <formula1>1</formula1>
      <formula2>12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10" customWidth="1" min="4" max="4"/>
    <col width="70" customWidth="1" min="5" max="5"/>
  </cols>
  <sheetData>
    <row r="1">
      <c r="A1" s="1" t="inlineStr">
        <is>
          <t>자가진단</t>
        </is>
      </c>
    </row>
    <row r="2">
      <c r="A2" s="2" t="inlineStr">
        <is>
          <t>불러오기 후 자동 점검 · 외부망으로 오류를 알릴 때는 [점검 항목]과 [상태]만 전달하세요</t>
        </is>
      </c>
    </row>
    <row r="4">
      <c r="A4" s="18" t="inlineStr">
        <is>
          <t>종합</t>
        </is>
      </c>
      <c r="B4" s="18">
        <f>IF(COUNTIF(D7:D23,"확인필요")=0,"전체 정상"&amp;IF(COUNTIF(D7:D23,"참고")&gt;0," (참고 "&amp;COUNTIF(D7:D23,"참고")&amp;"건)",""),"확인필요 "&amp;COUNTIF(D7:D23,"확인필요")&amp;"건")</f>
        <v/>
      </c>
    </row>
    <row r="6" ht="20" customHeight="1">
      <c r="A6" s="5" t="inlineStr">
        <is>
          <t>No</t>
        </is>
      </c>
      <c r="B6" s="5" t="inlineStr">
        <is>
          <t>점검 항목</t>
        </is>
      </c>
      <c r="C6" s="5" t="inlineStr">
        <is>
          <t>결과</t>
        </is>
      </c>
      <c r="D6" s="5" t="inlineStr">
        <is>
          <t>상태</t>
        </is>
      </c>
      <c r="E6" s="5" t="inlineStr">
        <is>
          <t>조치 방법</t>
        </is>
      </c>
    </row>
    <row r="7">
      <c r="A7" s="19" t="n">
        <v>1</v>
      </c>
      <c r="B7" s="6" t="inlineStr">
        <is>
          <t>설정값 유효성</t>
        </is>
      </c>
      <c r="C7" s="20">
        <f>IF(AND(ISNUMBER(설정!$C$7),설정!$C$7&gt;=1,설정!$C$7&lt;=12,ISNUMBER(설정!$C$14),ISNUMBER(설정!$C$15)),"정상","기준월 또는 단위 오류")</f>
        <v/>
      </c>
      <c r="D7" s="21">
        <f>IF(C7="정상","OK","확인필요")</f>
        <v/>
      </c>
      <c r="E7" s="11" t="inlineStr">
        <is>
          <t>설정 시트의 기준월(1~12)과 단위(원/천원/백만원) 확인</t>
        </is>
      </c>
    </row>
    <row r="8">
      <c r="A8" s="19" t="n">
        <v>2</v>
      </c>
      <c r="B8" s="6" t="inlineStr">
        <is>
          <t>실적_원본 머리글</t>
        </is>
      </c>
      <c r="C8" s="20">
        <f>IF(IF(실적_원본!A4&lt;&gt;"회계연도","A ","")&amp;IF(실적_원본!B4&lt;&gt;"기간","B ","")&amp;IF(실적_원본!C4&lt;&gt;"회사코드","C ","")&amp;IF(실적_원본!D4&lt;&gt;"코스트센터","D ","")&amp;IF(실적_원본!E4&lt;&gt;"코스트센터명","E ","")&amp;IF(실적_원본!F4&lt;&gt;"G/L계정","F ","")&amp;IF(실적_원본!G4&lt;&gt;"계정명","G ","")&amp;IF(실적_원본!H4&lt;&gt;"금액","H ","")="","일치","불일치 열: "&amp;IF(실적_원본!A4&lt;&gt;"회계연도","A ","")&amp;IF(실적_원본!B4&lt;&gt;"기간","B ","")&amp;IF(실적_원본!C4&lt;&gt;"회사코드","C ","")&amp;IF(실적_원본!D4&lt;&gt;"코스트센터","D ","")&amp;IF(실적_원본!E4&lt;&gt;"코스트센터명","E ","")&amp;IF(실적_원본!F4&lt;&gt;"G/L계정","F ","")&amp;IF(실적_원본!G4&lt;&gt;"계정명","G ","")&amp;IF(실적_원본!H4&lt;&gt;"금액","H ",""))</f>
        <v/>
      </c>
      <c r="D8" s="21">
        <f>IF(C8="일치","OK","확인필요")</f>
        <v/>
      </c>
      <c r="E8" s="11" t="inlineStr">
        <is>
          <t>실적_원본 4행 머리글을 표준 이름으로 되돌리기</t>
        </is>
      </c>
    </row>
    <row r="9">
      <c r="A9" s="19" t="n">
        <v>3</v>
      </c>
      <c r="B9" s="6" t="inlineStr">
        <is>
          <t>예산_원본 머리글</t>
        </is>
      </c>
      <c r="C9" s="20">
        <f>IF(AND(IF(예산_원본!A4&lt;&gt;"연도","A ","")&amp;IF(예산_원본!B4&lt;&gt;"예산버전","B ","")&amp;IF(예산_원본!C4&lt;&gt;"부서코드","C ","")&amp;IF(예산_원본!D4&lt;&gt;"부서명","D ","")&amp;IF(예산_원본!E4&lt;&gt;"예산항목코드","E ","")&amp;IF(예산_원본!F4&lt;&gt;"예산항목명","F ","")="",예산_원본!G4=1,예산_원본!R4=12),"일치","불일치 열: "&amp;IF(예산_원본!A4&lt;&gt;"연도","A ","")&amp;IF(예산_원본!B4&lt;&gt;"예산버전","B ","")&amp;IF(예산_원본!C4&lt;&gt;"부서코드","C ","")&amp;IF(예산_원본!D4&lt;&gt;"부서명","D ","")&amp;IF(예산_원본!E4&lt;&gt;"예산항목코드","E ","")&amp;IF(예산_원본!F4&lt;&gt;"예산항목명","F ","")&amp;IF(예산_원본!G4&lt;&gt;1,"G(1월) ",""))</f>
        <v/>
      </c>
      <c r="D9" s="21">
        <f>IF(C9="일치","OK","확인필요")</f>
        <v/>
      </c>
      <c r="E9" s="11" t="inlineStr">
        <is>
          <t>예산_원본 4행 머리글을 표준 이름으로 되돌리기</t>
        </is>
      </c>
    </row>
    <row r="10">
      <c r="A10" s="19" t="n">
        <v>4</v>
      </c>
      <c r="B10" s="6" t="inlineStr">
        <is>
          <t>실적 행 수 / 보조수식 범위</t>
        </is>
      </c>
      <c r="C10" s="20">
        <f>COUNTA(실적_원본!A5:A100000)&amp;"행 / 보조수식 "&amp;COUNTA(실적_원본!O5:O100000)&amp;"행"</f>
        <v/>
      </c>
      <c r="D10" s="21">
        <f>IF(AND(COUNTA(실적_원본!A5:A100000)&lt;=99996,COUNTA(실적_원본!O5:O100000)&gt;=COUNTA(실적_원본!A5:A100000)),"OK","확인필요")</f>
        <v/>
      </c>
      <c r="E10" s="11" t="inlineStr">
        <is>
          <t>보조수식(J~Q열)을 데이터 마지막 행까지 채우기 ([보조수식 다시 채우기] 버튼)</t>
        </is>
      </c>
    </row>
    <row r="11">
      <c r="A11" s="19" t="n">
        <v>5</v>
      </c>
      <c r="B11" s="6" t="inlineStr">
        <is>
          <t>예산 행 수 / 보조수식 범위</t>
        </is>
      </c>
      <c r="C11" s="20">
        <f>COUNTA(예산_원본!A5:A3004)&amp;"행 / 보조수식 "&amp;COUNTA(예산_원본!T5:T3004)&amp;"행"</f>
        <v/>
      </c>
      <c r="D11" s="21">
        <f>IF(COUNTA(예산_원본!T5:T3004)&gt;=COUNTA(예산_원본!A5:A3004),"OK","확인필요")</f>
        <v/>
      </c>
      <c r="E11" s="11" t="inlineStr">
        <is>
          <t>보조수식(T~Y열)을 데이터 마지막 행까지 채우기</t>
        </is>
      </c>
    </row>
    <row r="12">
      <c r="A12" s="19" t="n">
        <v>6</v>
      </c>
      <c r="B12" s="6" t="inlineStr">
        <is>
          <t>기준월 실적 존재</t>
        </is>
      </c>
      <c r="C12" s="20">
        <f>COUNTIFS(실적_원본!$L$5:$L$100000,설정!$C$6,실적_원본!$M$5:$M$100000,설정!$C$7)&amp;"건"</f>
        <v/>
      </c>
      <c r="D12" s="21">
        <f>IF(COUNTIFS(실적_원본!$L$5:$L$100000,설정!$C$6,실적_원본!$M$5:$M$100000,설정!$C$7)&gt;0,"OK","확인필요")</f>
        <v/>
      </c>
      <c r="E12" s="11" t="inlineStr">
        <is>
          <t>기준월 실적이 포함된 파일인지, 기간 열 형식 확인</t>
        </is>
      </c>
    </row>
    <row r="13">
      <c r="A13" s="19" t="n">
        <v>7</v>
      </c>
      <c r="B13" s="6" t="inlineStr">
        <is>
          <t>전년 실적 존재</t>
        </is>
      </c>
      <c r="C13" s="20">
        <f>COUNTIFS(실적_원본!$L$5:$L$100000,설정!$C$6-1)&amp;"건"</f>
        <v/>
      </c>
      <c r="D13" s="21">
        <f>IF(COUNTIFS(실적_원본!$L$5:$L$100000,설정!$C$6-1)&gt;0,"OK","참고")</f>
        <v/>
      </c>
      <c r="E13" s="11" t="inlineStr">
        <is>
          <t>전년 대비가 필요하면 전년 실적도 함께 불러오기</t>
        </is>
      </c>
    </row>
    <row r="14">
      <c r="A14" s="19" t="n">
        <v>8</v>
      </c>
      <c r="B14" s="6" t="inlineStr">
        <is>
          <t>미매핑 코스트센터</t>
        </is>
      </c>
      <c r="C14" s="20">
        <f>COUNTIF(실적_원본!$J$5:$J$100000,"미매핑")&amp;"건"&amp;IF(COUNTIF(실적_원본!$J$5:$J$100000,"미매핑")&gt;0," (예: "&amp;INDEX(실적_원본!$D$5:$D$100000,MATCH("미매핑",실적_원본!$J$5:$J$100000,0))&amp;")","")</f>
        <v/>
      </c>
      <c r="D14" s="21">
        <f>IF(COUNTIF(실적_원본!$J$5:$J$100000,"미매핑")=0,"OK","확인필요")</f>
        <v/>
      </c>
      <c r="E14" s="11" t="inlineStr">
        <is>
          <t>부서매핑 시트에 해당 코스트센터 추가</t>
        </is>
      </c>
    </row>
    <row r="15">
      <c r="A15" s="19" t="n">
        <v>9</v>
      </c>
      <c r="B15" s="6" t="inlineStr">
        <is>
          <t>미매핑 G/L 계정</t>
        </is>
      </c>
      <c r="C15" s="20">
        <f>COUNTIF(실적_원본!$K$5:$K$100000,"미매핑")&amp;"건"&amp;IF(COUNTIF(실적_원본!$K$5:$K$100000,"미매핑")&gt;0," (예: "&amp;INDEX(실적_원본!$F$5:$F$100000,MATCH("미매핑",실적_원본!$K$5:$K$100000,0))&amp;")","")</f>
        <v/>
      </c>
      <c r="D15" s="21">
        <f>IF(COUNTIF(실적_원본!$K$5:$K$100000,"미매핑")=0,"OK","확인필요")</f>
        <v/>
      </c>
      <c r="E15" s="11" t="inlineStr">
        <is>
          <t>계정매핑 시트에 해당 계정 추가 (예산 통제 대상이 아니면 예산항목코드에 '제외' 입력)</t>
        </is>
      </c>
    </row>
    <row r="16">
      <c r="A16" s="19" t="n">
        <v>10</v>
      </c>
      <c r="B16" s="6" t="inlineStr">
        <is>
          <t>적용버전 예산 존재</t>
        </is>
      </c>
      <c r="C16" s="20">
        <f>COUNTIFS(예산_원본!$B$5:$B$3004,설정!$C$8,예산_원본!$U$5:$U$3004,설정!$C$6)&amp;"행"</f>
        <v/>
      </c>
      <c r="D16" s="21">
        <f>IF(COUNTIFS(예산_원본!$B$5:$B$3004,설정!$C$8,예산_원본!$U$5:$U$3004,설정!$C$6)&gt;0,"OK","확인필요")</f>
        <v/>
      </c>
      <c r="E16" s="11" t="inlineStr">
        <is>
          <t>설정의 '적용 예산버전'이 예산_원본 B열 값과 같은지 확인</t>
        </is>
      </c>
    </row>
    <row r="17">
      <c r="A17" s="19" t="n">
        <v>11</v>
      </c>
      <c r="B17" s="6" t="inlineStr">
        <is>
          <t>집계표에 없는 예산 조합</t>
        </is>
      </c>
      <c r="C17" s="20">
        <f>COUNTIFS(예산_원본!$Y$5:$Y$3004,"N",예산_원본!$B$5:$B$3004,설정!$C$8,예산_원본!$U$5:$U$3004,설정!$C$6)&amp;"건"</f>
        <v/>
      </c>
      <c r="D17" s="21">
        <f>IF(COUNTIFS(예산_원본!$Y$5:$Y$3004,"N",예산_원본!$B$5:$B$3004,설정!$C$8,예산_원본!$U$5:$U$3004,설정!$C$6)=0,"OK","확인필요")</f>
        <v/>
      </c>
      <c r="E17" s="11" t="inlineStr">
        <is>
          <t>집계 시트에 부서코드·항목코드 행 추가 (매크로 불러오기 시 자동)</t>
        </is>
      </c>
    </row>
    <row r="18">
      <c r="A18" s="19" t="n">
        <v>12</v>
      </c>
      <c r="B18" s="6" t="inlineStr">
        <is>
          <t>집계표에 없는 실적 조합 (당해)</t>
        </is>
      </c>
      <c r="C18" s="20">
        <f>COUNTIFS(실적_원본!$Q$5:$Q$100000,"N",실적_원본!$L$5:$L$100000,설정!$C$6)&amp;"건"</f>
        <v/>
      </c>
      <c r="D18" s="21">
        <f>IF(COUNTIFS(실적_원본!$Q$5:$Q$100000,"N",실적_원본!$L$5:$L$100000,설정!$C$6)=0,"OK","확인필요")</f>
        <v/>
      </c>
      <c r="E18" s="11" t="inlineStr">
        <is>
          <t>미매핑이 아니라면 집계 시트에 행 추가 (매크로 불러오기 시 자동)</t>
        </is>
      </c>
    </row>
    <row r="19">
      <c r="A19" s="19" t="n">
        <v>13</v>
      </c>
      <c r="B19" s="6" t="inlineStr">
        <is>
          <t>무예산 집행 (예산 없는 실적)</t>
        </is>
      </c>
      <c r="C19" s="20">
        <f>COUNTIFS(실적_원본!$P$5:$P$100000,"N",실적_원본!$L$5:$L$100000,설정!$C$6,실적_원본!$M$5:$M$100000,"&lt;="&amp;설정!$C$7)&amp;"건"</f>
        <v/>
      </c>
      <c r="D19" s="21">
        <f>IF(COUNTIFS(실적_원본!$P$5:$P$100000,"N",실적_원본!$L$5:$L$100000,설정!$C$6,실적_원본!$M$5:$M$100000,"&lt;="&amp;설정!$C$7)=0,"OK","참고")</f>
        <v/>
      </c>
      <c r="E19" s="11" t="inlineStr">
        <is>
          <t>업무상 예외 - 예외목록에서 전용·추가예산 여부 확인</t>
        </is>
      </c>
    </row>
    <row r="20">
      <c r="A20" s="19" t="n">
        <v>14</v>
      </c>
      <c r="B20" s="6" t="inlineStr">
        <is>
          <t>실적 총액 대사 (원본 ↔ 집계)</t>
        </is>
      </c>
      <c r="C20" s="20">
        <f>"차이 "&amp;TEXT(SUMIFS(실적_원본!$N$5:$N$100000,실적_원본!$L$5:$L$100000,설정!$C$6,실적_원본!$M$5:$M$100000,"&lt;="&amp;설정!$C$7)-집계!J4,"#,##0")</f>
        <v/>
      </c>
      <c r="D20" s="21">
        <f>IF(ABS(SUMIFS(실적_원본!$N$5:$N$100000,실적_원본!$L$5:$L$100000,설정!$C$6,실적_원본!$M$5:$M$100000,"&lt;="&amp;설정!$C$7)-집계!J4)&lt;1,"OK","확인필요")</f>
        <v/>
      </c>
      <c r="E20" s="11" t="inlineStr">
        <is>
          <t>미매핑·집계 누락 항목을 먼저 해결하면 대부분 0이 됩니다</t>
        </is>
      </c>
    </row>
    <row r="21">
      <c r="A21" s="19" t="n">
        <v>15</v>
      </c>
      <c r="B21" s="6" t="inlineStr">
        <is>
          <t>예산 총액 대사 (원본 ↔ 집계)</t>
        </is>
      </c>
      <c r="C21" s="20">
        <f>"차이 "&amp;TEXT(SUMIFS(예산_원본!$V$5:$V$3004,예산_원본!$B$5:$B$3004,설정!$C$8,예산_원본!$U$5:$U$3004,설정!$C$6)-집계!M4,"#,##0")</f>
        <v/>
      </c>
      <c r="D21" s="21">
        <f>IF(ABS(SUMIFS(예산_원본!$V$5:$V$3004,예산_원본!$B$5:$B$3004,설정!$C$8,예산_원본!$U$5:$U$3004,설정!$C$6)-집계!M4)&lt;1,"OK","확인필요")</f>
        <v/>
      </c>
      <c r="E21" s="11" t="inlineStr">
        <is>
          <t>집계표에 없는 예산 조합 해결</t>
        </is>
      </c>
    </row>
    <row r="22">
      <c r="A22" s="19" t="n">
        <v>16</v>
      </c>
      <c r="B22" s="6" t="inlineStr">
        <is>
          <t>매핑 코드 중복</t>
        </is>
      </c>
      <c r="C22" s="20">
        <f>"계정 "&amp;SUMPRODUCT((계정매핑!$A$5:$A$504&lt;&gt;"")*(COUNTIF(계정매핑!$A$5:$A$504,계정매핑!$A$5:$A$504)&gt;1))&amp;"건 / 코스트센터 "&amp;SUMPRODUCT((부서매핑!$A$5:$A$504&lt;&gt;"")*(COUNTIF(부서매핑!$A$5:$A$504,부서매핑!$A$5:$A$504)&gt;1))&amp;"건"</f>
        <v/>
      </c>
      <c r="D22" s="21">
        <f>IF(SUMPRODUCT((계정매핑!$A$5:$A$504&lt;&gt;"")*(COUNTIF(계정매핑!$A$5:$A$504,계정매핑!$A$5:$A$504)&gt;1))+SUMPRODUCT((부서매핑!$A$5:$A$504&lt;&gt;"")*(COUNTIF(부서매핑!$A$5:$A$504,부서매핑!$A$5:$A$504)&gt;1))=0,"OK","확인필요")</f>
        <v/>
      </c>
      <c r="E22" s="11" t="inlineStr">
        <is>
          <t>매핑 시트에서 같은 코드가 두 번 있는 행 정리</t>
        </is>
      </c>
    </row>
    <row r="23">
      <c r="A23" s="19" t="n">
        <v>17</v>
      </c>
      <c r="B23" s="6" t="inlineStr">
        <is>
          <t>요약 시트 부서 누락</t>
        </is>
      </c>
      <c r="C23" s="20">
        <f>SUMPRODUCT((집계!$A$7:$A$506&lt;&gt;"")*(COUNTIF(요약!$A$7:$A$14,집계!$A$7:$A$506)=0))&amp;"행"</f>
        <v/>
      </c>
      <c r="D23" s="21">
        <f>IF(SUMPRODUCT((집계!$A$7:$A$506&lt;&gt;"")*(COUNTIF(요약!$A$7:$A$14,집계!$A$7:$A$506)=0))=0,"OK","확인필요")</f>
        <v/>
      </c>
      <c r="E23" s="11" t="inlineStr">
        <is>
          <t>요약 시트 부서별 표에 부서코드 행 추가</t>
        </is>
      </c>
    </row>
  </sheetData>
  <conditionalFormatting sqref="D7:D23">
    <cfRule type="cellIs" priority="1" operator="equal" dxfId="0">
      <formula>"OK"</formula>
    </cfRule>
    <cfRule type="cellIs" priority="2" operator="equal" dxfId="1">
      <formula>"확인필요"</formula>
    </cfRule>
    <cfRule type="cellIs" priority="3" operator="equal" dxfId="2">
      <formula>"참고"</formula>
    </cfRule>
  </conditionalFormatting>
  <conditionalFormatting sqref="B4">
    <cfRule type="expression" priority="4" dxfId="0">
      <formula>LEFT($B$4,4)="전체 정상"</formula>
    </cfRule>
    <cfRule type="expression" priority="5" dxfId="1">
      <formula>LEFT($B$4,4)="확인필요"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H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3" customWidth="1" min="4" max="4"/>
    <col width="10" customWidth="1" min="5" max="5"/>
    <col width="10" customWidth="1" min="6" max="6"/>
    <col width="8" customWidth="1" min="7" max="7"/>
    <col width="52" customWidth="1" min="8" max="8"/>
  </cols>
  <sheetData>
    <row r="1">
      <c r="A1" s="22">
        <f>설정!$C$5&amp;" 예산 집행 현황 ("&amp;설정!$C$6&amp;"년 "&amp;설정!$C$7&amp;"월 누계)"</f>
        <v/>
      </c>
    </row>
    <row r="2">
      <c r="A2" s="2">
        <f>"단위: "&amp;설정!$C$11&amp;" · 예산버전: "&amp;설정!$C$8&amp;" · 판정 기준: 집행률 ±"&amp;TEXT(설정!$C$12,"0%")&amp;", 차이 "&amp;TEXT(설정!$C$13,"#,##0")&amp;" 이상"</f>
        <v/>
      </c>
    </row>
    <row r="4">
      <c r="A4" s="23" t="inlineStr">
        <is>
          <t>연간예산</t>
        </is>
      </c>
      <c r="B4" s="23" t="inlineStr">
        <is>
          <t>누계예산</t>
        </is>
      </c>
      <c r="C4" s="23" t="inlineStr">
        <is>
          <t>누계실적</t>
        </is>
      </c>
      <c r="D4" s="23" t="inlineStr">
        <is>
          <t>누계 집행률</t>
        </is>
      </c>
      <c r="E4" s="23" t="inlineStr">
        <is>
          <t>전년 동기 대비</t>
        </is>
      </c>
      <c r="F4" s="23" t="inlineStr">
        <is>
          <t>예외 항목</t>
        </is>
      </c>
    </row>
    <row r="5" ht="30" customHeight="1">
      <c r="A5" s="24">
        <f>요약!G15</f>
        <v/>
      </c>
      <c r="B5" s="24">
        <f>요약!C15</f>
        <v/>
      </c>
      <c r="C5" s="24">
        <f>요약!D15</f>
        <v/>
      </c>
      <c r="D5" s="25">
        <f>요약!F15</f>
        <v/>
      </c>
      <c r="E5" s="26">
        <f>요약!J15</f>
        <v/>
      </c>
      <c r="F5" s="27">
        <f>요약!K15</f>
        <v/>
      </c>
    </row>
    <row r="7">
      <c r="A7" s="3" t="inlineStr">
        <is>
          <t>1. 부서별 집행 현황</t>
        </is>
      </c>
    </row>
    <row r="8" ht="20" customHeight="1">
      <c r="A8" s="5" t="inlineStr">
        <is>
          <t>부서</t>
        </is>
      </c>
      <c r="B8" s="5" t="inlineStr">
        <is>
          <t>누계예산</t>
        </is>
      </c>
      <c r="C8" s="5" t="inlineStr">
        <is>
          <t>누계실적</t>
        </is>
      </c>
      <c r="D8" s="5" t="inlineStr">
        <is>
          <t>누계차이</t>
        </is>
      </c>
      <c r="E8" s="5" t="inlineStr">
        <is>
          <t>집행률</t>
        </is>
      </c>
      <c r="F8" s="5" t="inlineStr">
        <is>
          <t>전년비</t>
        </is>
      </c>
      <c r="G8" s="5" t="inlineStr">
        <is>
          <t>예외</t>
        </is>
      </c>
      <c r="H8" s="5" t="inlineStr">
        <is>
          <t>요약</t>
        </is>
      </c>
    </row>
    <row r="9">
      <c r="A9" s="20">
        <f>요약!B7</f>
        <v/>
      </c>
      <c r="B9" s="28">
        <f>요약!C7</f>
        <v/>
      </c>
      <c r="C9" s="28">
        <f>요약!D7</f>
        <v/>
      </c>
      <c r="D9" s="28">
        <f>요약!E7</f>
        <v/>
      </c>
      <c r="E9" s="29">
        <f>요약!F7</f>
        <v/>
      </c>
      <c r="F9" s="30">
        <f>요약!J7</f>
        <v/>
      </c>
      <c r="G9" s="31">
        <f>요약!K7</f>
        <v/>
      </c>
      <c r="H9" s="20">
        <f>IF(요약!O7="","",요약!L7)&amp;IF(요약!K7&gt;0," / 예외 "&amp;요약!K7&amp;"건","")</f>
        <v/>
      </c>
    </row>
    <row r="10">
      <c r="A10" s="20">
        <f>요약!B8</f>
        <v/>
      </c>
      <c r="B10" s="28">
        <f>요약!C8</f>
        <v/>
      </c>
      <c r="C10" s="28">
        <f>요약!D8</f>
        <v/>
      </c>
      <c r="D10" s="28">
        <f>요약!E8</f>
        <v/>
      </c>
      <c r="E10" s="29">
        <f>요약!F8</f>
        <v/>
      </c>
      <c r="F10" s="30">
        <f>요약!J8</f>
        <v/>
      </c>
      <c r="G10" s="31">
        <f>요약!K8</f>
        <v/>
      </c>
      <c r="H10" s="20">
        <f>IF(요약!O8="","",요약!L8)&amp;IF(요약!K8&gt;0," / 예외 "&amp;요약!K8&amp;"건","")</f>
        <v/>
      </c>
    </row>
    <row r="11">
      <c r="A11" s="20">
        <f>요약!B9</f>
        <v/>
      </c>
      <c r="B11" s="28">
        <f>요약!C9</f>
        <v/>
      </c>
      <c r="C11" s="28">
        <f>요약!D9</f>
        <v/>
      </c>
      <c r="D11" s="28">
        <f>요약!E9</f>
        <v/>
      </c>
      <c r="E11" s="29">
        <f>요약!F9</f>
        <v/>
      </c>
      <c r="F11" s="30">
        <f>요약!J9</f>
        <v/>
      </c>
      <c r="G11" s="31">
        <f>요약!K9</f>
        <v/>
      </c>
      <c r="H11" s="20">
        <f>IF(요약!O9="","",요약!L9)&amp;IF(요약!K9&gt;0," / 예외 "&amp;요약!K9&amp;"건","")</f>
        <v/>
      </c>
    </row>
    <row r="12">
      <c r="A12" s="20">
        <f>요약!B10</f>
        <v/>
      </c>
      <c r="B12" s="28">
        <f>요약!C10</f>
        <v/>
      </c>
      <c r="C12" s="28">
        <f>요약!D10</f>
        <v/>
      </c>
      <c r="D12" s="28">
        <f>요약!E10</f>
        <v/>
      </c>
      <c r="E12" s="29">
        <f>요약!F10</f>
        <v/>
      </c>
      <c r="F12" s="30">
        <f>요약!J10</f>
        <v/>
      </c>
      <c r="G12" s="31">
        <f>요약!K10</f>
        <v/>
      </c>
      <c r="H12" s="20">
        <f>IF(요약!O10="","",요약!L10)&amp;IF(요약!K10&gt;0," / 예외 "&amp;요약!K10&amp;"건","")</f>
        <v/>
      </c>
    </row>
    <row r="13">
      <c r="A13" s="20">
        <f>요약!B11</f>
        <v/>
      </c>
      <c r="B13" s="28">
        <f>요약!C11</f>
        <v/>
      </c>
      <c r="C13" s="28">
        <f>요약!D11</f>
        <v/>
      </c>
      <c r="D13" s="28">
        <f>요약!E11</f>
        <v/>
      </c>
      <c r="E13" s="29">
        <f>요약!F11</f>
        <v/>
      </c>
      <c r="F13" s="30">
        <f>요약!J11</f>
        <v/>
      </c>
      <c r="G13" s="31">
        <f>요약!K11</f>
        <v/>
      </c>
      <c r="H13" s="20">
        <f>IF(요약!O11="","",요약!L11)&amp;IF(요약!K11&gt;0," / 예외 "&amp;요약!K11&amp;"건","")</f>
        <v/>
      </c>
    </row>
    <row r="14">
      <c r="A14" s="20">
        <f>요약!B12</f>
        <v/>
      </c>
      <c r="B14" s="28">
        <f>요약!C12</f>
        <v/>
      </c>
      <c r="C14" s="28">
        <f>요약!D12</f>
        <v/>
      </c>
      <c r="D14" s="28">
        <f>요약!E12</f>
        <v/>
      </c>
      <c r="E14" s="29">
        <f>요약!F12</f>
        <v/>
      </c>
      <c r="F14" s="30">
        <f>요약!J12</f>
        <v/>
      </c>
      <c r="G14" s="31">
        <f>요약!K12</f>
        <v/>
      </c>
      <c r="H14" s="20">
        <f>IF(요약!O12="","",요약!L12)&amp;IF(요약!K12&gt;0," / 예외 "&amp;요약!K12&amp;"건","")</f>
        <v/>
      </c>
    </row>
    <row r="15">
      <c r="A15" s="20">
        <f>요약!B13</f>
        <v/>
      </c>
      <c r="B15" s="28">
        <f>요약!C13</f>
        <v/>
      </c>
      <c r="C15" s="28">
        <f>요약!D13</f>
        <v/>
      </c>
      <c r="D15" s="28">
        <f>요약!E13</f>
        <v/>
      </c>
      <c r="E15" s="29">
        <f>요약!F13</f>
        <v/>
      </c>
      <c r="F15" s="30">
        <f>요약!J13</f>
        <v/>
      </c>
      <c r="G15" s="31">
        <f>요약!K13</f>
        <v/>
      </c>
      <c r="H15" s="20">
        <f>IF(요약!O13="","",요약!L13)&amp;IF(요약!K13&gt;0," / 예외 "&amp;요약!K13&amp;"건","")</f>
        <v/>
      </c>
    </row>
    <row r="16">
      <c r="A16" s="20">
        <f>요약!B14</f>
        <v/>
      </c>
      <c r="B16" s="28">
        <f>요약!C14</f>
        <v/>
      </c>
      <c r="C16" s="28">
        <f>요약!D14</f>
        <v/>
      </c>
      <c r="D16" s="28">
        <f>요약!E14</f>
        <v/>
      </c>
      <c r="E16" s="29">
        <f>요약!F14</f>
        <v/>
      </c>
      <c r="F16" s="30">
        <f>요약!J14</f>
        <v/>
      </c>
      <c r="G16" s="31">
        <f>요약!K14</f>
        <v/>
      </c>
      <c r="H16" s="20">
        <f>IF(요약!O14="","",요약!L14)&amp;IF(요약!K14&gt;0," / 예외 "&amp;요약!K14&amp;"건","")</f>
        <v/>
      </c>
    </row>
    <row r="17">
      <c r="A17" s="32" t="inlineStr">
        <is>
          <t>합계</t>
        </is>
      </c>
      <c r="B17" s="33">
        <f>요약!C15</f>
        <v/>
      </c>
      <c r="C17" s="33">
        <f>요약!D15</f>
        <v/>
      </c>
      <c r="D17" s="33">
        <f>요약!E15</f>
        <v/>
      </c>
      <c r="E17" s="34">
        <f>요약!F15</f>
        <v/>
      </c>
      <c r="F17" s="35">
        <f>요약!J15</f>
        <v/>
      </c>
      <c r="G17" s="36">
        <f>요약!K15</f>
        <v/>
      </c>
      <c r="H17" s="37" t="n"/>
    </row>
    <row r="19">
      <c r="A19" s="3" t="inlineStr">
        <is>
          <t>2. 예외 항목 TOP 10</t>
        </is>
      </c>
    </row>
    <row r="20" ht="20" customHeight="1">
      <c r="A20" s="5" t="inlineStr">
        <is>
          <t>부서</t>
        </is>
      </c>
      <c r="B20" s="5" t="inlineStr">
        <is>
          <t>예산항목</t>
        </is>
      </c>
      <c r="C20" s="5" t="inlineStr">
        <is>
          <t>판정</t>
        </is>
      </c>
      <c r="D20" s="5" t="inlineStr">
        <is>
          <t>누계차이</t>
        </is>
      </c>
      <c r="E20" s="5" t="inlineStr">
        <is>
          <t>집행률</t>
        </is>
      </c>
      <c r="F20" s="5" t="inlineStr">
        <is>
          <t>원인·조치</t>
        </is>
      </c>
      <c r="G20" s="38" t="n"/>
      <c r="H20" s="39" t="n"/>
    </row>
    <row r="21" ht="28" customHeight="1">
      <c r="A21" s="20">
        <f>예외목록!B6</f>
        <v/>
      </c>
      <c r="B21" s="20">
        <f>예외목록!C6</f>
        <v/>
      </c>
      <c r="C21" s="40">
        <f>예외목록!D6</f>
        <v/>
      </c>
      <c r="D21" s="28">
        <f>예외목록!G6</f>
        <v/>
      </c>
      <c r="E21" s="29">
        <f>예외목록!H6</f>
        <v/>
      </c>
      <c r="F21" s="41">
        <f>예외목록!I6</f>
        <v/>
      </c>
      <c r="G21" s="38" t="n"/>
      <c r="H21" s="39" t="n"/>
    </row>
    <row r="22" ht="28" customHeight="1">
      <c r="A22" s="20">
        <f>예외목록!B7</f>
        <v/>
      </c>
      <c r="B22" s="20">
        <f>예외목록!C7</f>
        <v/>
      </c>
      <c r="C22" s="40">
        <f>예외목록!D7</f>
        <v/>
      </c>
      <c r="D22" s="28">
        <f>예외목록!G7</f>
        <v/>
      </c>
      <c r="E22" s="29">
        <f>예외목록!H7</f>
        <v/>
      </c>
      <c r="F22" s="41">
        <f>예외목록!I7</f>
        <v/>
      </c>
      <c r="G22" s="38" t="n"/>
      <c r="H22" s="39" t="n"/>
    </row>
    <row r="23" ht="28" customHeight="1">
      <c r="A23" s="20">
        <f>예외목록!B8</f>
        <v/>
      </c>
      <c r="B23" s="20">
        <f>예외목록!C8</f>
        <v/>
      </c>
      <c r="C23" s="40">
        <f>예외목록!D8</f>
        <v/>
      </c>
      <c r="D23" s="28">
        <f>예외목록!G8</f>
        <v/>
      </c>
      <c r="E23" s="29">
        <f>예외목록!H8</f>
        <v/>
      </c>
      <c r="F23" s="41">
        <f>예외목록!I8</f>
        <v/>
      </c>
      <c r="G23" s="38" t="n"/>
      <c r="H23" s="39" t="n"/>
    </row>
    <row r="24" ht="28" customHeight="1">
      <c r="A24" s="20">
        <f>예외목록!B9</f>
        <v/>
      </c>
      <c r="B24" s="20">
        <f>예외목록!C9</f>
        <v/>
      </c>
      <c r="C24" s="40">
        <f>예외목록!D9</f>
        <v/>
      </c>
      <c r="D24" s="28">
        <f>예외목록!G9</f>
        <v/>
      </c>
      <c r="E24" s="29">
        <f>예외목록!H9</f>
        <v/>
      </c>
      <c r="F24" s="41">
        <f>예외목록!I9</f>
        <v/>
      </c>
      <c r="G24" s="38" t="n"/>
      <c r="H24" s="39" t="n"/>
    </row>
    <row r="25" ht="28" customHeight="1">
      <c r="A25" s="20">
        <f>예외목록!B10</f>
        <v/>
      </c>
      <c r="B25" s="20">
        <f>예외목록!C10</f>
        <v/>
      </c>
      <c r="C25" s="40">
        <f>예외목록!D10</f>
        <v/>
      </c>
      <c r="D25" s="28">
        <f>예외목록!G10</f>
        <v/>
      </c>
      <c r="E25" s="29">
        <f>예외목록!H10</f>
        <v/>
      </c>
      <c r="F25" s="41">
        <f>예외목록!I10</f>
        <v/>
      </c>
      <c r="G25" s="38" t="n"/>
      <c r="H25" s="39" t="n"/>
    </row>
    <row r="26" ht="28" customHeight="1">
      <c r="A26" s="20">
        <f>예외목록!B11</f>
        <v/>
      </c>
      <c r="B26" s="20">
        <f>예외목록!C11</f>
        <v/>
      </c>
      <c r="C26" s="40">
        <f>예외목록!D11</f>
        <v/>
      </c>
      <c r="D26" s="28">
        <f>예외목록!G11</f>
        <v/>
      </c>
      <c r="E26" s="29">
        <f>예외목록!H11</f>
        <v/>
      </c>
      <c r="F26" s="41">
        <f>예외목록!I11</f>
        <v/>
      </c>
      <c r="G26" s="38" t="n"/>
      <c r="H26" s="39" t="n"/>
    </row>
    <row r="27" ht="28" customHeight="1">
      <c r="A27" s="20">
        <f>예외목록!B12</f>
        <v/>
      </c>
      <c r="B27" s="20">
        <f>예외목록!C12</f>
        <v/>
      </c>
      <c r="C27" s="40">
        <f>예외목록!D12</f>
        <v/>
      </c>
      <c r="D27" s="28">
        <f>예외목록!G12</f>
        <v/>
      </c>
      <c r="E27" s="29">
        <f>예외목록!H12</f>
        <v/>
      </c>
      <c r="F27" s="41">
        <f>예외목록!I12</f>
        <v/>
      </c>
      <c r="G27" s="38" t="n"/>
      <c r="H27" s="39" t="n"/>
    </row>
    <row r="28" ht="28" customHeight="1">
      <c r="A28" s="20">
        <f>예외목록!B13</f>
        <v/>
      </c>
      <c r="B28" s="20">
        <f>예외목록!C13</f>
        <v/>
      </c>
      <c r="C28" s="40">
        <f>예외목록!D13</f>
        <v/>
      </c>
      <c r="D28" s="28">
        <f>예외목록!G13</f>
        <v/>
      </c>
      <c r="E28" s="29">
        <f>예외목록!H13</f>
        <v/>
      </c>
      <c r="F28" s="41">
        <f>예외목록!I13</f>
        <v/>
      </c>
      <c r="G28" s="38" t="n"/>
      <c r="H28" s="39" t="n"/>
    </row>
    <row r="29" ht="28" customHeight="1">
      <c r="A29" s="20">
        <f>예외목록!B14</f>
        <v/>
      </c>
      <c r="B29" s="20">
        <f>예외목록!C14</f>
        <v/>
      </c>
      <c r="C29" s="40">
        <f>예외목록!D14</f>
        <v/>
      </c>
      <c r="D29" s="28">
        <f>예외목록!G14</f>
        <v/>
      </c>
      <c r="E29" s="29">
        <f>예외목록!H14</f>
        <v/>
      </c>
      <c r="F29" s="41">
        <f>예외목록!I14</f>
        <v/>
      </c>
      <c r="G29" s="38" t="n"/>
      <c r="H29" s="39" t="n"/>
    </row>
    <row r="30" ht="28" customHeight="1">
      <c r="A30" s="20">
        <f>예외목록!B15</f>
        <v/>
      </c>
      <c r="B30" s="20">
        <f>예외목록!C15</f>
        <v/>
      </c>
      <c r="C30" s="40">
        <f>예외목록!D15</f>
        <v/>
      </c>
      <c r="D30" s="28">
        <f>예외목록!G15</f>
        <v/>
      </c>
      <c r="E30" s="29">
        <f>예외목록!H15</f>
        <v/>
      </c>
      <c r="F30" s="41">
        <f>예외목록!I15</f>
        <v/>
      </c>
      <c r="G30" s="38" t="n"/>
      <c r="H30" s="39" t="n"/>
    </row>
  </sheetData>
  <mergeCells count="11">
    <mergeCell ref="F20:H20"/>
    <mergeCell ref="F23:H23"/>
    <mergeCell ref="F22:H22"/>
    <mergeCell ref="F28:H28"/>
    <mergeCell ref="F27:H27"/>
    <mergeCell ref="F26:H26"/>
    <mergeCell ref="F30:H30"/>
    <mergeCell ref="F29:H29"/>
    <mergeCell ref="F21:H21"/>
    <mergeCell ref="F24:H24"/>
    <mergeCell ref="F25:H25"/>
  </mergeCells>
  <conditionalFormatting sqref="C21:C30">
    <cfRule type="cellIs" priority="1" operator="equal" dxfId="3">
      <formula>"초과"</formula>
    </cfRule>
    <cfRule type="cellIs" priority="2" operator="equal" dxfId="4">
      <formula>"무예산집행"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8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22" customWidth="1" min="12" max="12"/>
    <col width="90" customWidth="1" min="13" max="13"/>
    <col width="11" customWidth="1" min="14" max="14"/>
    <col width="7" customWidth="1" min="15" max="15"/>
  </cols>
  <sheetData>
    <row r="1">
      <c r="A1" s="1" t="inlineStr">
        <is>
          <t>요약 (부서별 · 예산항목별)</t>
        </is>
      </c>
    </row>
    <row r="2">
      <c r="A2" s="2" t="inlineStr">
        <is>
          <t>부서·항목 목록은 파란 칸 · 새 부서가 생기면 행을 추가하세요 (자가진단이 누락을 알려줌)</t>
        </is>
      </c>
    </row>
    <row r="3">
      <c r="A3" s="42">
        <f>"기준: "&amp;설정!$C$6&amp;"년 "&amp;설정!$C$7&amp;"월 누계 · 단위: "&amp;설정!$C$11</f>
        <v/>
      </c>
    </row>
    <row r="5">
      <c r="A5" s="3" t="inlineStr">
        <is>
          <t>1. 부서별</t>
        </is>
      </c>
    </row>
    <row r="6" ht="30" customHeight="1">
      <c r="A6" s="5" t="inlineStr">
        <is>
          <t>부서코드</t>
        </is>
      </c>
      <c r="B6" s="5" t="inlineStr">
        <is>
          <t>부서명</t>
        </is>
      </c>
      <c r="C6" s="5" t="inlineStr">
        <is>
          <t>누계예산</t>
        </is>
      </c>
      <c r="D6" s="5" t="inlineStr">
        <is>
          <t>누계실적</t>
        </is>
      </c>
      <c r="E6" s="5" t="inlineStr">
        <is>
          <t>누계차이</t>
        </is>
      </c>
      <c r="F6" s="5" t="inlineStr">
        <is>
          <t>집행률</t>
        </is>
      </c>
      <c r="G6" s="5" t="inlineStr">
        <is>
          <t>연간예산</t>
        </is>
      </c>
      <c r="H6" s="5" t="inlineStr">
        <is>
          <t>잔여예산</t>
        </is>
      </c>
      <c r="I6" s="5" t="inlineStr">
        <is>
          <t>전년동기</t>
        </is>
      </c>
      <c r="J6" s="5" t="inlineStr">
        <is>
          <t>전년비</t>
        </is>
      </c>
      <c r="K6" s="5" t="inlineStr">
        <is>
          <t>예외건수</t>
        </is>
      </c>
      <c r="L6" s="5" t="inlineStr">
        <is>
          <t>주요 초과 항목</t>
        </is>
      </c>
      <c r="M6" s="5" t="inlineStr">
        <is>
          <t>보고 문구 초안</t>
        </is>
      </c>
      <c r="N6" s="43" t="inlineStr">
        <is>
          <t>최대초과점수</t>
        </is>
      </c>
      <c r="O6" s="43" t="inlineStr">
        <is>
          <t>집계행</t>
        </is>
      </c>
    </row>
    <row r="7">
      <c r="A7" s="12" t="inlineStr">
        <is>
          <t>D100</t>
        </is>
      </c>
      <c r="B7" s="20">
        <f>IFERROR(INDEX(부서매핑!$D$5:$D$504,MATCH($A7,부서매핑!$C$5:$C$504,0)),"부서매핑 없음")</f>
        <v/>
      </c>
      <c r="C7" s="28">
        <f>SUMIFS(집계!$I$7:$I$506,집계!$A$7:$A$506,$A7)</f>
        <v/>
      </c>
      <c r="D7" s="28">
        <f>SUMIFS(집계!$J$7:$J$506,집계!$A$7:$A$506,$A7)</f>
        <v/>
      </c>
      <c r="E7" s="44">
        <f>D7-C7</f>
        <v/>
      </c>
      <c r="F7" s="45">
        <f>IF(C7=0,0,D7/C7)</f>
        <v/>
      </c>
      <c r="G7" s="28">
        <f>SUMIFS(집계!$M$7:$M$506,집계!$A$7:$A$506,$A7)</f>
        <v/>
      </c>
      <c r="H7" s="44">
        <f>G7-D7</f>
        <v/>
      </c>
      <c r="I7" s="28">
        <f>SUMIFS(집계!$P$7:$P$506,집계!$A$7:$A$506,$A7)</f>
        <v/>
      </c>
      <c r="J7" s="45">
        <f>IF(I7=0,0,D7/I7-1)</f>
        <v/>
      </c>
      <c r="K7" s="28">
        <f>COUNTIFS(집계!$A$7:$A$506,$A7,집계!$S$7:$S$506,"&lt;&gt;정상")</f>
        <v/>
      </c>
      <c r="L7" s="20">
        <f>IF(O7="","없음",INDEX(집계!$D$7:$D$506,O7)&amp;" "&amp;TEXT(INDEX(집계!$K$7:$K$506,O7),"+#,##0"))</f>
        <v/>
      </c>
      <c r="M7" s="7">
        <f>B7&amp;": 누계 집행률 "&amp;TEXT(F7,"0.0%")&amp;" (예산 "&amp;TEXT(C7,"#,##0")&amp;" / 실적 "&amp;TEXT(D7,"#,##0")&amp;"), "&amp;IF(I7=0,"전년 실적 없음","전년 동기 대비 "&amp;TEXT(J7,"+0.0%;-0.0%;0.0%"))&amp;IF(O7="","",", 주요 초과 "&amp;L7)&amp;IF(K7&gt;0,", 예외 "&amp;K7&amp;"건","")&amp;"."</f>
        <v/>
      </c>
      <c r="N7" s="46">
        <f>SUMPRODUCT(MAX((집계!$A$7:$A$506=$A7)*집계!$V$7:$V$506))</f>
        <v/>
      </c>
      <c r="O7" s="20">
        <f>IF(N7&lt;설정!$C$13,"",MATCH(N7,집계!$V$7:$V$506,0))</f>
        <v/>
      </c>
    </row>
    <row r="8">
      <c r="A8" s="12" t="inlineStr">
        <is>
          <t>D200</t>
        </is>
      </c>
      <c r="B8" s="20">
        <f>IFERROR(INDEX(부서매핑!$D$5:$D$504,MATCH($A8,부서매핑!$C$5:$C$504,0)),"부서매핑 없음")</f>
        <v/>
      </c>
      <c r="C8" s="28">
        <f>SUMIFS(집계!$I$7:$I$506,집계!$A$7:$A$506,$A8)</f>
        <v/>
      </c>
      <c r="D8" s="28">
        <f>SUMIFS(집계!$J$7:$J$506,집계!$A$7:$A$506,$A8)</f>
        <v/>
      </c>
      <c r="E8" s="44">
        <f>D8-C8</f>
        <v/>
      </c>
      <c r="F8" s="45">
        <f>IF(C8=0,0,D8/C8)</f>
        <v/>
      </c>
      <c r="G8" s="28">
        <f>SUMIFS(집계!$M$7:$M$506,집계!$A$7:$A$506,$A8)</f>
        <v/>
      </c>
      <c r="H8" s="44">
        <f>G8-D8</f>
        <v/>
      </c>
      <c r="I8" s="28">
        <f>SUMIFS(집계!$P$7:$P$506,집계!$A$7:$A$506,$A8)</f>
        <v/>
      </c>
      <c r="J8" s="45">
        <f>IF(I8=0,0,D8/I8-1)</f>
        <v/>
      </c>
      <c r="K8" s="28">
        <f>COUNTIFS(집계!$A$7:$A$506,$A8,집계!$S$7:$S$506,"&lt;&gt;정상")</f>
        <v/>
      </c>
      <c r="L8" s="20">
        <f>IF(O8="","없음",INDEX(집계!$D$7:$D$506,O8)&amp;" "&amp;TEXT(INDEX(집계!$K$7:$K$506,O8),"+#,##0"))</f>
        <v/>
      </c>
      <c r="M8" s="7">
        <f>B8&amp;": 누계 집행률 "&amp;TEXT(F8,"0.0%")&amp;" (예산 "&amp;TEXT(C8,"#,##0")&amp;" / 실적 "&amp;TEXT(D8,"#,##0")&amp;"), "&amp;IF(I8=0,"전년 실적 없음","전년 동기 대비 "&amp;TEXT(J8,"+0.0%;-0.0%;0.0%"))&amp;IF(O8="","",", 주요 초과 "&amp;L8)&amp;IF(K8&gt;0,", 예외 "&amp;K8&amp;"건","")&amp;"."</f>
        <v/>
      </c>
      <c r="N8" s="46">
        <f>SUMPRODUCT(MAX((집계!$A$7:$A$506=$A8)*집계!$V$7:$V$506))</f>
        <v/>
      </c>
      <c r="O8" s="20">
        <f>IF(N8&lt;설정!$C$13,"",MATCH(N8,집계!$V$7:$V$506,0))</f>
        <v/>
      </c>
    </row>
    <row r="9">
      <c r="A9" s="12" t="inlineStr">
        <is>
          <t>D300</t>
        </is>
      </c>
      <c r="B9" s="20">
        <f>IFERROR(INDEX(부서매핑!$D$5:$D$504,MATCH($A9,부서매핑!$C$5:$C$504,0)),"부서매핑 없음")</f>
        <v/>
      </c>
      <c r="C9" s="28">
        <f>SUMIFS(집계!$I$7:$I$506,집계!$A$7:$A$506,$A9)</f>
        <v/>
      </c>
      <c r="D9" s="28">
        <f>SUMIFS(집계!$J$7:$J$506,집계!$A$7:$A$506,$A9)</f>
        <v/>
      </c>
      <c r="E9" s="44">
        <f>D9-C9</f>
        <v/>
      </c>
      <c r="F9" s="45">
        <f>IF(C9=0,0,D9/C9)</f>
        <v/>
      </c>
      <c r="G9" s="28">
        <f>SUMIFS(집계!$M$7:$M$506,집계!$A$7:$A$506,$A9)</f>
        <v/>
      </c>
      <c r="H9" s="44">
        <f>G9-D9</f>
        <v/>
      </c>
      <c r="I9" s="28">
        <f>SUMIFS(집계!$P$7:$P$506,집계!$A$7:$A$506,$A9)</f>
        <v/>
      </c>
      <c r="J9" s="45">
        <f>IF(I9=0,0,D9/I9-1)</f>
        <v/>
      </c>
      <c r="K9" s="28">
        <f>COUNTIFS(집계!$A$7:$A$506,$A9,집계!$S$7:$S$506,"&lt;&gt;정상")</f>
        <v/>
      </c>
      <c r="L9" s="20">
        <f>IF(O9="","없음",INDEX(집계!$D$7:$D$506,O9)&amp;" "&amp;TEXT(INDEX(집계!$K$7:$K$506,O9),"+#,##0"))</f>
        <v/>
      </c>
      <c r="M9" s="7">
        <f>B9&amp;": 누계 집행률 "&amp;TEXT(F9,"0.0%")&amp;" (예산 "&amp;TEXT(C9,"#,##0")&amp;" / 실적 "&amp;TEXT(D9,"#,##0")&amp;"), "&amp;IF(I9=0,"전년 실적 없음","전년 동기 대비 "&amp;TEXT(J9,"+0.0%;-0.0%;0.0%"))&amp;IF(O9="","",", 주요 초과 "&amp;L9)&amp;IF(K9&gt;0,", 예외 "&amp;K9&amp;"건","")&amp;"."</f>
        <v/>
      </c>
      <c r="N9" s="46">
        <f>SUMPRODUCT(MAX((집계!$A$7:$A$506=$A9)*집계!$V$7:$V$506))</f>
        <v/>
      </c>
      <c r="O9" s="20">
        <f>IF(N9&lt;설정!$C$13,"",MATCH(N9,집계!$V$7:$V$506,0))</f>
        <v/>
      </c>
    </row>
    <row r="10">
      <c r="A10" s="12" t="inlineStr">
        <is>
          <t>D400</t>
        </is>
      </c>
      <c r="B10" s="20">
        <f>IFERROR(INDEX(부서매핑!$D$5:$D$504,MATCH($A10,부서매핑!$C$5:$C$504,0)),"부서매핑 없음")</f>
        <v/>
      </c>
      <c r="C10" s="28">
        <f>SUMIFS(집계!$I$7:$I$506,집계!$A$7:$A$506,$A10)</f>
        <v/>
      </c>
      <c r="D10" s="28">
        <f>SUMIFS(집계!$J$7:$J$506,집계!$A$7:$A$506,$A10)</f>
        <v/>
      </c>
      <c r="E10" s="44">
        <f>D10-C10</f>
        <v/>
      </c>
      <c r="F10" s="45">
        <f>IF(C10=0,0,D10/C10)</f>
        <v/>
      </c>
      <c r="G10" s="28">
        <f>SUMIFS(집계!$M$7:$M$506,집계!$A$7:$A$506,$A10)</f>
        <v/>
      </c>
      <c r="H10" s="44">
        <f>G10-D10</f>
        <v/>
      </c>
      <c r="I10" s="28">
        <f>SUMIFS(집계!$P$7:$P$506,집계!$A$7:$A$506,$A10)</f>
        <v/>
      </c>
      <c r="J10" s="45">
        <f>IF(I10=0,0,D10/I10-1)</f>
        <v/>
      </c>
      <c r="K10" s="28">
        <f>COUNTIFS(집계!$A$7:$A$506,$A10,집계!$S$7:$S$506,"&lt;&gt;정상")</f>
        <v/>
      </c>
      <c r="L10" s="20">
        <f>IF(O10="","없음",INDEX(집계!$D$7:$D$506,O10)&amp;" "&amp;TEXT(INDEX(집계!$K$7:$K$506,O10),"+#,##0"))</f>
        <v/>
      </c>
      <c r="M10" s="7">
        <f>B10&amp;": 누계 집행률 "&amp;TEXT(F10,"0.0%")&amp;" (예산 "&amp;TEXT(C10,"#,##0")&amp;" / 실적 "&amp;TEXT(D10,"#,##0")&amp;"), "&amp;IF(I10=0,"전년 실적 없음","전년 동기 대비 "&amp;TEXT(J10,"+0.0%;-0.0%;0.0%"))&amp;IF(O10="","",", 주요 초과 "&amp;L10)&amp;IF(K10&gt;0,", 예외 "&amp;K10&amp;"건","")&amp;"."</f>
        <v/>
      </c>
      <c r="N10" s="46">
        <f>SUMPRODUCT(MAX((집계!$A$7:$A$506=$A10)*집계!$V$7:$V$506))</f>
        <v/>
      </c>
      <c r="O10" s="20">
        <f>IF(N10&lt;설정!$C$13,"",MATCH(N10,집계!$V$7:$V$506,0))</f>
        <v/>
      </c>
    </row>
    <row r="11">
      <c r="A11" s="12" t="inlineStr">
        <is>
          <t>D500</t>
        </is>
      </c>
      <c r="B11" s="20">
        <f>IFERROR(INDEX(부서매핑!$D$5:$D$504,MATCH($A11,부서매핑!$C$5:$C$504,0)),"부서매핑 없음")</f>
        <v/>
      </c>
      <c r="C11" s="28">
        <f>SUMIFS(집계!$I$7:$I$506,집계!$A$7:$A$506,$A11)</f>
        <v/>
      </c>
      <c r="D11" s="28">
        <f>SUMIFS(집계!$J$7:$J$506,집계!$A$7:$A$506,$A11)</f>
        <v/>
      </c>
      <c r="E11" s="44">
        <f>D11-C11</f>
        <v/>
      </c>
      <c r="F11" s="45">
        <f>IF(C11=0,0,D11/C11)</f>
        <v/>
      </c>
      <c r="G11" s="28">
        <f>SUMIFS(집계!$M$7:$M$506,집계!$A$7:$A$506,$A11)</f>
        <v/>
      </c>
      <c r="H11" s="44">
        <f>G11-D11</f>
        <v/>
      </c>
      <c r="I11" s="28">
        <f>SUMIFS(집계!$P$7:$P$506,집계!$A$7:$A$506,$A11)</f>
        <v/>
      </c>
      <c r="J11" s="45">
        <f>IF(I11=0,0,D11/I11-1)</f>
        <v/>
      </c>
      <c r="K11" s="28">
        <f>COUNTIFS(집계!$A$7:$A$506,$A11,집계!$S$7:$S$506,"&lt;&gt;정상")</f>
        <v/>
      </c>
      <c r="L11" s="20">
        <f>IF(O11="","없음",INDEX(집계!$D$7:$D$506,O11)&amp;" "&amp;TEXT(INDEX(집계!$K$7:$K$506,O11),"+#,##0"))</f>
        <v/>
      </c>
      <c r="M11" s="7">
        <f>B11&amp;": 누계 집행률 "&amp;TEXT(F11,"0.0%")&amp;" (예산 "&amp;TEXT(C11,"#,##0")&amp;" / 실적 "&amp;TEXT(D11,"#,##0")&amp;"), "&amp;IF(I11=0,"전년 실적 없음","전년 동기 대비 "&amp;TEXT(J11,"+0.0%;-0.0%;0.0%"))&amp;IF(O11="","",", 주요 초과 "&amp;L11)&amp;IF(K11&gt;0,", 예외 "&amp;K11&amp;"건","")&amp;"."</f>
        <v/>
      </c>
      <c r="N11" s="46">
        <f>SUMPRODUCT(MAX((집계!$A$7:$A$506=$A11)*집계!$V$7:$V$506))</f>
        <v/>
      </c>
      <c r="O11" s="20">
        <f>IF(N11&lt;설정!$C$13,"",MATCH(N11,집계!$V$7:$V$506,0))</f>
        <v/>
      </c>
    </row>
    <row r="12">
      <c r="A12" s="12" t="inlineStr">
        <is>
          <t>D600</t>
        </is>
      </c>
      <c r="B12" s="20">
        <f>IFERROR(INDEX(부서매핑!$D$5:$D$504,MATCH($A12,부서매핑!$C$5:$C$504,0)),"부서매핑 없음")</f>
        <v/>
      </c>
      <c r="C12" s="28">
        <f>SUMIFS(집계!$I$7:$I$506,집계!$A$7:$A$506,$A12)</f>
        <v/>
      </c>
      <c r="D12" s="28">
        <f>SUMIFS(집계!$J$7:$J$506,집계!$A$7:$A$506,$A12)</f>
        <v/>
      </c>
      <c r="E12" s="44">
        <f>D12-C12</f>
        <v/>
      </c>
      <c r="F12" s="45">
        <f>IF(C12=0,0,D12/C12)</f>
        <v/>
      </c>
      <c r="G12" s="28">
        <f>SUMIFS(집계!$M$7:$M$506,집계!$A$7:$A$506,$A12)</f>
        <v/>
      </c>
      <c r="H12" s="44">
        <f>G12-D12</f>
        <v/>
      </c>
      <c r="I12" s="28">
        <f>SUMIFS(집계!$P$7:$P$506,집계!$A$7:$A$506,$A12)</f>
        <v/>
      </c>
      <c r="J12" s="45">
        <f>IF(I12=0,0,D12/I12-1)</f>
        <v/>
      </c>
      <c r="K12" s="28">
        <f>COUNTIFS(집계!$A$7:$A$506,$A12,집계!$S$7:$S$506,"&lt;&gt;정상")</f>
        <v/>
      </c>
      <c r="L12" s="20">
        <f>IF(O12="","없음",INDEX(집계!$D$7:$D$506,O12)&amp;" "&amp;TEXT(INDEX(집계!$K$7:$K$506,O12),"+#,##0"))</f>
        <v/>
      </c>
      <c r="M12" s="7">
        <f>B12&amp;": 누계 집행률 "&amp;TEXT(F12,"0.0%")&amp;" (예산 "&amp;TEXT(C12,"#,##0")&amp;" / 실적 "&amp;TEXT(D12,"#,##0")&amp;"), "&amp;IF(I12=0,"전년 실적 없음","전년 동기 대비 "&amp;TEXT(J12,"+0.0%;-0.0%;0.0%"))&amp;IF(O12="","",", 주요 초과 "&amp;L12)&amp;IF(K12&gt;0,", 예외 "&amp;K12&amp;"건","")&amp;"."</f>
        <v/>
      </c>
      <c r="N12" s="46">
        <f>SUMPRODUCT(MAX((집계!$A$7:$A$506=$A12)*집계!$V$7:$V$506))</f>
        <v/>
      </c>
      <c r="O12" s="20">
        <f>IF(N12&lt;설정!$C$13,"",MATCH(N12,집계!$V$7:$V$506,0))</f>
        <v/>
      </c>
    </row>
    <row r="13">
      <c r="A13" s="12" t="inlineStr">
        <is>
          <t>D700</t>
        </is>
      </c>
      <c r="B13" s="20">
        <f>IFERROR(INDEX(부서매핑!$D$5:$D$504,MATCH($A13,부서매핑!$C$5:$C$504,0)),"부서매핑 없음")</f>
        <v/>
      </c>
      <c r="C13" s="28">
        <f>SUMIFS(집계!$I$7:$I$506,집계!$A$7:$A$506,$A13)</f>
        <v/>
      </c>
      <c r="D13" s="28">
        <f>SUMIFS(집계!$J$7:$J$506,집계!$A$7:$A$506,$A13)</f>
        <v/>
      </c>
      <c r="E13" s="44">
        <f>D13-C13</f>
        <v/>
      </c>
      <c r="F13" s="45">
        <f>IF(C13=0,0,D13/C13)</f>
        <v/>
      </c>
      <c r="G13" s="28">
        <f>SUMIFS(집계!$M$7:$M$506,집계!$A$7:$A$506,$A13)</f>
        <v/>
      </c>
      <c r="H13" s="44">
        <f>G13-D13</f>
        <v/>
      </c>
      <c r="I13" s="28">
        <f>SUMIFS(집계!$P$7:$P$506,집계!$A$7:$A$506,$A13)</f>
        <v/>
      </c>
      <c r="J13" s="45">
        <f>IF(I13=0,0,D13/I13-1)</f>
        <v/>
      </c>
      <c r="K13" s="28">
        <f>COUNTIFS(집계!$A$7:$A$506,$A13,집계!$S$7:$S$506,"&lt;&gt;정상")</f>
        <v/>
      </c>
      <c r="L13" s="20">
        <f>IF(O13="","없음",INDEX(집계!$D$7:$D$506,O13)&amp;" "&amp;TEXT(INDEX(집계!$K$7:$K$506,O13),"+#,##0"))</f>
        <v/>
      </c>
      <c r="M13" s="7">
        <f>B13&amp;": 누계 집행률 "&amp;TEXT(F13,"0.0%")&amp;" (예산 "&amp;TEXT(C13,"#,##0")&amp;" / 실적 "&amp;TEXT(D13,"#,##0")&amp;"), "&amp;IF(I13=0,"전년 실적 없음","전년 동기 대비 "&amp;TEXT(J13,"+0.0%;-0.0%;0.0%"))&amp;IF(O13="","",", 주요 초과 "&amp;L13)&amp;IF(K13&gt;0,", 예외 "&amp;K13&amp;"건","")&amp;"."</f>
        <v/>
      </c>
      <c r="N13" s="46">
        <f>SUMPRODUCT(MAX((집계!$A$7:$A$506=$A13)*집계!$V$7:$V$506))</f>
        <v/>
      </c>
      <c r="O13" s="20">
        <f>IF(N13&lt;설정!$C$13,"",MATCH(N13,집계!$V$7:$V$506,0))</f>
        <v/>
      </c>
    </row>
    <row r="14">
      <c r="A14" s="12" t="inlineStr">
        <is>
          <t>D800</t>
        </is>
      </c>
      <c r="B14" s="20">
        <f>IFERROR(INDEX(부서매핑!$D$5:$D$504,MATCH($A14,부서매핑!$C$5:$C$504,0)),"부서매핑 없음")</f>
        <v/>
      </c>
      <c r="C14" s="28">
        <f>SUMIFS(집계!$I$7:$I$506,집계!$A$7:$A$506,$A14)</f>
        <v/>
      </c>
      <c r="D14" s="28">
        <f>SUMIFS(집계!$J$7:$J$506,집계!$A$7:$A$506,$A14)</f>
        <v/>
      </c>
      <c r="E14" s="44">
        <f>D14-C14</f>
        <v/>
      </c>
      <c r="F14" s="45">
        <f>IF(C14=0,0,D14/C14)</f>
        <v/>
      </c>
      <c r="G14" s="28">
        <f>SUMIFS(집계!$M$7:$M$506,집계!$A$7:$A$506,$A14)</f>
        <v/>
      </c>
      <c r="H14" s="44">
        <f>G14-D14</f>
        <v/>
      </c>
      <c r="I14" s="28">
        <f>SUMIFS(집계!$P$7:$P$506,집계!$A$7:$A$506,$A14)</f>
        <v/>
      </c>
      <c r="J14" s="45">
        <f>IF(I14=0,0,D14/I14-1)</f>
        <v/>
      </c>
      <c r="K14" s="28">
        <f>COUNTIFS(집계!$A$7:$A$506,$A14,집계!$S$7:$S$506,"&lt;&gt;정상")</f>
        <v/>
      </c>
      <c r="L14" s="20">
        <f>IF(O14="","없음",INDEX(집계!$D$7:$D$506,O14)&amp;" "&amp;TEXT(INDEX(집계!$K$7:$K$506,O14),"+#,##0"))</f>
        <v/>
      </c>
      <c r="M14" s="7">
        <f>B14&amp;": 누계 집행률 "&amp;TEXT(F14,"0.0%")&amp;" (예산 "&amp;TEXT(C14,"#,##0")&amp;" / 실적 "&amp;TEXT(D14,"#,##0")&amp;"), "&amp;IF(I14=0,"전년 실적 없음","전년 동기 대비 "&amp;TEXT(J14,"+0.0%;-0.0%;0.0%"))&amp;IF(O14="","",", 주요 초과 "&amp;L14)&amp;IF(K14&gt;0,", 예외 "&amp;K14&amp;"건","")&amp;"."</f>
        <v/>
      </c>
      <c r="N14" s="46">
        <f>SUMPRODUCT(MAX((집계!$A$7:$A$506=$A14)*집계!$V$7:$V$506))</f>
        <v/>
      </c>
      <c r="O14" s="20">
        <f>IF(N14&lt;설정!$C$13,"",MATCH(N14,집계!$V$7:$V$506,0))</f>
        <v/>
      </c>
    </row>
    <row r="15">
      <c r="A15" s="32" t="inlineStr">
        <is>
          <t>합계</t>
        </is>
      </c>
      <c r="B15" s="37" t="n"/>
      <c r="C15" s="47">
        <f>SUM(C7:C14)</f>
        <v/>
      </c>
      <c r="D15" s="47">
        <f>SUM(D7:D14)</f>
        <v/>
      </c>
      <c r="E15" s="47">
        <f>SUM(E7:E14)</f>
        <v/>
      </c>
      <c r="F15" s="48">
        <f>IF(C15=0,0,D15/C15)</f>
        <v/>
      </c>
      <c r="G15" s="47">
        <f>SUM(G7:G14)</f>
        <v/>
      </c>
      <c r="H15" s="47">
        <f>SUM(H7:H14)</f>
        <v/>
      </c>
      <c r="I15" s="47">
        <f>SUM(I7:I14)</f>
        <v/>
      </c>
      <c r="J15" s="48">
        <f>IF(I15=0,0,D15/I15-1)</f>
        <v/>
      </c>
      <c r="K15" s="47">
        <f>SUM(K7:K14)</f>
        <v/>
      </c>
      <c r="L15" s="37" t="n"/>
      <c r="M15" s="32">
        <f>"전사: 누계 집행률 "&amp;TEXT(F15,"0.0%")&amp;" (예산 "&amp;TEXT(C15,"#,##0")&amp;" / 실적 "&amp;TEXT(D15,"#,##0")&amp;"), 전년 동기 대비 "&amp;TEXT(J15,"+0.0%;-0.0%;0.0%")&amp;", 예외 "&amp;K15&amp;"건."</f>
        <v/>
      </c>
    </row>
    <row r="17">
      <c r="A17" s="3" t="inlineStr">
        <is>
          <t>2. 예산항목별</t>
        </is>
      </c>
    </row>
    <row r="18" ht="30" customHeight="1">
      <c r="A18" s="5" t="inlineStr">
        <is>
          <t>항목코드</t>
        </is>
      </c>
      <c r="B18" s="5" t="inlineStr">
        <is>
          <t>예산항목명</t>
        </is>
      </c>
      <c r="C18" s="5" t="inlineStr">
        <is>
          <t>누계예산</t>
        </is>
      </c>
      <c r="D18" s="5" t="inlineStr">
        <is>
          <t>누계실적</t>
        </is>
      </c>
      <c r="E18" s="5" t="inlineStr">
        <is>
          <t>누계차이</t>
        </is>
      </c>
      <c r="F18" s="5" t="inlineStr">
        <is>
          <t>집행률</t>
        </is>
      </c>
      <c r="G18" s="5" t="inlineStr">
        <is>
          <t>연간예산</t>
        </is>
      </c>
      <c r="H18" s="5" t="inlineStr">
        <is>
          <t>잔여예산</t>
        </is>
      </c>
      <c r="I18" s="5" t="inlineStr">
        <is>
          <t>전년동기</t>
        </is>
      </c>
      <c r="J18" s="5" t="inlineStr">
        <is>
          <t>전년비</t>
        </is>
      </c>
      <c r="K18" s="5" t="inlineStr">
        <is>
          <t>예외건수</t>
        </is>
      </c>
    </row>
    <row r="19">
      <c r="A19" s="12" t="inlineStr">
        <is>
          <t>B01</t>
        </is>
      </c>
      <c r="B19" s="20">
        <f>IFERROR(INDEX(계정매핑!$D$5:$D$504,MATCH($A19,계정매핑!$C$5:$C$504,0)),"항목매핑 없음")</f>
        <v/>
      </c>
      <c r="C19" s="28">
        <f>SUMIFS(집계!$I$7:$I$506,집계!$C$7:$C$506,$A19)</f>
        <v/>
      </c>
      <c r="D19" s="28">
        <f>SUMIFS(집계!$J$7:$J$506,집계!$C$7:$C$506,$A19)</f>
        <v/>
      </c>
      <c r="E19" s="44">
        <f>D19-C19</f>
        <v/>
      </c>
      <c r="F19" s="45">
        <f>IF(C19=0,0,D19/C19)</f>
        <v/>
      </c>
      <c r="G19" s="28">
        <f>SUMIFS(집계!$M$7:$M$506,집계!$C$7:$C$506,$A19)</f>
        <v/>
      </c>
      <c r="H19" s="44">
        <f>G19-D19</f>
        <v/>
      </c>
      <c r="I19" s="28">
        <f>SUMIFS(집계!$P$7:$P$506,집계!$C$7:$C$506,$A19)</f>
        <v/>
      </c>
      <c r="J19" s="45">
        <f>IF(I19=0,0,D19/I19-1)</f>
        <v/>
      </c>
      <c r="K19" s="28">
        <f>COUNTIFS(집계!$C$7:$C$506,$A19,집계!$S$7:$S$506,"&lt;&gt;정상")</f>
        <v/>
      </c>
    </row>
    <row r="20">
      <c r="A20" s="12" t="inlineStr">
        <is>
          <t>B02</t>
        </is>
      </c>
      <c r="B20" s="20">
        <f>IFERROR(INDEX(계정매핑!$D$5:$D$504,MATCH($A20,계정매핑!$C$5:$C$504,0)),"항목매핑 없음")</f>
        <v/>
      </c>
      <c r="C20" s="28">
        <f>SUMIFS(집계!$I$7:$I$506,집계!$C$7:$C$506,$A20)</f>
        <v/>
      </c>
      <c r="D20" s="28">
        <f>SUMIFS(집계!$J$7:$J$506,집계!$C$7:$C$506,$A20)</f>
        <v/>
      </c>
      <c r="E20" s="44">
        <f>D20-C20</f>
        <v/>
      </c>
      <c r="F20" s="45">
        <f>IF(C20=0,0,D20/C20)</f>
        <v/>
      </c>
      <c r="G20" s="28">
        <f>SUMIFS(집계!$M$7:$M$506,집계!$C$7:$C$506,$A20)</f>
        <v/>
      </c>
      <c r="H20" s="44">
        <f>G20-D20</f>
        <v/>
      </c>
      <c r="I20" s="28">
        <f>SUMIFS(집계!$P$7:$P$506,집계!$C$7:$C$506,$A20)</f>
        <v/>
      </c>
      <c r="J20" s="45">
        <f>IF(I20=0,0,D20/I20-1)</f>
        <v/>
      </c>
      <c r="K20" s="28">
        <f>COUNTIFS(집계!$C$7:$C$506,$A20,집계!$S$7:$S$506,"&lt;&gt;정상")</f>
        <v/>
      </c>
    </row>
    <row r="21">
      <c r="A21" s="12" t="inlineStr">
        <is>
          <t>B03</t>
        </is>
      </c>
      <c r="B21" s="20">
        <f>IFERROR(INDEX(계정매핑!$D$5:$D$504,MATCH($A21,계정매핑!$C$5:$C$504,0)),"항목매핑 없음")</f>
        <v/>
      </c>
      <c r="C21" s="28">
        <f>SUMIFS(집계!$I$7:$I$506,집계!$C$7:$C$506,$A21)</f>
        <v/>
      </c>
      <c r="D21" s="28">
        <f>SUMIFS(집계!$J$7:$J$506,집계!$C$7:$C$506,$A21)</f>
        <v/>
      </c>
      <c r="E21" s="44">
        <f>D21-C21</f>
        <v/>
      </c>
      <c r="F21" s="45">
        <f>IF(C21=0,0,D21/C21)</f>
        <v/>
      </c>
      <c r="G21" s="28">
        <f>SUMIFS(집계!$M$7:$M$506,집계!$C$7:$C$506,$A21)</f>
        <v/>
      </c>
      <c r="H21" s="44">
        <f>G21-D21</f>
        <v/>
      </c>
      <c r="I21" s="28">
        <f>SUMIFS(집계!$P$7:$P$506,집계!$C$7:$C$506,$A21)</f>
        <v/>
      </c>
      <c r="J21" s="45">
        <f>IF(I21=0,0,D21/I21-1)</f>
        <v/>
      </c>
      <c r="K21" s="28">
        <f>COUNTIFS(집계!$C$7:$C$506,$A21,집계!$S$7:$S$506,"&lt;&gt;정상")</f>
        <v/>
      </c>
    </row>
    <row r="22">
      <c r="A22" s="12" t="inlineStr">
        <is>
          <t>B04</t>
        </is>
      </c>
      <c r="B22" s="20">
        <f>IFERROR(INDEX(계정매핑!$D$5:$D$504,MATCH($A22,계정매핑!$C$5:$C$504,0)),"항목매핑 없음")</f>
        <v/>
      </c>
      <c r="C22" s="28">
        <f>SUMIFS(집계!$I$7:$I$506,집계!$C$7:$C$506,$A22)</f>
        <v/>
      </c>
      <c r="D22" s="28">
        <f>SUMIFS(집계!$J$7:$J$506,집계!$C$7:$C$506,$A22)</f>
        <v/>
      </c>
      <c r="E22" s="44">
        <f>D22-C22</f>
        <v/>
      </c>
      <c r="F22" s="45">
        <f>IF(C22=0,0,D22/C22)</f>
        <v/>
      </c>
      <c r="G22" s="28">
        <f>SUMIFS(집계!$M$7:$M$506,집계!$C$7:$C$506,$A22)</f>
        <v/>
      </c>
      <c r="H22" s="44">
        <f>G22-D22</f>
        <v/>
      </c>
      <c r="I22" s="28">
        <f>SUMIFS(집계!$P$7:$P$506,집계!$C$7:$C$506,$A22)</f>
        <v/>
      </c>
      <c r="J22" s="45">
        <f>IF(I22=0,0,D22/I22-1)</f>
        <v/>
      </c>
      <c r="K22" s="28">
        <f>COUNTIFS(집계!$C$7:$C$506,$A22,집계!$S$7:$S$506,"&lt;&gt;정상")</f>
        <v/>
      </c>
    </row>
    <row r="23">
      <c r="A23" s="12" t="inlineStr">
        <is>
          <t>B05</t>
        </is>
      </c>
      <c r="B23" s="20">
        <f>IFERROR(INDEX(계정매핑!$D$5:$D$504,MATCH($A23,계정매핑!$C$5:$C$504,0)),"항목매핑 없음")</f>
        <v/>
      </c>
      <c r="C23" s="28">
        <f>SUMIFS(집계!$I$7:$I$506,집계!$C$7:$C$506,$A23)</f>
        <v/>
      </c>
      <c r="D23" s="28">
        <f>SUMIFS(집계!$J$7:$J$506,집계!$C$7:$C$506,$A23)</f>
        <v/>
      </c>
      <c r="E23" s="44">
        <f>D23-C23</f>
        <v/>
      </c>
      <c r="F23" s="45">
        <f>IF(C23=0,0,D23/C23)</f>
        <v/>
      </c>
      <c r="G23" s="28">
        <f>SUMIFS(집계!$M$7:$M$506,집계!$C$7:$C$506,$A23)</f>
        <v/>
      </c>
      <c r="H23" s="44">
        <f>G23-D23</f>
        <v/>
      </c>
      <c r="I23" s="28">
        <f>SUMIFS(집계!$P$7:$P$506,집계!$C$7:$C$506,$A23)</f>
        <v/>
      </c>
      <c r="J23" s="45">
        <f>IF(I23=0,0,D23/I23-1)</f>
        <v/>
      </c>
      <c r="K23" s="28">
        <f>COUNTIFS(집계!$C$7:$C$506,$A23,집계!$S$7:$S$506,"&lt;&gt;정상")</f>
        <v/>
      </c>
    </row>
    <row r="24">
      <c r="A24" s="12" t="inlineStr">
        <is>
          <t>B06</t>
        </is>
      </c>
      <c r="B24" s="20">
        <f>IFERROR(INDEX(계정매핑!$D$5:$D$504,MATCH($A24,계정매핑!$C$5:$C$504,0)),"항목매핑 없음")</f>
        <v/>
      </c>
      <c r="C24" s="28">
        <f>SUMIFS(집계!$I$7:$I$506,집계!$C$7:$C$506,$A24)</f>
        <v/>
      </c>
      <c r="D24" s="28">
        <f>SUMIFS(집계!$J$7:$J$506,집계!$C$7:$C$506,$A24)</f>
        <v/>
      </c>
      <c r="E24" s="44">
        <f>D24-C24</f>
        <v/>
      </c>
      <c r="F24" s="45">
        <f>IF(C24=0,0,D24/C24)</f>
        <v/>
      </c>
      <c r="G24" s="28">
        <f>SUMIFS(집계!$M$7:$M$506,집계!$C$7:$C$506,$A24)</f>
        <v/>
      </c>
      <c r="H24" s="44">
        <f>G24-D24</f>
        <v/>
      </c>
      <c r="I24" s="28">
        <f>SUMIFS(집계!$P$7:$P$506,집계!$C$7:$C$506,$A24)</f>
        <v/>
      </c>
      <c r="J24" s="45">
        <f>IF(I24=0,0,D24/I24-1)</f>
        <v/>
      </c>
      <c r="K24" s="28">
        <f>COUNTIFS(집계!$C$7:$C$506,$A24,집계!$S$7:$S$506,"&lt;&gt;정상")</f>
        <v/>
      </c>
    </row>
    <row r="25">
      <c r="A25" s="12" t="inlineStr">
        <is>
          <t>B07</t>
        </is>
      </c>
      <c r="B25" s="20">
        <f>IFERROR(INDEX(계정매핑!$D$5:$D$504,MATCH($A25,계정매핑!$C$5:$C$504,0)),"항목매핑 없음")</f>
        <v/>
      </c>
      <c r="C25" s="28">
        <f>SUMIFS(집계!$I$7:$I$506,집계!$C$7:$C$506,$A25)</f>
        <v/>
      </c>
      <c r="D25" s="28">
        <f>SUMIFS(집계!$J$7:$J$506,집계!$C$7:$C$506,$A25)</f>
        <v/>
      </c>
      <c r="E25" s="44">
        <f>D25-C25</f>
        <v/>
      </c>
      <c r="F25" s="45">
        <f>IF(C25=0,0,D25/C25)</f>
        <v/>
      </c>
      <c r="G25" s="28">
        <f>SUMIFS(집계!$M$7:$M$506,집계!$C$7:$C$506,$A25)</f>
        <v/>
      </c>
      <c r="H25" s="44">
        <f>G25-D25</f>
        <v/>
      </c>
      <c r="I25" s="28">
        <f>SUMIFS(집계!$P$7:$P$506,집계!$C$7:$C$506,$A25)</f>
        <v/>
      </c>
      <c r="J25" s="45">
        <f>IF(I25=0,0,D25/I25-1)</f>
        <v/>
      </c>
      <c r="K25" s="28">
        <f>COUNTIFS(집계!$C$7:$C$506,$A25,집계!$S$7:$S$506,"&lt;&gt;정상")</f>
        <v/>
      </c>
    </row>
    <row r="26">
      <c r="A26" s="12" t="inlineStr">
        <is>
          <t>B08</t>
        </is>
      </c>
      <c r="B26" s="20">
        <f>IFERROR(INDEX(계정매핑!$D$5:$D$504,MATCH($A26,계정매핑!$C$5:$C$504,0)),"항목매핑 없음")</f>
        <v/>
      </c>
      <c r="C26" s="28">
        <f>SUMIFS(집계!$I$7:$I$506,집계!$C$7:$C$506,$A26)</f>
        <v/>
      </c>
      <c r="D26" s="28">
        <f>SUMIFS(집계!$J$7:$J$506,집계!$C$7:$C$506,$A26)</f>
        <v/>
      </c>
      <c r="E26" s="44">
        <f>D26-C26</f>
        <v/>
      </c>
      <c r="F26" s="45">
        <f>IF(C26=0,0,D26/C26)</f>
        <v/>
      </c>
      <c r="G26" s="28">
        <f>SUMIFS(집계!$M$7:$M$506,집계!$C$7:$C$506,$A26)</f>
        <v/>
      </c>
      <c r="H26" s="44">
        <f>G26-D26</f>
        <v/>
      </c>
      <c r="I26" s="28">
        <f>SUMIFS(집계!$P$7:$P$506,집계!$C$7:$C$506,$A26)</f>
        <v/>
      </c>
      <c r="J26" s="45">
        <f>IF(I26=0,0,D26/I26-1)</f>
        <v/>
      </c>
      <c r="K26" s="28">
        <f>COUNTIFS(집계!$C$7:$C$506,$A26,집계!$S$7:$S$506,"&lt;&gt;정상")</f>
        <v/>
      </c>
    </row>
    <row r="27">
      <c r="A27" s="12" t="inlineStr">
        <is>
          <t>B09</t>
        </is>
      </c>
      <c r="B27" s="20">
        <f>IFERROR(INDEX(계정매핑!$D$5:$D$504,MATCH($A27,계정매핑!$C$5:$C$504,0)),"항목매핑 없음")</f>
        <v/>
      </c>
      <c r="C27" s="28">
        <f>SUMIFS(집계!$I$7:$I$506,집계!$C$7:$C$506,$A27)</f>
        <v/>
      </c>
      <c r="D27" s="28">
        <f>SUMIFS(집계!$J$7:$J$506,집계!$C$7:$C$506,$A27)</f>
        <v/>
      </c>
      <c r="E27" s="44">
        <f>D27-C27</f>
        <v/>
      </c>
      <c r="F27" s="45">
        <f>IF(C27=0,0,D27/C27)</f>
        <v/>
      </c>
      <c r="G27" s="28">
        <f>SUMIFS(집계!$M$7:$M$506,집계!$C$7:$C$506,$A27)</f>
        <v/>
      </c>
      <c r="H27" s="44">
        <f>G27-D27</f>
        <v/>
      </c>
      <c r="I27" s="28">
        <f>SUMIFS(집계!$P$7:$P$506,집계!$C$7:$C$506,$A27)</f>
        <v/>
      </c>
      <c r="J27" s="45">
        <f>IF(I27=0,0,D27/I27-1)</f>
        <v/>
      </c>
      <c r="K27" s="28">
        <f>COUNTIFS(집계!$C$7:$C$506,$A27,집계!$S$7:$S$506,"&lt;&gt;정상")</f>
        <v/>
      </c>
    </row>
    <row r="28">
      <c r="A28" s="12" t="inlineStr">
        <is>
          <t>B10</t>
        </is>
      </c>
      <c r="B28" s="20">
        <f>IFERROR(INDEX(계정매핑!$D$5:$D$504,MATCH($A28,계정매핑!$C$5:$C$504,0)),"항목매핑 없음")</f>
        <v/>
      </c>
      <c r="C28" s="28">
        <f>SUMIFS(집계!$I$7:$I$506,집계!$C$7:$C$506,$A28)</f>
        <v/>
      </c>
      <c r="D28" s="28">
        <f>SUMIFS(집계!$J$7:$J$506,집계!$C$7:$C$506,$A28)</f>
        <v/>
      </c>
      <c r="E28" s="44">
        <f>D28-C28</f>
        <v/>
      </c>
      <c r="F28" s="45">
        <f>IF(C28=0,0,D28/C28)</f>
        <v/>
      </c>
      <c r="G28" s="28">
        <f>SUMIFS(집계!$M$7:$M$506,집계!$C$7:$C$506,$A28)</f>
        <v/>
      </c>
      <c r="H28" s="44">
        <f>G28-D28</f>
        <v/>
      </c>
      <c r="I28" s="28">
        <f>SUMIFS(집계!$P$7:$P$506,집계!$C$7:$C$506,$A28)</f>
        <v/>
      </c>
      <c r="J28" s="45">
        <f>IF(I28=0,0,D28/I28-1)</f>
        <v/>
      </c>
      <c r="K28" s="28">
        <f>COUNTIFS(집계!$C$7:$C$506,$A28,집계!$S$7:$S$506,"&lt;&gt;정상")</f>
        <v/>
      </c>
    </row>
    <row r="29">
      <c r="A29" s="12" t="inlineStr">
        <is>
          <t>B11</t>
        </is>
      </c>
      <c r="B29" s="20">
        <f>IFERROR(INDEX(계정매핑!$D$5:$D$504,MATCH($A29,계정매핑!$C$5:$C$504,0)),"항목매핑 없음")</f>
        <v/>
      </c>
      <c r="C29" s="28">
        <f>SUMIFS(집계!$I$7:$I$506,집계!$C$7:$C$506,$A29)</f>
        <v/>
      </c>
      <c r="D29" s="28">
        <f>SUMIFS(집계!$J$7:$J$506,집계!$C$7:$C$506,$A29)</f>
        <v/>
      </c>
      <c r="E29" s="44">
        <f>D29-C29</f>
        <v/>
      </c>
      <c r="F29" s="45">
        <f>IF(C29=0,0,D29/C29)</f>
        <v/>
      </c>
      <c r="G29" s="28">
        <f>SUMIFS(집계!$M$7:$M$506,집계!$C$7:$C$506,$A29)</f>
        <v/>
      </c>
      <c r="H29" s="44">
        <f>G29-D29</f>
        <v/>
      </c>
      <c r="I29" s="28">
        <f>SUMIFS(집계!$P$7:$P$506,집계!$C$7:$C$506,$A29)</f>
        <v/>
      </c>
      <c r="J29" s="45">
        <f>IF(I29=0,0,D29/I29-1)</f>
        <v/>
      </c>
      <c r="K29" s="28">
        <f>COUNTIFS(집계!$C$7:$C$506,$A29,집계!$S$7:$S$506,"&lt;&gt;정상")</f>
        <v/>
      </c>
    </row>
    <row r="30">
      <c r="A30" s="12" t="inlineStr">
        <is>
          <t>B12</t>
        </is>
      </c>
      <c r="B30" s="20">
        <f>IFERROR(INDEX(계정매핑!$D$5:$D$504,MATCH($A30,계정매핑!$C$5:$C$504,0)),"항목매핑 없음")</f>
        <v/>
      </c>
      <c r="C30" s="28">
        <f>SUMIFS(집계!$I$7:$I$506,집계!$C$7:$C$506,$A30)</f>
        <v/>
      </c>
      <c r="D30" s="28">
        <f>SUMIFS(집계!$J$7:$J$506,집계!$C$7:$C$506,$A30)</f>
        <v/>
      </c>
      <c r="E30" s="44">
        <f>D30-C30</f>
        <v/>
      </c>
      <c r="F30" s="45">
        <f>IF(C30=0,0,D30/C30)</f>
        <v/>
      </c>
      <c r="G30" s="28">
        <f>SUMIFS(집계!$M$7:$M$506,집계!$C$7:$C$506,$A30)</f>
        <v/>
      </c>
      <c r="H30" s="44">
        <f>G30-D30</f>
        <v/>
      </c>
      <c r="I30" s="28">
        <f>SUMIFS(집계!$P$7:$P$506,집계!$C$7:$C$506,$A30)</f>
        <v/>
      </c>
      <c r="J30" s="45">
        <f>IF(I30=0,0,D30/I30-1)</f>
        <v/>
      </c>
      <c r="K30" s="28">
        <f>COUNTIFS(집계!$C$7:$C$506,$A30,집계!$S$7:$S$506,"&lt;&gt;정상")</f>
        <v/>
      </c>
    </row>
    <row r="31">
      <c r="A31" s="32" t="inlineStr">
        <is>
          <t>합계</t>
        </is>
      </c>
      <c r="B31" s="37" t="n"/>
      <c r="C31" s="47">
        <f>SUM(C19:C30)</f>
        <v/>
      </c>
      <c r="D31" s="47">
        <f>SUM(D19:D30)</f>
        <v/>
      </c>
      <c r="E31" s="47">
        <f>SUM(E19:E30)</f>
        <v/>
      </c>
      <c r="F31" s="48">
        <f>IF(C31=0,0,D31/C31)</f>
        <v/>
      </c>
      <c r="G31" s="47">
        <f>SUM(G19:G30)</f>
        <v/>
      </c>
      <c r="H31" s="47">
        <f>SUM(H19:H30)</f>
        <v/>
      </c>
      <c r="I31" s="47">
        <f>SUM(I19:I30)</f>
        <v/>
      </c>
      <c r="J31" s="48">
        <f>IF(I31=0,0,D31/I31-1)</f>
        <v/>
      </c>
      <c r="K31" s="47">
        <f>SUM(K19:K30)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1" customWidth="1" min="4" max="4"/>
    <col width="12" customWidth="1" min="5" max="5"/>
    <col width="12" customWidth="1" min="6" max="6"/>
    <col width="12" customWidth="1" min="7" max="7"/>
    <col width="8" customWidth="1" min="8" max="8"/>
    <col width="60" customWidth="1" min="9" max="9"/>
    <col width="7" customWidth="1" min="10" max="10"/>
  </cols>
  <sheetData>
    <row r="1">
      <c r="A1" s="1" t="inlineStr">
        <is>
          <t>예외 항목 (누계 기준, 차이 금액 큰 순)</t>
        </is>
      </c>
    </row>
    <row r="2">
      <c r="A2" s="2" t="inlineStr">
        <is>
          <t>판정 기준은 설정 시트 · 최대 30건 표시</t>
        </is>
      </c>
    </row>
    <row r="3">
      <c r="A3" s="42">
        <f>"기준: "&amp;설정!$C$6&amp;"년 "&amp;설정!$C$7&amp;"월 누계 · 단위: "&amp;설정!$C$11&amp;" · 예외 "&amp;COUNTIF(집계!$U$7:$U$506,"&gt;=0")&amp;"건"</f>
        <v/>
      </c>
    </row>
    <row r="5" ht="30" customHeight="1">
      <c r="A5" s="5" t="inlineStr">
        <is>
          <t>순위</t>
        </is>
      </c>
      <c r="B5" s="5" t="inlineStr">
        <is>
          <t>부서명</t>
        </is>
      </c>
      <c r="C5" s="5" t="inlineStr">
        <is>
          <t>예산항목명</t>
        </is>
      </c>
      <c r="D5" s="5" t="inlineStr">
        <is>
          <t>판정</t>
        </is>
      </c>
      <c r="E5" s="5" t="inlineStr">
        <is>
          <t>누계예산</t>
        </is>
      </c>
      <c r="F5" s="5" t="inlineStr">
        <is>
          <t>누계실적</t>
        </is>
      </c>
      <c r="G5" s="5" t="inlineStr">
        <is>
          <t>누계차이</t>
        </is>
      </c>
      <c r="H5" s="5" t="inlineStr">
        <is>
          <t>집행률</t>
        </is>
      </c>
      <c r="I5" s="5" t="inlineStr">
        <is>
          <t>원인·조치 코멘트</t>
        </is>
      </c>
      <c r="J5" s="43" t="inlineStr">
        <is>
          <t>행번호</t>
        </is>
      </c>
    </row>
    <row r="6">
      <c r="A6" s="19" t="n">
        <v>1</v>
      </c>
      <c r="B6" s="20">
        <f>IF($J6="","",INDEX(집계!$B$7:$B$506,$J6))</f>
        <v/>
      </c>
      <c r="C6" s="20">
        <f>IF($J6="","",INDEX(집계!$D$7:$D$506,$J6))</f>
        <v/>
      </c>
      <c r="D6" s="40">
        <f>IF($J6="","",INDEX(집계!$S$7:$S$506,$J6))</f>
        <v/>
      </c>
      <c r="E6" s="28">
        <f>IF($J6="","",INDEX(집계!$I$7:$I$506,$J6))</f>
        <v/>
      </c>
      <c r="F6" s="28">
        <f>IF($J6="","",INDEX(집계!$J$7:$J$506,$J6))</f>
        <v/>
      </c>
      <c r="G6" s="28">
        <f>IF($J6="","",INDEX(집계!$K$7:$K$506,$J6))</f>
        <v/>
      </c>
      <c r="H6" s="29">
        <f>IF($J6="","",INDEX(집계!$L$7:$L$506,$J6))</f>
        <v/>
      </c>
      <c r="I6" s="20">
        <f>IF($J6="","",IF(INDEX(집계!$T$7:$T$506,$J6)="","(미입력 - 코멘트 시트에 작성)",INDEX(집계!$T$7:$T$506,$J6)))</f>
        <v/>
      </c>
      <c r="J6" s="11">
        <f>IF(IFERROR(LARGE(집계!$U$7:$U$506,A6),-1)&lt;0,"",MATCH(LARGE(집계!$U$7:$U$506,A6),집계!$U$7:$U$506,0))</f>
        <v/>
      </c>
    </row>
    <row r="7">
      <c r="A7" s="19" t="n">
        <v>2</v>
      </c>
      <c r="B7" s="20">
        <f>IF($J7="","",INDEX(집계!$B$7:$B$506,$J7))</f>
        <v/>
      </c>
      <c r="C7" s="20">
        <f>IF($J7="","",INDEX(집계!$D$7:$D$506,$J7))</f>
        <v/>
      </c>
      <c r="D7" s="40">
        <f>IF($J7="","",INDEX(집계!$S$7:$S$506,$J7))</f>
        <v/>
      </c>
      <c r="E7" s="28">
        <f>IF($J7="","",INDEX(집계!$I$7:$I$506,$J7))</f>
        <v/>
      </c>
      <c r="F7" s="28">
        <f>IF($J7="","",INDEX(집계!$J$7:$J$506,$J7))</f>
        <v/>
      </c>
      <c r="G7" s="28">
        <f>IF($J7="","",INDEX(집계!$K$7:$K$506,$J7))</f>
        <v/>
      </c>
      <c r="H7" s="29">
        <f>IF($J7="","",INDEX(집계!$L$7:$L$506,$J7))</f>
        <v/>
      </c>
      <c r="I7" s="20">
        <f>IF($J7="","",IF(INDEX(집계!$T$7:$T$506,$J7)="","(미입력 - 코멘트 시트에 작성)",INDEX(집계!$T$7:$T$506,$J7)))</f>
        <v/>
      </c>
      <c r="J7" s="11">
        <f>IF(IFERROR(LARGE(집계!$U$7:$U$506,A7),-1)&lt;0,"",MATCH(LARGE(집계!$U$7:$U$506,A7),집계!$U$7:$U$506,0))</f>
        <v/>
      </c>
    </row>
    <row r="8">
      <c r="A8" s="19" t="n">
        <v>3</v>
      </c>
      <c r="B8" s="20">
        <f>IF($J8="","",INDEX(집계!$B$7:$B$506,$J8))</f>
        <v/>
      </c>
      <c r="C8" s="20">
        <f>IF($J8="","",INDEX(집계!$D$7:$D$506,$J8))</f>
        <v/>
      </c>
      <c r="D8" s="40">
        <f>IF($J8="","",INDEX(집계!$S$7:$S$506,$J8))</f>
        <v/>
      </c>
      <c r="E8" s="28">
        <f>IF($J8="","",INDEX(집계!$I$7:$I$506,$J8))</f>
        <v/>
      </c>
      <c r="F8" s="28">
        <f>IF($J8="","",INDEX(집계!$J$7:$J$506,$J8))</f>
        <v/>
      </c>
      <c r="G8" s="28">
        <f>IF($J8="","",INDEX(집계!$K$7:$K$506,$J8))</f>
        <v/>
      </c>
      <c r="H8" s="29">
        <f>IF($J8="","",INDEX(집계!$L$7:$L$506,$J8))</f>
        <v/>
      </c>
      <c r="I8" s="20">
        <f>IF($J8="","",IF(INDEX(집계!$T$7:$T$506,$J8)="","(미입력 - 코멘트 시트에 작성)",INDEX(집계!$T$7:$T$506,$J8)))</f>
        <v/>
      </c>
      <c r="J8" s="11">
        <f>IF(IFERROR(LARGE(집계!$U$7:$U$506,A8),-1)&lt;0,"",MATCH(LARGE(집계!$U$7:$U$506,A8),집계!$U$7:$U$506,0))</f>
        <v/>
      </c>
    </row>
    <row r="9">
      <c r="A9" s="19" t="n">
        <v>4</v>
      </c>
      <c r="B9" s="20">
        <f>IF($J9="","",INDEX(집계!$B$7:$B$506,$J9))</f>
        <v/>
      </c>
      <c r="C9" s="20">
        <f>IF($J9="","",INDEX(집계!$D$7:$D$506,$J9))</f>
        <v/>
      </c>
      <c r="D9" s="40">
        <f>IF($J9="","",INDEX(집계!$S$7:$S$506,$J9))</f>
        <v/>
      </c>
      <c r="E9" s="28">
        <f>IF($J9="","",INDEX(집계!$I$7:$I$506,$J9))</f>
        <v/>
      </c>
      <c r="F9" s="28">
        <f>IF($J9="","",INDEX(집계!$J$7:$J$506,$J9))</f>
        <v/>
      </c>
      <c r="G9" s="28">
        <f>IF($J9="","",INDEX(집계!$K$7:$K$506,$J9))</f>
        <v/>
      </c>
      <c r="H9" s="29">
        <f>IF($J9="","",INDEX(집계!$L$7:$L$506,$J9))</f>
        <v/>
      </c>
      <c r="I9" s="20">
        <f>IF($J9="","",IF(INDEX(집계!$T$7:$T$506,$J9)="","(미입력 - 코멘트 시트에 작성)",INDEX(집계!$T$7:$T$506,$J9)))</f>
        <v/>
      </c>
      <c r="J9" s="11">
        <f>IF(IFERROR(LARGE(집계!$U$7:$U$506,A9),-1)&lt;0,"",MATCH(LARGE(집계!$U$7:$U$506,A9),집계!$U$7:$U$506,0))</f>
        <v/>
      </c>
    </row>
    <row r="10">
      <c r="A10" s="19" t="n">
        <v>5</v>
      </c>
      <c r="B10" s="20">
        <f>IF($J10="","",INDEX(집계!$B$7:$B$506,$J10))</f>
        <v/>
      </c>
      <c r="C10" s="20">
        <f>IF($J10="","",INDEX(집계!$D$7:$D$506,$J10))</f>
        <v/>
      </c>
      <c r="D10" s="40">
        <f>IF($J10="","",INDEX(집계!$S$7:$S$506,$J10))</f>
        <v/>
      </c>
      <c r="E10" s="28">
        <f>IF($J10="","",INDEX(집계!$I$7:$I$506,$J10))</f>
        <v/>
      </c>
      <c r="F10" s="28">
        <f>IF($J10="","",INDEX(집계!$J$7:$J$506,$J10))</f>
        <v/>
      </c>
      <c r="G10" s="28">
        <f>IF($J10="","",INDEX(집계!$K$7:$K$506,$J10))</f>
        <v/>
      </c>
      <c r="H10" s="29">
        <f>IF($J10="","",INDEX(집계!$L$7:$L$506,$J10))</f>
        <v/>
      </c>
      <c r="I10" s="20">
        <f>IF($J10="","",IF(INDEX(집계!$T$7:$T$506,$J10)="","(미입력 - 코멘트 시트에 작성)",INDEX(집계!$T$7:$T$506,$J10)))</f>
        <v/>
      </c>
      <c r="J10" s="11">
        <f>IF(IFERROR(LARGE(집계!$U$7:$U$506,A10),-1)&lt;0,"",MATCH(LARGE(집계!$U$7:$U$506,A10),집계!$U$7:$U$506,0))</f>
        <v/>
      </c>
    </row>
    <row r="11">
      <c r="A11" s="19" t="n">
        <v>6</v>
      </c>
      <c r="B11" s="20">
        <f>IF($J11="","",INDEX(집계!$B$7:$B$506,$J11))</f>
        <v/>
      </c>
      <c r="C11" s="20">
        <f>IF($J11="","",INDEX(집계!$D$7:$D$506,$J11))</f>
        <v/>
      </c>
      <c r="D11" s="40">
        <f>IF($J11="","",INDEX(집계!$S$7:$S$506,$J11))</f>
        <v/>
      </c>
      <c r="E11" s="28">
        <f>IF($J11="","",INDEX(집계!$I$7:$I$506,$J11))</f>
        <v/>
      </c>
      <c r="F11" s="28">
        <f>IF($J11="","",INDEX(집계!$J$7:$J$506,$J11))</f>
        <v/>
      </c>
      <c r="G11" s="28">
        <f>IF($J11="","",INDEX(집계!$K$7:$K$506,$J11))</f>
        <v/>
      </c>
      <c r="H11" s="29">
        <f>IF($J11="","",INDEX(집계!$L$7:$L$506,$J11))</f>
        <v/>
      </c>
      <c r="I11" s="20">
        <f>IF($J11="","",IF(INDEX(집계!$T$7:$T$506,$J11)="","(미입력 - 코멘트 시트에 작성)",INDEX(집계!$T$7:$T$506,$J11)))</f>
        <v/>
      </c>
      <c r="J11" s="11">
        <f>IF(IFERROR(LARGE(집계!$U$7:$U$506,A11),-1)&lt;0,"",MATCH(LARGE(집계!$U$7:$U$506,A11),집계!$U$7:$U$506,0))</f>
        <v/>
      </c>
    </row>
    <row r="12">
      <c r="A12" s="19" t="n">
        <v>7</v>
      </c>
      <c r="B12" s="20">
        <f>IF($J12="","",INDEX(집계!$B$7:$B$506,$J12))</f>
        <v/>
      </c>
      <c r="C12" s="20">
        <f>IF($J12="","",INDEX(집계!$D$7:$D$506,$J12))</f>
        <v/>
      </c>
      <c r="D12" s="40">
        <f>IF($J12="","",INDEX(집계!$S$7:$S$506,$J12))</f>
        <v/>
      </c>
      <c r="E12" s="28">
        <f>IF($J12="","",INDEX(집계!$I$7:$I$506,$J12))</f>
        <v/>
      </c>
      <c r="F12" s="28">
        <f>IF($J12="","",INDEX(집계!$J$7:$J$506,$J12))</f>
        <v/>
      </c>
      <c r="G12" s="28">
        <f>IF($J12="","",INDEX(집계!$K$7:$K$506,$J12))</f>
        <v/>
      </c>
      <c r="H12" s="29">
        <f>IF($J12="","",INDEX(집계!$L$7:$L$506,$J12))</f>
        <v/>
      </c>
      <c r="I12" s="20">
        <f>IF($J12="","",IF(INDEX(집계!$T$7:$T$506,$J12)="","(미입력 - 코멘트 시트에 작성)",INDEX(집계!$T$7:$T$506,$J12)))</f>
        <v/>
      </c>
      <c r="J12" s="11">
        <f>IF(IFERROR(LARGE(집계!$U$7:$U$506,A12),-1)&lt;0,"",MATCH(LARGE(집계!$U$7:$U$506,A12),집계!$U$7:$U$506,0))</f>
        <v/>
      </c>
    </row>
    <row r="13">
      <c r="A13" s="19" t="n">
        <v>8</v>
      </c>
      <c r="B13" s="20">
        <f>IF($J13="","",INDEX(집계!$B$7:$B$506,$J13))</f>
        <v/>
      </c>
      <c r="C13" s="20">
        <f>IF($J13="","",INDEX(집계!$D$7:$D$506,$J13))</f>
        <v/>
      </c>
      <c r="D13" s="40">
        <f>IF($J13="","",INDEX(집계!$S$7:$S$506,$J13))</f>
        <v/>
      </c>
      <c r="E13" s="28">
        <f>IF($J13="","",INDEX(집계!$I$7:$I$506,$J13))</f>
        <v/>
      </c>
      <c r="F13" s="28">
        <f>IF($J13="","",INDEX(집계!$J$7:$J$506,$J13))</f>
        <v/>
      </c>
      <c r="G13" s="28">
        <f>IF($J13="","",INDEX(집계!$K$7:$K$506,$J13))</f>
        <v/>
      </c>
      <c r="H13" s="29">
        <f>IF($J13="","",INDEX(집계!$L$7:$L$506,$J13))</f>
        <v/>
      </c>
      <c r="I13" s="20">
        <f>IF($J13="","",IF(INDEX(집계!$T$7:$T$506,$J13)="","(미입력 - 코멘트 시트에 작성)",INDEX(집계!$T$7:$T$506,$J13)))</f>
        <v/>
      </c>
      <c r="J13" s="11">
        <f>IF(IFERROR(LARGE(집계!$U$7:$U$506,A13),-1)&lt;0,"",MATCH(LARGE(집계!$U$7:$U$506,A13),집계!$U$7:$U$506,0))</f>
        <v/>
      </c>
    </row>
    <row r="14">
      <c r="A14" s="19" t="n">
        <v>9</v>
      </c>
      <c r="B14" s="20">
        <f>IF($J14="","",INDEX(집계!$B$7:$B$506,$J14))</f>
        <v/>
      </c>
      <c r="C14" s="20">
        <f>IF($J14="","",INDEX(집계!$D$7:$D$506,$J14))</f>
        <v/>
      </c>
      <c r="D14" s="40">
        <f>IF($J14="","",INDEX(집계!$S$7:$S$506,$J14))</f>
        <v/>
      </c>
      <c r="E14" s="28">
        <f>IF($J14="","",INDEX(집계!$I$7:$I$506,$J14))</f>
        <v/>
      </c>
      <c r="F14" s="28">
        <f>IF($J14="","",INDEX(집계!$J$7:$J$506,$J14))</f>
        <v/>
      </c>
      <c r="G14" s="28">
        <f>IF($J14="","",INDEX(집계!$K$7:$K$506,$J14))</f>
        <v/>
      </c>
      <c r="H14" s="29">
        <f>IF($J14="","",INDEX(집계!$L$7:$L$506,$J14))</f>
        <v/>
      </c>
      <c r="I14" s="20">
        <f>IF($J14="","",IF(INDEX(집계!$T$7:$T$506,$J14)="","(미입력 - 코멘트 시트에 작성)",INDEX(집계!$T$7:$T$506,$J14)))</f>
        <v/>
      </c>
      <c r="J14" s="11">
        <f>IF(IFERROR(LARGE(집계!$U$7:$U$506,A14),-1)&lt;0,"",MATCH(LARGE(집계!$U$7:$U$506,A14),집계!$U$7:$U$506,0))</f>
        <v/>
      </c>
    </row>
    <row r="15">
      <c r="A15" s="19" t="n">
        <v>10</v>
      </c>
      <c r="B15" s="20">
        <f>IF($J15="","",INDEX(집계!$B$7:$B$506,$J15))</f>
        <v/>
      </c>
      <c r="C15" s="20">
        <f>IF($J15="","",INDEX(집계!$D$7:$D$506,$J15))</f>
        <v/>
      </c>
      <c r="D15" s="40">
        <f>IF($J15="","",INDEX(집계!$S$7:$S$506,$J15))</f>
        <v/>
      </c>
      <c r="E15" s="28">
        <f>IF($J15="","",INDEX(집계!$I$7:$I$506,$J15))</f>
        <v/>
      </c>
      <c r="F15" s="28">
        <f>IF($J15="","",INDEX(집계!$J$7:$J$506,$J15))</f>
        <v/>
      </c>
      <c r="G15" s="28">
        <f>IF($J15="","",INDEX(집계!$K$7:$K$506,$J15))</f>
        <v/>
      </c>
      <c r="H15" s="29">
        <f>IF($J15="","",INDEX(집계!$L$7:$L$506,$J15))</f>
        <v/>
      </c>
      <c r="I15" s="20">
        <f>IF($J15="","",IF(INDEX(집계!$T$7:$T$506,$J15)="","(미입력 - 코멘트 시트에 작성)",INDEX(집계!$T$7:$T$506,$J15)))</f>
        <v/>
      </c>
      <c r="J15" s="11">
        <f>IF(IFERROR(LARGE(집계!$U$7:$U$506,A15),-1)&lt;0,"",MATCH(LARGE(집계!$U$7:$U$506,A15),집계!$U$7:$U$506,0))</f>
        <v/>
      </c>
    </row>
    <row r="16">
      <c r="A16" s="19" t="n">
        <v>11</v>
      </c>
      <c r="B16" s="20">
        <f>IF($J16="","",INDEX(집계!$B$7:$B$506,$J16))</f>
        <v/>
      </c>
      <c r="C16" s="20">
        <f>IF($J16="","",INDEX(집계!$D$7:$D$506,$J16))</f>
        <v/>
      </c>
      <c r="D16" s="40">
        <f>IF($J16="","",INDEX(집계!$S$7:$S$506,$J16))</f>
        <v/>
      </c>
      <c r="E16" s="28">
        <f>IF($J16="","",INDEX(집계!$I$7:$I$506,$J16))</f>
        <v/>
      </c>
      <c r="F16" s="28">
        <f>IF($J16="","",INDEX(집계!$J$7:$J$506,$J16))</f>
        <v/>
      </c>
      <c r="G16" s="28">
        <f>IF($J16="","",INDEX(집계!$K$7:$K$506,$J16))</f>
        <v/>
      </c>
      <c r="H16" s="29">
        <f>IF($J16="","",INDEX(집계!$L$7:$L$506,$J16))</f>
        <v/>
      </c>
      <c r="I16" s="20">
        <f>IF($J16="","",IF(INDEX(집계!$T$7:$T$506,$J16)="","(미입력 - 코멘트 시트에 작성)",INDEX(집계!$T$7:$T$506,$J16)))</f>
        <v/>
      </c>
      <c r="J16" s="11">
        <f>IF(IFERROR(LARGE(집계!$U$7:$U$506,A16),-1)&lt;0,"",MATCH(LARGE(집계!$U$7:$U$506,A16),집계!$U$7:$U$506,0))</f>
        <v/>
      </c>
    </row>
    <row r="17">
      <c r="A17" s="19" t="n">
        <v>12</v>
      </c>
      <c r="B17" s="20">
        <f>IF($J17="","",INDEX(집계!$B$7:$B$506,$J17))</f>
        <v/>
      </c>
      <c r="C17" s="20">
        <f>IF($J17="","",INDEX(집계!$D$7:$D$506,$J17))</f>
        <v/>
      </c>
      <c r="D17" s="40">
        <f>IF($J17="","",INDEX(집계!$S$7:$S$506,$J17))</f>
        <v/>
      </c>
      <c r="E17" s="28">
        <f>IF($J17="","",INDEX(집계!$I$7:$I$506,$J17))</f>
        <v/>
      </c>
      <c r="F17" s="28">
        <f>IF($J17="","",INDEX(집계!$J$7:$J$506,$J17))</f>
        <v/>
      </c>
      <c r="G17" s="28">
        <f>IF($J17="","",INDEX(집계!$K$7:$K$506,$J17))</f>
        <v/>
      </c>
      <c r="H17" s="29">
        <f>IF($J17="","",INDEX(집계!$L$7:$L$506,$J17))</f>
        <v/>
      </c>
      <c r="I17" s="20">
        <f>IF($J17="","",IF(INDEX(집계!$T$7:$T$506,$J17)="","(미입력 - 코멘트 시트에 작성)",INDEX(집계!$T$7:$T$506,$J17)))</f>
        <v/>
      </c>
      <c r="J17" s="11">
        <f>IF(IFERROR(LARGE(집계!$U$7:$U$506,A17),-1)&lt;0,"",MATCH(LARGE(집계!$U$7:$U$506,A17),집계!$U$7:$U$506,0))</f>
        <v/>
      </c>
    </row>
    <row r="18">
      <c r="A18" s="19" t="n">
        <v>13</v>
      </c>
      <c r="B18" s="20">
        <f>IF($J18="","",INDEX(집계!$B$7:$B$506,$J18))</f>
        <v/>
      </c>
      <c r="C18" s="20">
        <f>IF($J18="","",INDEX(집계!$D$7:$D$506,$J18))</f>
        <v/>
      </c>
      <c r="D18" s="40">
        <f>IF($J18="","",INDEX(집계!$S$7:$S$506,$J18))</f>
        <v/>
      </c>
      <c r="E18" s="28">
        <f>IF($J18="","",INDEX(집계!$I$7:$I$506,$J18))</f>
        <v/>
      </c>
      <c r="F18" s="28">
        <f>IF($J18="","",INDEX(집계!$J$7:$J$506,$J18))</f>
        <v/>
      </c>
      <c r="G18" s="28">
        <f>IF($J18="","",INDEX(집계!$K$7:$K$506,$J18))</f>
        <v/>
      </c>
      <c r="H18" s="29">
        <f>IF($J18="","",INDEX(집계!$L$7:$L$506,$J18))</f>
        <v/>
      </c>
      <c r="I18" s="20">
        <f>IF($J18="","",IF(INDEX(집계!$T$7:$T$506,$J18)="","(미입력 - 코멘트 시트에 작성)",INDEX(집계!$T$7:$T$506,$J18)))</f>
        <v/>
      </c>
      <c r="J18" s="11">
        <f>IF(IFERROR(LARGE(집계!$U$7:$U$506,A18),-1)&lt;0,"",MATCH(LARGE(집계!$U$7:$U$506,A18),집계!$U$7:$U$506,0))</f>
        <v/>
      </c>
    </row>
    <row r="19">
      <c r="A19" s="19" t="n">
        <v>14</v>
      </c>
      <c r="B19" s="20">
        <f>IF($J19="","",INDEX(집계!$B$7:$B$506,$J19))</f>
        <v/>
      </c>
      <c r="C19" s="20">
        <f>IF($J19="","",INDEX(집계!$D$7:$D$506,$J19))</f>
        <v/>
      </c>
      <c r="D19" s="40">
        <f>IF($J19="","",INDEX(집계!$S$7:$S$506,$J19))</f>
        <v/>
      </c>
      <c r="E19" s="28">
        <f>IF($J19="","",INDEX(집계!$I$7:$I$506,$J19))</f>
        <v/>
      </c>
      <c r="F19" s="28">
        <f>IF($J19="","",INDEX(집계!$J$7:$J$506,$J19))</f>
        <v/>
      </c>
      <c r="G19" s="28">
        <f>IF($J19="","",INDEX(집계!$K$7:$K$506,$J19))</f>
        <v/>
      </c>
      <c r="H19" s="29">
        <f>IF($J19="","",INDEX(집계!$L$7:$L$506,$J19))</f>
        <v/>
      </c>
      <c r="I19" s="20">
        <f>IF($J19="","",IF(INDEX(집계!$T$7:$T$506,$J19)="","(미입력 - 코멘트 시트에 작성)",INDEX(집계!$T$7:$T$506,$J19)))</f>
        <v/>
      </c>
      <c r="J19" s="11">
        <f>IF(IFERROR(LARGE(집계!$U$7:$U$506,A19),-1)&lt;0,"",MATCH(LARGE(집계!$U$7:$U$506,A19),집계!$U$7:$U$506,0))</f>
        <v/>
      </c>
    </row>
    <row r="20">
      <c r="A20" s="19" t="n">
        <v>15</v>
      </c>
      <c r="B20" s="20">
        <f>IF($J20="","",INDEX(집계!$B$7:$B$506,$J20))</f>
        <v/>
      </c>
      <c r="C20" s="20">
        <f>IF($J20="","",INDEX(집계!$D$7:$D$506,$J20))</f>
        <v/>
      </c>
      <c r="D20" s="40">
        <f>IF($J20="","",INDEX(집계!$S$7:$S$506,$J20))</f>
        <v/>
      </c>
      <c r="E20" s="28">
        <f>IF($J20="","",INDEX(집계!$I$7:$I$506,$J20))</f>
        <v/>
      </c>
      <c r="F20" s="28">
        <f>IF($J20="","",INDEX(집계!$J$7:$J$506,$J20))</f>
        <v/>
      </c>
      <c r="G20" s="28">
        <f>IF($J20="","",INDEX(집계!$K$7:$K$506,$J20))</f>
        <v/>
      </c>
      <c r="H20" s="29">
        <f>IF($J20="","",INDEX(집계!$L$7:$L$506,$J20))</f>
        <v/>
      </c>
      <c r="I20" s="20">
        <f>IF($J20="","",IF(INDEX(집계!$T$7:$T$506,$J20)="","(미입력 - 코멘트 시트에 작성)",INDEX(집계!$T$7:$T$506,$J20)))</f>
        <v/>
      </c>
      <c r="J20" s="11">
        <f>IF(IFERROR(LARGE(집계!$U$7:$U$506,A20),-1)&lt;0,"",MATCH(LARGE(집계!$U$7:$U$506,A20),집계!$U$7:$U$506,0))</f>
        <v/>
      </c>
    </row>
    <row r="21">
      <c r="A21" s="19" t="n">
        <v>16</v>
      </c>
      <c r="B21" s="20">
        <f>IF($J21="","",INDEX(집계!$B$7:$B$506,$J21))</f>
        <v/>
      </c>
      <c r="C21" s="20">
        <f>IF($J21="","",INDEX(집계!$D$7:$D$506,$J21))</f>
        <v/>
      </c>
      <c r="D21" s="40">
        <f>IF($J21="","",INDEX(집계!$S$7:$S$506,$J21))</f>
        <v/>
      </c>
      <c r="E21" s="28">
        <f>IF($J21="","",INDEX(집계!$I$7:$I$506,$J21))</f>
        <v/>
      </c>
      <c r="F21" s="28">
        <f>IF($J21="","",INDEX(집계!$J$7:$J$506,$J21))</f>
        <v/>
      </c>
      <c r="G21" s="28">
        <f>IF($J21="","",INDEX(집계!$K$7:$K$506,$J21))</f>
        <v/>
      </c>
      <c r="H21" s="29">
        <f>IF($J21="","",INDEX(집계!$L$7:$L$506,$J21))</f>
        <v/>
      </c>
      <c r="I21" s="20">
        <f>IF($J21="","",IF(INDEX(집계!$T$7:$T$506,$J21)="","(미입력 - 코멘트 시트에 작성)",INDEX(집계!$T$7:$T$506,$J21)))</f>
        <v/>
      </c>
      <c r="J21" s="11">
        <f>IF(IFERROR(LARGE(집계!$U$7:$U$506,A21),-1)&lt;0,"",MATCH(LARGE(집계!$U$7:$U$506,A21),집계!$U$7:$U$506,0))</f>
        <v/>
      </c>
    </row>
    <row r="22">
      <c r="A22" s="19" t="n">
        <v>17</v>
      </c>
      <c r="B22" s="20">
        <f>IF($J22="","",INDEX(집계!$B$7:$B$506,$J22))</f>
        <v/>
      </c>
      <c r="C22" s="20">
        <f>IF($J22="","",INDEX(집계!$D$7:$D$506,$J22))</f>
        <v/>
      </c>
      <c r="D22" s="40">
        <f>IF($J22="","",INDEX(집계!$S$7:$S$506,$J22))</f>
        <v/>
      </c>
      <c r="E22" s="28">
        <f>IF($J22="","",INDEX(집계!$I$7:$I$506,$J22))</f>
        <v/>
      </c>
      <c r="F22" s="28">
        <f>IF($J22="","",INDEX(집계!$J$7:$J$506,$J22))</f>
        <v/>
      </c>
      <c r="G22" s="28">
        <f>IF($J22="","",INDEX(집계!$K$7:$K$506,$J22))</f>
        <v/>
      </c>
      <c r="H22" s="29">
        <f>IF($J22="","",INDEX(집계!$L$7:$L$506,$J22))</f>
        <v/>
      </c>
      <c r="I22" s="20">
        <f>IF($J22="","",IF(INDEX(집계!$T$7:$T$506,$J22)="","(미입력 - 코멘트 시트에 작성)",INDEX(집계!$T$7:$T$506,$J22)))</f>
        <v/>
      </c>
      <c r="J22" s="11">
        <f>IF(IFERROR(LARGE(집계!$U$7:$U$506,A22),-1)&lt;0,"",MATCH(LARGE(집계!$U$7:$U$506,A22),집계!$U$7:$U$506,0))</f>
        <v/>
      </c>
    </row>
    <row r="23">
      <c r="A23" s="19" t="n">
        <v>18</v>
      </c>
      <c r="B23" s="20">
        <f>IF($J23="","",INDEX(집계!$B$7:$B$506,$J23))</f>
        <v/>
      </c>
      <c r="C23" s="20">
        <f>IF($J23="","",INDEX(집계!$D$7:$D$506,$J23))</f>
        <v/>
      </c>
      <c r="D23" s="40">
        <f>IF($J23="","",INDEX(집계!$S$7:$S$506,$J23))</f>
        <v/>
      </c>
      <c r="E23" s="28">
        <f>IF($J23="","",INDEX(집계!$I$7:$I$506,$J23))</f>
        <v/>
      </c>
      <c r="F23" s="28">
        <f>IF($J23="","",INDEX(집계!$J$7:$J$506,$J23))</f>
        <v/>
      </c>
      <c r="G23" s="28">
        <f>IF($J23="","",INDEX(집계!$K$7:$K$506,$J23))</f>
        <v/>
      </c>
      <c r="H23" s="29">
        <f>IF($J23="","",INDEX(집계!$L$7:$L$506,$J23))</f>
        <v/>
      </c>
      <c r="I23" s="20">
        <f>IF($J23="","",IF(INDEX(집계!$T$7:$T$506,$J23)="","(미입력 - 코멘트 시트에 작성)",INDEX(집계!$T$7:$T$506,$J23)))</f>
        <v/>
      </c>
      <c r="J23" s="11">
        <f>IF(IFERROR(LARGE(집계!$U$7:$U$506,A23),-1)&lt;0,"",MATCH(LARGE(집계!$U$7:$U$506,A23),집계!$U$7:$U$506,0))</f>
        <v/>
      </c>
    </row>
    <row r="24">
      <c r="A24" s="19" t="n">
        <v>19</v>
      </c>
      <c r="B24" s="20">
        <f>IF($J24="","",INDEX(집계!$B$7:$B$506,$J24))</f>
        <v/>
      </c>
      <c r="C24" s="20">
        <f>IF($J24="","",INDEX(집계!$D$7:$D$506,$J24))</f>
        <v/>
      </c>
      <c r="D24" s="40">
        <f>IF($J24="","",INDEX(집계!$S$7:$S$506,$J24))</f>
        <v/>
      </c>
      <c r="E24" s="28">
        <f>IF($J24="","",INDEX(집계!$I$7:$I$506,$J24))</f>
        <v/>
      </c>
      <c r="F24" s="28">
        <f>IF($J24="","",INDEX(집계!$J$7:$J$506,$J24))</f>
        <v/>
      </c>
      <c r="G24" s="28">
        <f>IF($J24="","",INDEX(집계!$K$7:$K$506,$J24))</f>
        <v/>
      </c>
      <c r="H24" s="29">
        <f>IF($J24="","",INDEX(집계!$L$7:$L$506,$J24))</f>
        <v/>
      </c>
      <c r="I24" s="20">
        <f>IF($J24="","",IF(INDEX(집계!$T$7:$T$506,$J24)="","(미입력 - 코멘트 시트에 작성)",INDEX(집계!$T$7:$T$506,$J24)))</f>
        <v/>
      </c>
      <c r="J24" s="11">
        <f>IF(IFERROR(LARGE(집계!$U$7:$U$506,A24),-1)&lt;0,"",MATCH(LARGE(집계!$U$7:$U$506,A24),집계!$U$7:$U$506,0))</f>
        <v/>
      </c>
    </row>
    <row r="25">
      <c r="A25" s="19" t="n">
        <v>20</v>
      </c>
      <c r="B25" s="20">
        <f>IF($J25="","",INDEX(집계!$B$7:$B$506,$J25))</f>
        <v/>
      </c>
      <c r="C25" s="20">
        <f>IF($J25="","",INDEX(집계!$D$7:$D$506,$J25))</f>
        <v/>
      </c>
      <c r="D25" s="40">
        <f>IF($J25="","",INDEX(집계!$S$7:$S$506,$J25))</f>
        <v/>
      </c>
      <c r="E25" s="28">
        <f>IF($J25="","",INDEX(집계!$I$7:$I$506,$J25))</f>
        <v/>
      </c>
      <c r="F25" s="28">
        <f>IF($J25="","",INDEX(집계!$J$7:$J$506,$J25))</f>
        <v/>
      </c>
      <c r="G25" s="28">
        <f>IF($J25="","",INDEX(집계!$K$7:$K$506,$J25))</f>
        <v/>
      </c>
      <c r="H25" s="29">
        <f>IF($J25="","",INDEX(집계!$L$7:$L$506,$J25))</f>
        <v/>
      </c>
      <c r="I25" s="20">
        <f>IF($J25="","",IF(INDEX(집계!$T$7:$T$506,$J25)="","(미입력 - 코멘트 시트에 작성)",INDEX(집계!$T$7:$T$506,$J25)))</f>
        <v/>
      </c>
      <c r="J25" s="11">
        <f>IF(IFERROR(LARGE(집계!$U$7:$U$506,A25),-1)&lt;0,"",MATCH(LARGE(집계!$U$7:$U$506,A25),집계!$U$7:$U$506,0))</f>
        <v/>
      </c>
    </row>
    <row r="26">
      <c r="A26" s="19" t="n">
        <v>21</v>
      </c>
      <c r="B26" s="20">
        <f>IF($J26="","",INDEX(집계!$B$7:$B$506,$J26))</f>
        <v/>
      </c>
      <c r="C26" s="20">
        <f>IF($J26="","",INDEX(집계!$D$7:$D$506,$J26))</f>
        <v/>
      </c>
      <c r="D26" s="40">
        <f>IF($J26="","",INDEX(집계!$S$7:$S$506,$J26))</f>
        <v/>
      </c>
      <c r="E26" s="28">
        <f>IF($J26="","",INDEX(집계!$I$7:$I$506,$J26))</f>
        <v/>
      </c>
      <c r="F26" s="28">
        <f>IF($J26="","",INDEX(집계!$J$7:$J$506,$J26))</f>
        <v/>
      </c>
      <c r="G26" s="28">
        <f>IF($J26="","",INDEX(집계!$K$7:$K$506,$J26))</f>
        <v/>
      </c>
      <c r="H26" s="29">
        <f>IF($J26="","",INDEX(집계!$L$7:$L$506,$J26))</f>
        <v/>
      </c>
      <c r="I26" s="20">
        <f>IF($J26="","",IF(INDEX(집계!$T$7:$T$506,$J26)="","(미입력 - 코멘트 시트에 작성)",INDEX(집계!$T$7:$T$506,$J26)))</f>
        <v/>
      </c>
      <c r="J26" s="11">
        <f>IF(IFERROR(LARGE(집계!$U$7:$U$506,A26),-1)&lt;0,"",MATCH(LARGE(집계!$U$7:$U$506,A26),집계!$U$7:$U$506,0))</f>
        <v/>
      </c>
    </row>
    <row r="27">
      <c r="A27" s="19" t="n">
        <v>22</v>
      </c>
      <c r="B27" s="20">
        <f>IF($J27="","",INDEX(집계!$B$7:$B$506,$J27))</f>
        <v/>
      </c>
      <c r="C27" s="20">
        <f>IF($J27="","",INDEX(집계!$D$7:$D$506,$J27))</f>
        <v/>
      </c>
      <c r="D27" s="40">
        <f>IF($J27="","",INDEX(집계!$S$7:$S$506,$J27))</f>
        <v/>
      </c>
      <c r="E27" s="28">
        <f>IF($J27="","",INDEX(집계!$I$7:$I$506,$J27))</f>
        <v/>
      </c>
      <c r="F27" s="28">
        <f>IF($J27="","",INDEX(집계!$J$7:$J$506,$J27))</f>
        <v/>
      </c>
      <c r="G27" s="28">
        <f>IF($J27="","",INDEX(집계!$K$7:$K$506,$J27))</f>
        <v/>
      </c>
      <c r="H27" s="29">
        <f>IF($J27="","",INDEX(집계!$L$7:$L$506,$J27))</f>
        <v/>
      </c>
      <c r="I27" s="20">
        <f>IF($J27="","",IF(INDEX(집계!$T$7:$T$506,$J27)="","(미입력 - 코멘트 시트에 작성)",INDEX(집계!$T$7:$T$506,$J27)))</f>
        <v/>
      </c>
      <c r="J27" s="11">
        <f>IF(IFERROR(LARGE(집계!$U$7:$U$506,A27),-1)&lt;0,"",MATCH(LARGE(집계!$U$7:$U$506,A27),집계!$U$7:$U$506,0))</f>
        <v/>
      </c>
    </row>
    <row r="28">
      <c r="A28" s="19" t="n">
        <v>23</v>
      </c>
      <c r="B28" s="20">
        <f>IF($J28="","",INDEX(집계!$B$7:$B$506,$J28))</f>
        <v/>
      </c>
      <c r="C28" s="20">
        <f>IF($J28="","",INDEX(집계!$D$7:$D$506,$J28))</f>
        <v/>
      </c>
      <c r="D28" s="40">
        <f>IF($J28="","",INDEX(집계!$S$7:$S$506,$J28))</f>
        <v/>
      </c>
      <c r="E28" s="28">
        <f>IF($J28="","",INDEX(집계!$I$7:$I$506,$J28))</f>
        <v/>
      </c>
      <c r="F28" s="28">
        <f>IF($J28="","",INDEX(집계!$J$7:$J$506,$J28))</f>
        <v/>
      </c>
      <c r="G28" s="28">
        <f>IF($J28="","",INDEX(집계!$K$7:$K$506,$J28))</f>
        <v/>
      </c>
      <c r="H28" s="29">
        <f>IF($J28="","",INDEX(집계!$L$7:$L$506,$J28))</f>
        <v/>
      </c>
      <c r="I28" s="20">
        <f>IF($J28="","",IF(INDEX(집계!$T$7:$T$506,$J28)="","(미입력 - 코멘트 시트에 작성)",INDEX(집계!$T$7:$T$506,$J28)))</f>
        <v/>
      </c>
      <c r="J28" s="11">
        <f>IF(IFERROR(LARGE(집계!$U$7:$U$506,A28),-1)&lt;0,"",MATCH(LARGE(집계!$U$7:$U$506,A28),집계!$U$7:$U$506,0))</f>
        <v/>
      </c>
    </row>
    <row r="29">
      <c r="A29" s="19" t="n">
        <v>24</v>
      </c>
      <c r="B29" s="20">
        <f>IF($J29="","",INDEX(집계!$B$7:$B$506,$J29))</f>
        <v/>
      </c>
      <c r="C29" s="20">
        <f>IF($J29="","",INDEX(집계!$D$7:$D$506,$J29))</f>
        <v/>
      </c>
      <c r="D29" s="40">
        <f>IF($J29="","",INDEX(집계!$S$7:$S$506,$J29))</f>
        <v/>
      </c>
      <c r="E29" s="28">
        <f>IF($J29="","",INDEX(집계!$I$7:$I$506,$J29))</f>
        <v/>
      </c>
      <c r="F29" s="28">
        <f>IF($J29="","",INDEX(집계!$J$7:$J$506,$J29))</f>
        <v/>
      </c>
      <c r="G29" s="28">
        <f>IF($J29="","",INDEX(집계!$K$7:$K$506,$J29))</f>
        <v/>
      </c>
      <c r="H29" s="29">
        <f>IF($J29="","",INDEX(집계!$L$7:$L$506,$J29))</f>
        <v/>
      </c>
      <c r="I29" s="20">
        <f>IF($J29="","",IF(INDEX(집계!$T$7:$T$506,$J29)="","(미입력 - 코멘트 시트에 작성)",INDEX(집계!$T$7:$T$506,$J29)))</f>
        <v/>
      </c>
      <c r="J29" s="11">
        <f>IF(IFERROR(LARGE(집계!$U$7:$U$506,A29),-1)&lt;0,"",MATCH(LARGE(집계!$U$7:$U$506,A29),집계!$U$7:$U$506,0))</f>
        <v/>
      </c>
    </row>
    <row r="30">
      <c r="A30" s="19" t="n">
        <v>25</v>
      </c>
      <c r="B30" s="20">
        <f>IF($J30="","",INDEX(집계!$B$7:$B$506,$J30))</f>
        <v/>
      </c>
      <c r="C30" s="20">
        <f>IF($J30="","",INDEX(집계!$D$7:$D$506,$J30))</f>
        <v/>
      </c>
      <c r="D30" s="40">
        <f>IF($J30="","",INDEX(집계!$S$7:$S$506,$J30))</f>
        <v/>
      </c>
      <c r="E30" s="28">
        <f>IF($J30="","",INDEX(집계!$I$7:$I$506,$J30))</f>
        <v/>
      </c>
      <c r="F30" s="28">
        <f>IF($J30="","",INDEX(집계!$J$7:$J$506,$J30))</f>
        <v/>
      </c>
      <c r="G30" s="28">
        <f>IF($J30="","",INDEX(집계!$K$7:$K$506,$J30))</f>
        <v/>
      </c>
      <c r="H30" s="29">
        <f>IF($J30="","",INDEX(집계!$L$7:$L$506,$J30))</f>
        <v/>
      </c>
      <c r="I30" s="20">
        <f>IF($J30="","",IF(INDEX(집계!$T$7:$T$506,$J30)="","(미입력 - 코멘트 시트에 작성)",INDEX(집계!$T$7:$T$506,$J30)))</f>
        <v/>
      </c>
      <c r="J30" s="11">
        <f>IF(IFERROR(LARGE(집계!$U$7:$U$506,A30),-1)&lt;0,"",MATCH(LARGE(집계!$U$7:$U$506,A30),집계!$U$7:$U$506,0))</f>
        <v/>
      </c>
    </row>
    <row r="31">
      <c r="A31" s="19" t="n">
        <v>26</v>
      </c>
      <c r="B31" s="20">
        <f>IF($J31="","",INDEX(집계!$B$7:$B$506,$J31))</f>
        <v/>
      </c>
      <c r="C31" s="20">
        <f>IF($J31="","",INDEX(집계!$D$7:$D$506,$J31))</f>
        <v/>
      </c>
      <c r="D31" s="40">
        <f>IF($J31="","",INDEX(집계!$S$7:$S$506,$J31))</f>
        <v/>
      </c>
      <c r="E31" s="28">
        <f>IF($J31="","",INDEX(집계!$I$7:$I$506,$J31))</f>
        <v/>
      </c>
      <c r="F31" s="28">
        <f>IF($J31="","",INDEX(집계!$J$7:$J$506,$J31))</f>
        <v/>
      </c>
      <c r="G31" s="28">
        <f>IF($J31="","",INDEX(집계!$K$7:$K$506,$J31))</f>
        <v/>
      </c>
      <c r="H31" s="29">
        <f>IF($J31="","",INDEX(집계!$L$7:$L$506,$J31))</f>
        <v/>
      </c>
      <c r="I31" s="20">
        <f>IF($J31="","",IF(INDEX(집계!$T$7:$T$506,$J31)="","(미입력 - 코멘트 시트에 작성)",INDEX(집계!$T$7:$T$506,$J31)))</f>
        <v/>
      </c>
      <c r="J31" s="11">
        <f>IF(IFERROR(LARGE(집계!$U$7:$U$506,A31),-1)&lt;0,"",MATCH(LARGE(집계!$U$7:$U$506,A31),집계!$U$7:$U$506,0))</f>
        <v/>
      </c>
    </row>
    <row r="32">
      <c r="A32" s="19" t="n">
        <v>27</v>
      </c>
      <c r="B32" s="20">
        <f>IF($J32="","",INDEX(집계!$B$7:$B$506,$J32))</f>
        <v/>
      </c>
      <c r="C32" s="20">
        <f>IF($J32="","",INDEX(집계!$D$7:$D$506,$J32))</f>
        <v/>
      </c>
      <c r="D32" s="40">
        <f>IF($J32="","",INDEX(집계!$S$7:$S$506,$J32))</f>
        <v/>
      </c>
      <c r="E32" s="28">
        <f>IF($J32="","",INDEX(집계!$I$7:$I$506,$J32))</f>
        <v/>
      </c>
      <c r="F32" s="28">
        <f>IF($J32="","",INDEX(집계!$J$7:$J$506,$J32))</f>
        <v/>
      </c>
      <c r="G32" s="28">
        <f>IF($J32="","",INDEX(집계!$K$7:$K$506,$J32))</f>
        <v/>
      </c>
      <c r="H32" s="29">
        <f>IF($J32="","",INDEX(집계!$L$7:$L$506,$J32))</f>
        <v/>
      </c>
      <c r="I32" s="20">
        <f>IF($J32="","",IF(INDEX(집계!$T$7:$T$506,$J32)="","(미입력 - 코멘트 시트에 작성)",INDEX(집계!$T$7:$T$506,$J32)))</f>
        <v/>
      </c>
      <c r="J32" s="11">
        <f>IF(IFERROR(LARGE(집계!$U$7:$U$506,A32),-1)&lt;0,"",MATCH(LARGE(집계!$U$7:$U$506,A32),집계!$U$7:$U$506,0))</f>
        <v/>
      </c>
    </row>
    <row r="33">
      <c r="A33" s="19" t="n">
        <v>28</v>
      </c>
      <c r="B33" s="20">
        <f>IF($J33="","",INDEX(집계!$B$7:$B$506,$J33))</f>
        <v/>
      </c>
      <c r="C33" s="20">
        <f>IF($J33="","",INDEX(집계!$D$7:$D$506,$J33))</f>
        <v/>
      </c>
      <c r="D33" s="40">
        <f>IF($J33="","",INDEX(집계!$S$7:$S$506,$J33))</f>
        <v/>
      </c>
      <c r="E33" s="28">
        <f>IF($J33="","",INDEX(집계!$I$7:$I$506,$J33))</f>
        <v/>
      </c>
      <c r="F33" s="28">
        <f>IF($J33="","",INDEX(집계!$J$7:$J$506,$J33))</f>
        <v/>
      </c>
      <c r="G33" s="28">
        <f>IF($J33="","",INDEX(집계!$K$7:$K$506,$J33))</f>
        <v/>
      </c>
      <c r="H33" s="29">
        <f>IF($J33="","",INDEX(집계!$L$7:$L$506,$J33))</f>
        <v/>
      </c>
      <c r="I33" s="20">
        <f>IF($J33="","",IF(INDEX(집계!$T$7:$T$506,$J33)="","(미입력 - 코멘트 시트에 작성)",INDEX(집계!$T$7:$T$506,$J33)))</f>
        <v/>
      </c>
      <c r="J33" s="11">
        <f>IF(IFERROR(LARGE(집계!$U$7:$U$506,A33),-1)&lt;0,"",MATCH(LARGE(집계!$U$7:$U$506,A33),집계!$U$7:$U$506,0))</f>
        <v/>
      </c>
    </row>
    <row r="34">
      <c r="A34" s="19" t="n">
        <v>29</v>
      </c>
      <c r="B34" s="20">
        <f>IF($J34="","",INDEX(집계!$B$7:$B$506,$J34))</f>
        <v/>
      </c>
      <c r="C34" s="20">
        <f>IF($J34="","",INDEX(집계!$D$7:$D$506,$J34))</f>
        <v/>
      </c>
      <c r="D34" s="40">
        <f>IF($J34="","",INDEX(집계!$S$7:$S$506,$J34))</f>
        <v/>
      </c>
      <c r="E34" s="28">
        <f>IF($J34="","",INDEX(집계!$I$7:$I$506,$J34))</f>
        <v/>
      </c>
      <c r="F34" s="28">
        <f>IF($J34="","",INDEX(집계!$J$7:$J$506,$J34))</f>
        <v/>
      </c>
      <c r="G34" s="28">
        <f>IF($J34="","",INDEX(집계!$K$7:$K$506,$J34))</f>
        <v/>
      </c>
      <c r="H34" s="29">
        <f>IF($J34="","",INDEX(집계!$L$7:$L$506,$J34))</f>
        <v/>
      </c>
      <c r="I34" s="20">
        <f>IF($J34="","",IF(INDEX(집계!$T$7:$T$506,$J34)="","(미입력 - 코멘트 시트에 작성)",INDEX(집계!$T$7:$T$506,$J34)))</f>
        <v/>
      </c>
      <c r="J34" s="11">
        <f>IF(IFERROR(LARGE(집계!$U$7:$U$506,A34),-1)&lt;0,"",MATCH(LARGE(집계!$U$7:$U$506,A34),집계!$U$7:$U$506,0))</f>
        <v/>
      </c>
    </row>
    <row r="35">
      <c r="A35" s="19" t="n">
        <v>30</v>
      </c>
      <c r="B35" s="20">
        <f>IF($J35="","",INDEX(집계!$B$7:$B$506,$J35))</f>
        <v/>
      </c>
      <c r="C35" s="20">
        <f>IF($J35="","",INDEX(집계!$D$7:$D$506,$J35))</f>
        <v/>
      </c>
      <c r="D35" s="40">
        <f>IF($J35="","",INDEX(집계!$S$7:$S$506,$J35))</f>
        <v/>
      </c>
      <c r="E35" s="28">
        <f>IF($J35="","",INDEX(집계!$I$7:$I$506,$J35))</f>
        <v/>
      </c>
      <c r="F35" s="28">
        <f>IF($J35="","",INDEX(집계!$J$7:$J$506,$J35))</f>
        <v/>
      </c>
      <c r="G35" s="28">
        <f>IF($J35="","",INDEX(집계!$K$7:$K$506,$J35))</f>
        <v/>
      </c>
      <c r="H35" s="29">
        <f>IF($J35="","",INDEX(집계!$L$7:$L$506,$J35))</f>
        <v/>
      </c>
      <c r="I35" s="20">
        <f>IF($J35="","",IF(INDEX(집계!$T$7:$T$506,$J35)="","(미입력 - 코멘트 시트에 작성)",INDEX(집계!$T$7:$T$506,$J35)))</f>
        <v/>
      </c>
      <c r="J35" s="11">
        <f>IF(IFERROR(LARGE(집계!$U$7:$U$506,A35),-1)&lt;0,"",MATCH(LARGE(집계!$U$7:$U$506,A35),집계!$U$7:$U$506,0))</f>
        <v/>
      </c>
    </row>
  </sheetData>
  <conditionalFormatting sqref="D6:D35">
    <cfRule type="cellIs" priority="1" operator="equal" dxfId="5">
      <formula>"초과"</formula>
    </cfRule>
    <cfRule type="cellIs" priority="2" operator="equal" dxfId="6">
      <formula>"과소"</formula>
    </cfRule>
    <cfRule type="cellIs" priority="3" operator="equal" dxfId="7">
      <formula>"무예산집행"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</cols>
  <sheetData>
    <row r="1">
      <c r="A1" s="1" t="inlineStr">
        <is>
          <t>월별 추이 (예산 · 실적 · 전년실적)</t>
        </is>
      </c>
    </row>
    <row r="2">
      <c r="A2" s="2" t="inlineStr">
        <is>
          <t>대시보드 원천 데이터 · 기준월 이후 실적은 빈칸</t>
        </is>
      </c>
    </row>
    <row r="3">
      <c r="A3" s="42">
        <f>"기준: "&amp;설정!$C$6&amp;"년 · 단위: "&amp;설정!$C$11</f>
        <v/>
      </c>
    </row>
    <row r="5" ht="30" customHeight="1">
      <c r="A5" s="5" t="inlineStr">
        <is>
          <t>부서코드</t>
        </is>
      </c>
      <c r="B5" s="5" t="inlineStr">
        <is>
          <t>부서명</t>
        </is>
      </c>
      <c r="C5" s="5" t="inlineStr">
        <is>
          <t>구분</t>
        </is>
      </c>
      <c r="D5" s="49" t="n">
        <v>1</v>
      </c>
      <c r="E5" s="49" t="n">
        <v>2</v>
      </c>
      <c r="F5" s="49" t="n">
        <v>3</v>
      </c>
      <c r="G5" s="49" t="n">
        <v>4</v>
      </c>
      <c r="H5" s="49" t="n">
        <v>5</v>
      </c>
      <c r="I5" s="49" t="n">
        <v>6</v>
      </c>
      <c r="J5" s="49" t="n">
        <v>7</v>
      </c>
      <c r="K5" s="49" t="n">
        <v>8</v>
      </c>
      <c r="L5" s="49" t="n">
        <v>9</v>
      </c>
      <c r="M5" s="49" t="n">
        <v>10</v>
      </c>
      <c r="N5" s="49" t="n">
        <v>11</v>
      </c>
      <c r="O5" s="49" t="n">
        <v>12</v>
      </c>
      <c r="P5" s="5" t="inlineStr">
        <is>
          <t>합계</t>
        </is>
      </c>
    </row>
    <row r="6">
      <c r="A6" s="50" t="inlineStr">
        <is>
          <t>전체</t>
        </is>
      </c>
      <c r="B6" s="51" t="inlineStr">
        <is>
          <t>전사</t>
        </is>
      </c>
      <c r="C6" s="50" t="inlineStr">
        <is>
          <t>예산</t>
        </is>
      </c>
      <c r="D6" s="52">
        <f>SUMIFS(예산_원본!$G$5:$G$3004,예산_원본!$B$5:$B$3004,설정!$C$8,예산_원본!$U$5:$U$3004,설정!$C$6)*설정!$C$14</f>
        <v/>
      </c>
      <c r="E6" s="52">
        <f>SUMIFS(예산_원본!$H$5:$H$3004,예산_원본!$B$5:$B$3004,설정!$C$8,예산_원본!$U$5:$U$3004,설정!$C$6)*설정!$C$14</f>
        <v/>
      </c>
      <c r="F6" s="52">
        <f>SUMIFS(예산_원본!$I$5:$I$3004,예산_원본!$B$5:$B$3004,설정!$C$8,예산_원본!$U$5:$U$3004,설정!$C$6)*설정!$C$14</f>
        <v/>
      </c>
      <c r="G6" s="52">
        <f>SUMIFS(예산_원본!$J$5:$J$3004,예산_원본!$B$5:$B$3004,설정!$C$8,예산_원본!$U$5:$U$3004,설정!$C$6)*설정!$C$14</f>
        <v/>
      </c>
      <c r="H6" s="52">
        <f>SUMIFS(예산_원본!$K$5:$K$3004,예산_원본!$B$5:$B$3004,설정!$C$8,예산_원본!$U$5:$U$3004,설정!$C$6)*설정!$C$14</f>
        <v/>
      </c>
      <c r="I6" s="52">
        <f>SUMIFS(예산_원본!$L$5:$L$3004,예산_원본!$B$5:$B$3004,설정!$C$8,예산_원본!$U$5:$U$3004,설정!$C$6)*설정!$C$14</f>
        <v/>
      </c>
      <c r="J6" s="52">
        <f>SUMIFS(예산_원본!$M$5:$M$3004,예산_원본!$B$5:$B$3004,설정!$C$8,예산_원본!$U$5:$U$3004,설정!$C$6)*설정!$C$14</f>
        <v/>
      </c>
      <c r="K6" s="52">
        <f>SUMIFS(예산_원본!$N$5:$N$3004,예산_원본!$B$5:$B$3004,설정!$C$8,예산_원본!$U$5:$U$3004,설정!$C$6)*설정!$C$14</f>
        <v/>
      </c>
      <c r="L6" s="52">
        <f>SUMIFS(예산_원본!$O$5:$O$3004,예산_원본!$B$5:$B$3004,설정!$C$8,예산_원본!$U$5:$U$3004,설정!$C$6)*설정!$C$14</f>
        <v/>
      </c>
      <c r="M6" s="52">
        <f>SUMIFS(예산_원본!$P$5:$P$3004,예산_원본!$B$5:$B$3004,설정!$C$8,예산_원본!$U$5:$U$3004,설정!$C$6)*설정!$C$14</f>
        <v/>
      </c>
      <c r="N6" s="52">
        <f>SUMIFS(예산_원본!$Q$5:$Q$3004,예산_원본!$B$5:$B$3004,설정!$C$8,예산_원본!$U$5:$U$3004,설정!$C$6)*설정!$C$14</f>
        <v/>
      </c>
      <c r="O6" s="52">
        <f>SUMIFS(예산_원본!$R$5:$R$3004,예산_원본!$B$5:$B$3004,설정!$C$8,예산_원본!$U$5:$U$3004,설정!$C$6)*설정!$C$14</f>
        <v/>
      </c>
      <c r="P6" s="53">
        <f>SUM(D6:O6)</f>
        <v/>
      </c>
    </row>
    <row r="7">
      <c r="A7" s="50" t="inlineStr">
        <is>
          <t>전체</t>
        </is>
      </c>
      <c r="B7" s="51" t="inlineStr">
        <is>
          <t>전사</t>
        </is>
      </c>
      <c r="C7" s="50" t="inlineStr">
        <is>
          <t>실적</t>
        </is>
      </c>
      <c r="D7" s="52">
        <f>IF(D$5&gt;설정!$C$7,"",SUMIFS(실적_원본!$N$5:$N$100000,실적_원본!$L$5:$L$100000,설정!$C$6,실적_원본!$M$5:$M$100000,D$5))</f>
        <v/>
      </c>
      <c r="E7" s="52">
        <f>IF(E$5&gt;설정!$C$7,"",SUMIFS(실적_원본!$N$5:$N$100000,실적_원본!$L$5:$L$100000,설정!$C$6,실적_원본!$M$5:$M$100000,E$5))</f>
        <v/>
      </c>
      <c r="F7" s="52">
        <f>IF(F$5&gt;설정!$C$7,"",SUMIFS(실적_원본!$N$5:$N$100000,실적_원본!$L$5:$L$100000,설정!$C$6,실적_원본!$M$5:$M$100000,F$5))</f>
        <v/>
      </c>
      <c r="G7" s="52">
        <f>IF(G$5&gt;설정!$C$7,"",SUMIFS(실적_원본!$N$5:$N$100000,실적_원본!$L$5:$L$100000,설정!$C$6,실적_원본!$M$5:$M$100000,G$5))</f>
        <v/>
      </c>
      <c r="H7" s="52">
        <f>IF(H$5&gt;설정!$C$7,"",SUMIFS(실적_원본!$N$5:$N$100000,실적_원본!$L$5:$L$100000,설정!$C$6,실적_원본!$M$5:$M$100000,H$5))</f>
        <v/>
      </c>
      <c r="I7" s="52">
        <f>IF(I$5&gt;설정!$C$7,"",SUMIFS(실적_원본!$N$5:$N$100000,실적_원본!$L$5:$L$100000,설정!$C$6,실적_원본!$M$5:$M$100000,I$5))</f>
        <v/>
      </c>
      <c r="J7" s="52">
        <f>IF(J$5&gt;설정!$C$7,"",SUMIFS(실적_원본!$N$5:$N$100000,실적_원본!$L$5:$L$100000,설정!$C$6,실적_원본!$M$5:$M$100000,J$5))</f>
        <v/>
      </c>
      <c r="K7" s="52">
        <f>IF(K$5&gt;설정!$C$7,"",SUMIFS(실적_원본!$N$5:$N$100000,실적_원본!$L$5:$L$100000,설정!$C$6,실적_원본!$M$5:$M$100000,K$5))</f>
        <v/>
      </c>
      <c r="L7" s="52">
        <f>IF(L$5&gt;설정!$C$7,"",SUMIFS(실적_원본!$N$5:$N$100000,실적_원본!$L$5:$L$100000,설정!$C$6,실적_원본!$M$5:$M$100000,L$5))</f>
        <v/>
      </c>
      <c r="M7" s="52">
        <f>IF(M$5&gt;설정!$C$7,"",SUMIFS(실적_원본!$N$5:$N$100000,실적_원본!$L$5:$L$100000,설정!$C$6,실적_원본!$M$5:$M$100000,M$5))</f>
        <v/>
      </c>
      <c r="N7" s="52">
        <f>IF(N$5&gt;설정!$C$7,"",SUMIFS(실적_원본!$N$5:$N$100000,실적_원본!$L$5:$L$100000,설정!$C$6,실적_원본!$M$5:$M$100000,N$5))</f>
        <v/>
      </c>
      <c r="O7" s="52">
        <f>IF(O$5&gt;설정!$C$7,"",SUMIFS(실적_원본!$N$5:$N$100000,실적_원본!$L$5:$L$100000,설정!$C$6,실적_원본!$M$5:$M$100000,O$5))</f>
        <v/>
      </c>
      <c r="P7" s="53">
        <f>SUM(D7:O7)</f>
        <v/>
      </c>
    </row>
    <row r="8">
      <c r="A8" s="50" t="inlineStr">
        <is>
          <t>전체</t>
        </is>
      </c>
      <c r="B8" s="51" t="inlineStr">
        <is>
          <t>전사</t>
        </is>
      </c>
      <c r="C8" s="50" t="inlineStr">
        <is>
          <t>전년실적</t>
        </is>
      </c>
      <c r="D8" s="52">
        <f>SUMIFS(실적_원본!$N$5:$N$100000,실적_원본!$L$5:$L$100000,설정!$C$6-1,실적_원본!$M$5:$M$100000,D$5)</f>
        <v/>
      </c>
      <c r="E8" s="52">
        <f>SUMIFS(실적_원본!$N$5:$N$100000,실적_원본!$L$5:$L$100000,설정!$C$6-1,실적_원본!$M$5:$M$100000,E$5)</f>
        <v/>
      </c>
      <c r="F8" s="52">
        <f>SUMIFS(실적_원본!$N$5:$N$100000,실적_원본!$L$5:$L$100000,설정!$C$6-1,실적_원본!$M$5:$M$100000,F$5)</f>
        <v/>
      </c>
      <c r="G8" s="52">
        <f>SUMIFS(실적_원본!$N$5:$N$100000,실적_원본!$L$5:$L$100000,설정!$C$6-1,실적_원본!$M$5:$M$100000,G$5)</f>
        <v/>
      </c>
      <c r="H8" s="52">
        <f>SUMIFS(실적_원본!$N$5:$N$100000,실적_원본!$L$5:$L$100000,설정!$C$6-1,실적_원본!$M$5:$M$100000,H$5)</f>
        <v/>
      </c>
      <c r="I8" s="52">
        <f>SUMIFS(실적_원본!$N$5:$N$100000,실적_원본!$L$5:$L$100000,설정!$C$6-1,실적_원본!$M$5:$M$100000,I$5)</f>
        <v/>
      </c>
      <c r="J8" s="52">
        <f>SUMIFS(실적_원본!$N$5:$N$100000,실적_원본!$L$5:$L$100000,설정!$C$6-1,실적_원본!$M$5:$M$100000,J$5)</f>
        <v/>
      </c>
      <c r="K8" s="52">
        <f>SUMIFS(실적_원본!$N$5:$N$100000,실적_원본!$L$5:$L$100000,설정!$C$6-1,실적_원본!$M$5:$M$100000,K$5)</f>
        <v/>
      </c>
      <c r="L8" s="52">
        <f>SUMIFS(실적_원본!$N$5:$N$100000,실적_원본!$L$5:$L$100000,설정!$C$6-1,실적_원본!$M$5:$M$100000,L$5)</f>
        <v/>
      </c>
      <c r="M8" s="52">
        <f>SUMIFS(실적_원본!$N$5:$N$100000,실적_원본!$L$5:$L$100000,설정!$C$6-1,실적_원본!$M$5:$M$100000,M$5)</f>
        <v/>
      </c>
      <c r="N8" s="52">
        <f>SUMIFS(실적_원본!$N$5:$N$100000,실적_원본!$L$5:$L$100000,설정!$C$6-1,실적_원본!$M$5:$M$100000,N$5)</f>
        <v/>
      </c>
      <c r="O8" s="52">
        <f>SUMIFS(실적_원본!$N$5:$N$100000,실적_원본!$L$5:$L$100000,설정!$C$6-1,실적_원본!$M$5:$M$100000,O$5)</f>
        <v/>
      </c>
      <c r="P8" s="53">
        <f>SUM(D8:O8)</f>
        <v/>
      </c>
    </row>
    <row r="9">
      <c r="A9" s="12" t="inlineStr">
        <is>
          <t>D100</t>
        </is>
      </c>
      <c r="B9" s="20">
        <f>IFERROR(INDEX(부서매핑!$D$5:$D$504,MATCH($A9,부서매핑!$C$5:$C$504,0)),"")</f>
        <v/>
      </c>
      <c r="C9" s="12" t="inlineStr">
        <is>
          <t>예산</t>
        </is>
      </c>
      <c r="D9" s="28">
        <f>SUMIFS(예산_원본!$G$5:$G$3004,예산_원본!$B$5:$B$3004,설정!$C$8,예산_원본!$U$5:$U$3004,설정!$C$6,예산_원본!$C$5:$C$3004,$A9)*설정!$C$14</f>
        <v/>
      </c>
      <c r="E9" s="28">
        <f>SUMIFS(예산_원본!$H$5:$H$3004,예산_원본!$B$5:$B$3004,설정!$C$8,예산_원본!$U$5:$U$3004,설정!$C$6,예산_원본!$C$5:$C$3004,$A9)*설정!$C$14</f>
        <v/>
      </c>
      <c r="F9" s="28">
        <f>SUMIFS(예산_원본!$I$5:$I$3004,예산_원본!$B$5:$B$3004,설정!$C$8,예산_원본!$U$5:$U$3004,설정!$C$6,예산_원본!$C$5:$C$3004,$A9)*설정!$C$14</f>
        <v/>
      </c>
      <c r="G9" s="28">
        <f>SUMIFS(예산_원본!$J$5:$J$3004,예산_원본!$B$5:$B$3004,설정!$C$8,예산_원본!$U$5:$U$3004,설정!$C$6,예산_원본!$C$5:$C$3004,$A9)*설정!$C$14</f>
        <v/>
      </c>
      <c r="H9" s="28">
        <f>SUMIFS(예산_원본!$K$5:$K$3004,예산_원본!$B$5:$B$3004,설정!$C$8,예산_원본!$U$5:$U$3004,설정!$C$6,예산_원본!$C$5:$C$3004,$A9)*설정!$C$14</f>
        <v/>
      </c>
      <c r="I9" s="28">
        <f>SUMIFS(예산_원본!$L$5:$L$3004,예산_원본!$B$5:$B$3004,설정!$C$8,예산_원본!$U$5:$U$3004,설정!$C$6,예산_원본!$C$5:$C$3004,$A9)*설정!$C$14</f>
        <v/>
      </c>
      <c r="J9" s="28">
        <f>SUMIFS(예산_원본!$M$5:$M$3004,예산_원본!$B$5:$B$3004,설정!$C$8,예산_원본!$U$5:$U$3004,설정!$C$6,예산_원본!$C$5:$C$3004,$A9)*설정!$C$14</f>
        <v/>
      </c>
      <c r="K9" s="28">
        <f>SUMIFS(예산_원본!$N$5:$N$3004,예산_원본!$B$5:$B$3004,설정!$C$8,예산_원본!$U$5:$U$3004,설정!$C$6,예산_원본!$C$5:$C$3004,$A9)*설정!$C$14</f>
        <v/>
      </c>
      <c r="L9" s="28">
        <f>SUMIFS(예산_원본!$O$5:$O$3004,예산_원본!$B$5:$B$3004,설정!$C$8,예산_원본!$U$5:$U$3004,설정!$C$6,예산_원본!$C$5:$C$3004,$A9)*설정!$C$14</f>
        <v/>
      </c>
      <c r="M9" s="28">
        <f>SUMIFS(예산_원본!$P$5:$P$3004,예산_원본!$B$5:$B$3004,설정!$C$8,예산_원본!$U$5:$U$3004,설정!$C$6,예산_원본!$C$5:$C$3004,$A9)*설정!$C$14</f>
        <v/>
      </c>
      <c r="N9" s="28">
        <f>SUMIFS(예산_원본!$Q$5:$Q$3004,예산_원본!$B$5:$B$3004,설정!$C$8,예산_원본!$U$5:$U$3004,설정!$C$6,예산_원본!$C$5:$C$3004,$A9)*설정!$C$14</f>
        <v/>
      </c>
      <c r="O9" s="28">
        <f>SUMIFS(예산_원본!$R$5:$R$3004,예산_원본!$B$5:$B$3004,설정!$C$8,예산_원본!$U$5:$U$3004,설정!$C$6,예산_원본!$C$5:$C$3004,$A9)*설정!$C$14</f>
        <v/>
      </c>
      <c r="P9" s="54">
        <f>SUM(D9:O9)</f>
        <v/>
      </c>
    </row>
    <row r="10">
      <c r="A10" s="12" t="inlineStr">
        <is>
          <t>D100</t>
        </is>
      </c>
      <c r="B10" s="20">
        <f>IFERROR(INDEX(부서매핑!$D$5:$D$504,MATCH($A10,부서매핑!$C$5:$C$504,0)),"")</f>
        <v/>
      </c>
      <c r="C10" s="12" t="inlineStr">
        <is>
          <t>실적</t>
        </is>
      </c>
      <c r="D10" s="28">
        <f>IF(D$5&gt;설정!$C$7,"",SUMIFS(실적_원본!$N$5:$N$100000,실적_원본!$L$5:$L$100000,설정!$C$6,실적_원본!$M$5:$M$100000,D$5,실적_원본!$J$5:$J$100000,$A10))</f>
        <v/>
      </c>
      <c r="E10" s="28">
        <f>IF(E$5&gt;설정!$C$7,"",SUMIFS(실적_원본!$N$5:$N$100000,실적_원본!$L$5:$L$100000,설정!$C$6,실적_원본!$M$5:$M$100000,E$5,실적_원본!$J$5:$J$100000,$A10))</f>
        <v/>
      </c>
      <c r="F10" s="28">
        <f>IF(F$5&gt;설정!$C$7,"",SUMIFS(실적_원본!$N$5:$N$100000,실적_원본!$L$5:$L$100000,설정!$C$6,실적_원본!$M$5:$M$100000,F$5,실적_원본!$J$5:$J$100000,$A10))</f>
        <v/>
      </c>
      <c r="G10" s="28">
        <f>IF(G$5&gt;설정!$C$7,"",SUMIFS(실적_원본!$N$5:$N$100000,실적_원본!$L$5:$L$100000,설정!$C$6,실적_원본!$M$5:$M$100000,G$5,실적_원본!$J$5:$J$100000,$A10))</f>
        <v/>
      </c>
      <c r="H10" s="28">
        <f>IF(H$5&gt;설정!$C$7,"",SUMIFS(실적_원본!$N$5:$N$100000,실적_원본!$L$5:$L$100000,설정!$C$6,실적_원본!$M$5:$M$100000,H$5,실적_원본!$J$5:$J$100000,$A10))</f>
        <v/>
      </c>
      <c r="I10" s="28">
        <f>IF(I$5&gt;설정!$C$7,"",SUMIFS(실적_원본!$N$5:$N$100000,실적_원본!$L$5:$L$100000,설정!$C$6,실적_원본!$M$5:$M$100000,I$5,실적_원본!$J$5:$J$100000,$A10))</f>
        <v/>
      </c>
      <c r="J10" s="28">
        <f>IF(J$5&gt;설정!$C$7,"",SUMIFS(실적_원본!$N$5:$N$100000,실적_원본!$L$5:$L$100000,설정!$C$6,실적_원본!$M$5:$M$100000,J$5,실적_원본!$J$5:$J$100000,$A10))</f>
        <v/>
      </c>
      <c r="K10" s="28">
        <f>IF(K$5&gt;설정!$C$7,"",SUMIFS(실적_원본!$N$5:$N$100000,실적_원본!$L$5:$L$100000,설정!$C$6,실적_원본!$M$5:$M$100000,K$5,실적_원본!$J$5:$J$100000,$A10))</f>
        <v/>
      </c>
      <c r="L10" s="28">
        <f>IF(L$5&gt;설정!$C$7,"",SUMIFS(실적_원본!$N$5:$N$100000,실적_원본!$L$5:$L$100000,설정!$C$6,실적_원본!$M$5:$M$100000,L$5,실적_원본!$J$5:$J$100000,$A10))</f>
        <v/>
      </c>
      <c r="M10" s="28">
        <f>IF(M$5&gt;설정!$C$7,"",SUMIFS(실적_원본!$N$5:$N$100000,실적_원본!$L$5:$L$100000,설정!$C$6,실적_원본!$M$5:$M$100000,M$5,실적_원본!$J$5:$J$100000,$A10))</f>
        <v/>
      </c>
      <c r="N10" s="28">
        <f>IF(N$5&gt;설정!$C$7,"",SUMIFS(실적_원본!$N$5:$N$100000,실적_원본!$L$5:$L$100000,설정!$C$6,실적_원본!$M$5:$M$100000,N$5,실적_원본!$J$5:$J$100000,$A10))</f>
        <v/>
      </c>
      <c r="O10" s="28">
        <f>IF(O$5&gt;설정!$C$7,"",SUMIFS(실적_원본!$N$5:$N$100000,실적_원본!$L$5:$L$100000,설정!$C$6,실적_원본!$M$5:$M$100000,O$5,실적_원본!$J$5:$J$100000,$A10))</f>
        <v/>
      </c>
      <c r="P10" s="54">
        <f>SUM(D10:O10)</f>
        <v/>
      </c>
    </row>
    <row r="11">
      <c r="A11" s="12" t="inlineStr">
        <is>
          <t>D100</t>
        </is>
      </c>
      <c r="B11" s="20">
        <f>IFERROR(INDEX(부서매핑!$D$5:$D$504,MATCH($A11,부서매핑!$C$5:$C$504,0)),"")</f>
        <v/>
      </c>
      <c r="C11" s="12" t="inlineStr">
        <is>
          <t>전년실적</t>
        </is>
      </c>
      <c r="D11" s="28">
        <f>SUMIFS(실적_원본!$N$5:$N$100000,실적_원본!$L$5:$L$100000,설정!$C$6-1,실적_원본!$M$5:$M$100000,D$5,실적_원본!$J$5:$J$100000,$A11)</f>
        <v/>
      </c>
      <c r="E11" s="28">
        <f>SUMIFS(실적_원본!$N$5:$N$100000,실적_원본!$L$5:$L$100000,설정!$C$6-1,실적_원본!$M$5:$M$100000,E$5,실적_원본!$J$5:$J$100000,$A11)</f>
        <v/>
      </c>
      <c r="F11" s="28">
        <f>SUMIFS(실적_원본!$N$5:$N$100000,실적_원본!$L$5:$L$100000,설정!$C$6-1,실적_원본!$M$5:$M$100000,F$5,실적_원본!$J$5:$J$100000,$A11)</f>
        <v/>
      </c>
      <c r="G11" s="28">
        <f>SUMIFS(실적_원본!$N$5:$N$100000,실적_원본!$L$5:$L$100000,설정!$C$6-1,실적_원본!$M$5:$M$100000,G$5,실적_원본!$J$5:$J$100000,$A11)</f>
        <v/>
      </c>
      <c r="H11" s="28">
        <f>SUMIFS(실적_원본!$N$5:$N$100000,실적_원본!$L$5:$L$100000,설정!$C$6-1,실적_원본!$M$5:$M$100000,H$5,실적_원본!$J$5:$J$100000,$A11)</f>
        <v/>
      </c>
      <c r="I11" s="28">
        <f>SUMIFS(실적_원본!$N$5:$N$100000,실적_원본!$L$5:$L$100000,설정!$C$6-1,실적_원본!$M$5:$M$100000,I$5,실적_원본!$J$5:$J$100000,$A11)</f>
        <v/>
      </c>
      <c r="J11" s="28">
        <f>SUMIFS(실적_원본!$N$5:$N$100000,실적_원본!$L$5:$L$100000,설정!$C$6-1,실적_원본!$M$5:$M$100000,J$5,실적_원본!$J$5:$J$100000,$A11)</f>
        <v/>
      </c>
      <c r="K11" s="28">
        <f>SUMIFS(실적_원본!$N$5:$N$100000,실적_원본!$L$5:$L$100000,설정!$C$6-1,실적_원본!$M$5:$M$100000,K$5,실적_원본!$J$5:$J$100000,$A11)</f>
        <v/>
      </c>
      <c r="L11" s="28">
        <f>SUMIFS(실적_원본!$N$5:$N$100000,실적_원본!$L$5:$L$100000,설정!$C$6-1,실적_원본!$M$5:$M$100000,L$5,실적_원본!$J$5:$J$100000,$A11)</f>
        <v/>
      </c>
      <c r="M11" s="28">
        <f>SUMIFS(실적_원본!$N$5:$N$100000,실적_원본!$L$5:$L$100000,설정!$C$6-1,실적_원본!$M$5:$M$100000,M$5,실적_원본!$J$5:$J$100000,$A11)</f>
        <v/>
      </c>
      <c r="N11" s="28">
        <f>SUMIFS(실적_원본!$N$5:$N$100000,실적_원본!$L$5:$L$100000,설정!$C$6-1,실적_원본!$M$5:$M$100000,N$5,실적_원본!$J$5:$J$100000,$A11)</f>
        <v/>
      </c>
      <c r="O11" s="28">
        <f>SUMIFS(실적_원본!$N$5:$N$100000,실적_원본!$L$5:$L$100000,설정!$C$6-1,실적_원본!$M$5:$M$100000,O$5,실적_원본!$J$5:$J$100000,$A11)</f>
        <v/>
      </c>
      <c r="P11" s="54">
        <f>SUM(D11:O11)</f>
        <v/>
      </c>
    </row>
    <row r="12">
      <c r="A12" s="12" t="inlineStr">
        <is>
          <t>D200</t>
        </is>
      </c>
      <c r="B12" s="20">
        <f>IFERROR(INDEX(부서매핑!$D$5:$D$504,MATCH($A12,부서매핑!$C$5:$C$504,0)),"")</f>
        <v/>
      </c>
      <c r="C12" s="12" t="inlineStr">
        <is>
          <t>예산</t>
        </is>
      </c>
      <c r="D12" s="28">
        <f>SUMIFS(예산_원본!$G$5:$G$3004,예산_원본!$B$5:$B$3004,설정!$C$8,예산_원본!$U$5:$U$3004,설정!$C$6,예산_원본!$C$5:$C$3004,$A12)*설정!$C$14</f>
        <v/>
      </c>
      <c r="E12" s="28">
        <f>SUMIFS(예산_원본!$H$5:$H$3004,예산_원본!$B$5:$B$3004,설정!$C$8,예산_원본!$U$5:$U$3004,설정!$C$6,예산_원본!$C$5:$C$3004,$A12)*설정!$C$14</f>
        <v/>
      </c>
      <c r="F12" s="28">
        <f>SUMIFS(예산_원본!$I$5:$I$3004,예산_원본!$B$5:$B$3004,설정!$C$8,예산_원본!$U$5:$U$3004,설정!$C$6,예산_원본!$C$5:$C$3004,$A12)*설정!$C$14</f>
        <v/>
      </c>
      <c r="G12" s="28">
        <f>SUMIFS(예산_원본!$J$5:$J$3004,예산_원본!$B$5:$B$3004,설정!$C$8,예산_원본!$U$5:$U$3004,설정!$C$6,예산_원본!$C$5:$C$3004,$A12)*설정!$C$14</f>
        <v/>
      </c>
      <c r="H12" s="28">
        <f>SUMIFS(예산_원본!$K$5:$K$3004,예산_원본!$B$5:$B$3004,설정!$C$8,예산_원본!$U$5:$U$3004,설정!$C$6,예산_원본!$C$5:$C$3004,$A12)*설정!$C$14</f>
        <v/>
      </c>
      <c r="I12" s="28">
        <f>SUMIFS(예산_원본!$L$5:$L$3004,예산_원본!$B$5:$B$3004,설정!$C$8,예산_원본!$U$5:$U$3004,설정!$C$6,예산_원본!$C$5:$C$3004,$A12)*설정!$C$14</f>
        <v/>
      </c>
      <c r="J12" s="28">
        <f>SUMIFS(예산_원본!$M$5:$M$3004,예산_원본!$B$5:$B$3004,설정!$C$8,예산_원본!$U$5:$U$3004,설정!$C$6,예산_원본!$C$5:$C$3004,$A12)*설정!$C$14</f>
        <v/>
      </c>
      <c r="K12" s="28">
        <f>SUMIFS(예산_원본!$N$5:$N$3004,예산_원본!$B$5:$B$3004,설정!$C$8,예산_원본!$U$5:$U$3004,설정!$C$6,예산_원본!$C$5:$C$3004,$A12)*설정!$C$14</f>
        <v/>
      </c>
      <c r="L12" s="28">
        <f>SUMIFS(예산_원본!$O$5:$O$3004,예산_원본!$B$5:$B$3004,설정!$C$8,예산_원본!$U$5:$U$3004,설정!$C$6,예산_원본!$C$5:$C$3004,$A12)*설정!$C$14</f>
        <v/>
      </c>
      <c r="M12" s="28">
        <f>SUMIFS(예산_원본!$P$5:$P$3004,예산_원본!$B$5:$B$3004,설정!$C$8,예산_원본!$U$5:$U$3004,설정!$C$6,예산_원본!$C$5:$C$3004,$A12)*설정!$C$14</f>
        <v/>
      </c>
      <c r="N12" s="28">
        <f>SUMIFS(예산_원본!$Q$5:$Q$3004,예산_원본!$B$5:$B$3004,설정!$C$8,예산_원본!$U$5:$U$3004,설정!$C$6,예산_원본!$C$5:$C$3004,$A12)*설정!$C$14</f>
        <v/>
      </c>
      <c r="O12" s="28">
        <f>SUMIFS(예산_원본!$R$5:$R$3004,예산_원본!$B$5:$B$3004,설정!$C$8,예산_원본!$U$5:$U$3004,설정!$C$6,예산_원본!$C$5:$C$3004,$A12)*설정!$C$14</f>
        <v/>
      </c>
      <c r="P12" s="54">
        <f>SUM(D12:O12)</f>
        <v/>
      </c>
    </row>
    <row r="13">
      <c r="A13" s="12" t="inlineStr">
        <is>
          <t>D200</t>
        </is>
      </c>
      <c r="B13" s="20">
        <f>IFERROR(INDEX(부서매핑!$D$5:$D$504,MATCH($A13,부서매핑!$C$5:$C$504,0)),"")</f>
        <v/>
      </c>
      <c r="C13" s="12" t="inlineStr">
        <is>
          <t>실적</t>
        </is>
      </c>
      <c r="D13" s="28">
        <f>IF(D$5&gt;설정!$C$7,"",SUMIFS(실적_원본!$N$5:$N$100000,실적_원본!$L$5:$L$100000,설정!$C$6,실적_원본!$M$5:$M$100000,D$5,실적_원본!$J$5:$J$100000,$A13))</f>
        <v/>
      </c>
      <c r="E13" s="28">
        <f>IF(E$5&gt;설정!$C$7,"",SUMIFS(실적_원본!$N$5:$N$100000,실적_원본!$L$5:$L$100000,설정!$C$6,실적_원본!$M$5:$M$100000,E$5,실적_원본!$J$5:$J$100000,$A13))</f>
        <v/>
      </c>
      <c r="F13" s="28">
        <f>IF(F$5&gt;설정!$C$7,"",SUMIFS(실적_원본!$N$5:$N$100000,실적_원본!$L$5:$L$100000,설정!$C$6,실적_원본!$M$5:$M$100000,F$5,실적_원본!$J$5:$J$100000,$A13))</f>
        <v/>
      </c>
      <c r="G13" s="28">
        <f>IF(G$5&gt;설정!$C$7,"",SUMIFS(실적_원본!$N$5:$N$100000,실적_원본!$L$5:$L$100000,설정!$C$6,실적_원본!$M$5:$M$100000,G$5,실적_원본!$J$5:$J$100000,$A13))</f>
        <v/>
      </c>
      <c r="H13" s="28">
        <f>IF(H$5&gt;설정!$C$7,"",SUMIFS(실적_원본!$N$5:$N$100000,실적_원본!$L$5:$L$100000,설정!$C$6,실적_원본!$M$5:$M$100000,H$5,실적_원본!$J$5:$J$100000,$A13))</f>
        <v/>
      </c>
      <c r="I13" s="28">
        <f>IF(I$5&gt;설정!$C$7,"",SUMIFS(실적_원본!$N$5:$N$100000,실적_원본!$L$5:$L$100000,설정!$C$6,실적_원본!$M$5:$M$100000,I$5,실적_원본!$J$5:$J$100000,$A13))</f>
        <v/>
      </c>
      <c r="J13" s="28">
        <f>IF(J$5&gt;설정!$C$7,"",SUMIFS(실적_원본!$N$5:$N$100000,실적_원본!$L$5:$L$100000,설정!$C$6,실적_원본!$M$5:$M$100000,J$5,실적_원본!$J$5:$J$100000,$A13))</f>
        <v/>
      </c>
      <c r="K13" s="28">
        <f>IF(K$5&gt;설정!$C$7,"",SUMIFS(실적_원본!$N$5:$N$100000,실적_원본!$L$5:$L$100000,설정!$C$6,실적_원본!$M$5:$M$100000,K$5,실적_원본!$J$5:$J$100000,$A13))</f>
        <v/>
      </c>
      <c r="L13" s="28">
        <f>IF(L$5&gt;설정!$C$7,"",SUMIFS(실적_원본!$N$5:$N$100000,실적_원본!$L$5:$L$100000,설정!$C$6,실적_원본!$M$5:$M$100000,L$5,실적_원본!$J$5:$J$100000,$A13))</f>
        <v/>
      </c>
      <c r="M13" s="28">
        <f>IF(M$5&gt;설정!$C$7,"",SUMIFS(실적_원본!$N$5:$N$100000,실적_원본!$L$5:$L$100000,설정!$C$6,실적_원본!$M$5:$M$100000,M$5,실적_원본!$J$5:$J$100000,$A13))</f>
        <v/>
      </c>
      <c r="N13" s="28">
        <f>IF(N$5&gt;설정!$C$7,"",SUMIFS(실적_원본!$N$5:$N$100000,실적_원본!$L$5:$L$100000,설정!$C$6,실적_원본!$M$5:$M$100000,N$5,실적_원본!$J$5:$J$100000,$A13))</f>
        <v/>
      </c>
      <c r="O13" s="28">
        <f>IF(O$5&gt;설정!$C$7,"",SUMIFS(실적_원본!$N$5:$N$100000,실적_원본!$L$5:$L$100000,설정!$C$6,실적_원본!$M$5:$M$100000,O$5,실적_원본!$J$5:$J$100000,$A13))</f>
        <v/>
      </c>
      <c r="P13" s="54">
        <f>SUM(D13:O13)</f>
        <v/>
      </c>
    </row>
    <row r="14">
      <c r="A14" s="12" t="inlineStr">
        <is>
          <t>D200</t>
        </is>
      </c>
      <c r="B14" s="20">
        <f>IFERROR(INDEX(부서매핑!$D$5:$D$504,MATCH($A14,부서매핑!$C$5:$C$504,0)),"")</f>
        <v/>
      </c>
      <c r="C14" s="12" t="inlineStr">
        <is>
          <t>전년실적</t>
        </is>
      </c>
      <c r="D14" s="28">
        <f>SUMIFS(실적_원본!$N$5:$N$100000,실적_원본!$L$5:$L$100000,설정!$C$6-1,실적_원본!$M$5:$M$100000,D$5,실적_원본!$J$5:$J$100000,$A14)</f>
        <v/>
      </c>
      <c r="E14" s="28">
        <f>SUMIFS(실적_원본!$N$5:$N$100000,실적_원본!$L$5:$L$100000,설정!$C$6-1,실적_원본!$M$5:$M$100000,E$5,실적_원본!$J$5:$J$100000,$A14)</f>
        <v/>
      </c>
      <c r="F14" s="28">
        <f>SUMIFS(실적_원본!$N$5:$N$100000,실적_원본!$L$5:$L$100000,설정!$C$6-1,실적_원본!$M$5:$M$100000,F$5,실적_원본!$J$5:$J$100000,$A14)</f>
        <v/>
      </c>
      <c r="G14" s="28">
        <f>SUMIFS(실적_원본!$N$5:$N$100000,실적_원본!$L$5:$L$100000,설정!$C$6-1,실적_원본!$M$5:$M$100000,G$5,실적_원본!$J$5:$J$100000,$A14)</f>
        <v/>
      </c>
      <c r="H14" s="28">
        <f>SUMIFS(실적_원본!$N$5:$N$100000,실적_원본!$L$5:$L$100000,설정!$C$6-1,실적_원본!$M$5:$M$100000,H$5,실적_원본!$J$5:$J$100000,$A14)</f>
        <v/>
      </c>
      <c r="I14" s="28">
        <f>SUMIFS(실적_원본!$N$5:$N$100000,실적_원본!$L$5:$L$100000,설정!$C$6-1,실적_원본!$M$5:$M$100000,I$5,실적_원본!$J$5:$J$100000,$A14)</f>
        <v/>
      </c>
      <c r="J14" s="28">
        <f>SUMIFS(실적_원본!$N$5:$N$100000,실적_원본!$L$5:$L$100000,설정!$C$6-1,실적_원본!$M$5:$M$100000,J$5,실적_원본!$J$5:$J$100000,$A14)</f>
        <v/>
      </c>
      <c r="K14" s="28">
        <f>SUMIFS(실적_원본!$N$5:$N$100000,실적_원본!$L$5:$L$100000,설정!$C$6-1,실적_원본!$M$5:$M$100000,K$5,실적_원본!$J$5:$J$100000,$A14)</f>
        <v/>
      </c>
      <c r="L14" s="28">
        <f>SUMIFS(실적_원본!$N$5:$N$100000,실적_원본!$L$5:$L$100000,설정!$C$6-1,실적_원본!$M$5:$M$100000,L$5,실적_원본!$J$5:$J$100000,$A14)</f>
        <v/>
      </c>
      <c r="M14" s="28">
        <f>SUMIFS(실적_원본!$N$5:$N$100000,실적_원본!$L$5:$L$100000,설정!$C$6-1,실적_원본!$M$5:$M$100000,M$5,실적_원본!$J$5:$J$100000,$A14)</f>
        <v/>
      </c>
      <c r="N14" s="28">
        <f>SUMIFS(실적_원본!$N$5:$N$100000,실적_원본!$L$5:$L$100000,설정!$C$6-1,실적_원본!$M$5:$M$100000,N$5,실적_원본!$J$5:$J$100000,$A14)</f>
        <v/>
      </c>
      <c r="O14" s="28">
        <f>SUMIFS(실적_원본!$N$5:$N$100000,실적_원본!$L$5:$L$100000,설정!$C$6-1,실적_원본!$M$5:$M$100000,O$5,실적_원본!$J$5:$J$100000,$A14)</f>
        <v/>
      </c>
      <c r="P14" s="54">
        <f>SUM(D14:O14)</f>
        <v/>
      </c>
    </row>
    <row r="15">
      <c r="A15" s="12" t="inlineStr">
        <is>
          <t>D300</t>
        </is>
      </c>
      <c r="B15" s="20">
        <f>IFERROR(INDEX(부서매핑!$D$5:$D$504,MATCH($A15,부서매핑!$C$5:$C$504,0)),"")</f>
        <v/>
      </c>
      <c r="C15" s="12" t="inlineStr">
        <is>
          <t>예산</t>
        </is>
      </c>
      <c r="D15" s="28">
        <f>SUMIFS(예산_원본!$G$5:$G$3004,예산_원본!$B$5:$B$3004,설정!$C$8,예산_원본!$U$5:$U$3004,설정!$C$6,예산_원본!$C$5:$C$3004,$A15)*설정!$C$14</f>
        <v/>
      </c>
      <c r="E15" s="28">
        <f>SUMIFS(예산_원본!$H$5:$H$3004,예산_원본!$B$5:$B$3004,설정!$C$8,예산_원본!$U$5:$U$3004,설정!$C$6,예산_원본!$C$5:$C$3004,$A15)*설정!$C$14</f>
        <v/>
      </c>
      <c r="F15" s="28">
        <f>SUMIFS(예산_원본!$I$5:$I$3004,예산_원본!$B$5:$B$3004,설정!$C$8,예산_원본!$U$5:$U$3004,설정!$C$6,예산_원본!$C$5:$C$3004,$A15)*설정!$C$14</f>
        <v/>
      </c>
      <c r="G15" s="28">
        <f>SUMIFS(예산_원본!$J$5:$J$3004,예산_원본!$B$5:$B$3004,설정!$C$8,예산_원본!$U$5:$U$3004,설정!$C$6,예산_원본!$C$5:$C$3004,$A15)*설정!$C$14</f>
        <v/>
      </c>
      <c r="H15" s="28">
        <f>SUMIFS(예산_원본!$K$5:$K$3004,예산_원본!$B$5:$B$3004,설정!$C$8,예산_원본!$U$5:$U$3004,설정!$C$6,예산_원본!$C$5:$C$3004,$A15)*설정!$C$14</f>
        <v/>
      </c>
      <c r="I15" s="28">
        <f>SUMIFS(예산_원본!$L$5:$L$3004,예산_원본!$B$5:$B$3004,설정!$C$8,예산_원본!$U$5:$U$3004,설정!$C$6,예산_원본!$C$5:$C$3004,$A15)*설정!$C$14</f>
        <v/>
      </c>
      <c r="J15" s="28">
        <f>SUMIFS(예산_원본!$M$5:$M$3004,예산_원본!$B$5:$B$3004,설정!$C$8,예산_원본!$U$5:$U$3004,설정!$C$6,예산_원본!$C$5:$C$3004,$A15)*설정!$C$14</f>
        <v/>
      </c>
      <c r="K15" s="28">
        <f>SUMIFS(예산_원본!$N$5:$N$3004,예산_원본!$B$5:$B$3004,설정!$C$8,예산_원본!$U$5:$U$3004,설정!$C$6,예산_원본!$C$5:$C$3004,$A15)*설정!$C$14</f>
        <v/>
      </c>
      <c r="L15" s="28">
        <f>SUMIFS(예산_원본!$O$5:$O$3004,예산_원본!$B$5:$B$3004,설정!$C$8,예산_원본!$U$5:$U$3004,설정!$C$6,예산_원본!$C$5:$C$3004,$A15)*설정!$C$14</f>
        <v/>
      </c>
      <c r="M15" s="28">
        <f>SUMIFS(예산_원본!$P$5:$P$3004,예산_원본!$B$5:$B$3004,설정!$C$8,예산_원본!$U$5:$U$3004,설정!$C$6,예산_원본!$C$5:$C$3004,$A15)*설정!$C$14</f>
        <v/>
      </c>
      <c r="N15" s="28">
        <f>SUMIFS(예산_원본!$Q$5:$Q$3004,예산_원본!$B$5:$B$3004,설정!$C$8,예산_원본!$U$5:$U$3004,설정!$C$6,예산_원본!$C$5:$C$3004,$A15)*설정!$C$14</f>
        <v/>
      </c>
      <c r="O15" s="28">
        <f>SUMIFS(예산_원본!$R$5:$R$3004,예산_원본!$B$5:$B$3004,설정!$C$8,예산_원본!$U$5:$U$3004,설정!$C$6,예산_원본!$C$5:$C$3004,$A15)*설정!$C$14</f>
        <v/>
      </c>
      <c r="P15" s="54">
        <f>SUM(D15:O15)</f>
        <v/>
      </c>
    </row>
    <row r="16">
      <c r="A16" s="12" t="inlineStr">
        <is>
          <t>D300</t>
        </is>
      </c>
      <c r="B16" s="20">
        <f>IFERROR(INDEX(부서매핑!$D$5:$D$504,MATCH($A16,부서매핑!$C$5:$C$504,0)),"")</f>
        <v/>
      </c>
      <c r="C16" s="12" t="inlineStr">
        <is>
          <t>실적</t>
        </is>
      </c>
      <c r="D16" s="28">
        <f>IF(D$5&gt;설정!$C$7,"",SUMIFS(실적_원본!$N$5:$N$100000,실적_원본!$L$5:$L$100000,설정!$C$6,실적_원본!$M$5:$M$100000,D$5,실적_원본!$J$5:$J$100000,$A16))</f>
        <v/>
      </c>
      <c r="E16" s="28">
        <f>IF(E$5&gt;설정!$C$7,"",SUMIFS(실적_원본!$N$5:$N$100000,실적_원본!$L$5:$L$100000,설정!$C$6,실적_원본!$M$5:$M$100000,E$5,실적_원본!$J$5:$J$100000,$A16))</f>
        <v/>
      </c>
      <c r="F16" s="28">
        <f>IF(F$5&gt;설정!$C$7,"",SUMIFS(실적_원본!$N$5:$N$100000,실적_원본!$L$5:$L$100000,설정!$C$6,실적_원본!$M$5:$M$100000,F$5,실적_원본!$J$5:$J$100000,$A16))</f>
        <v/>
      </c>
      <c r="G16" s="28">
        <f>IF(G$5&gt;설정!$C$7,"",SUMIFS(실적_원본!$N$5:$N$100000,실적_원본!$L$5:$L$100000,설정!$C$6,실적_원본!$M$5:$M$100000,G$5,실적_원본!$J$5:$J$100000,$A16))</f>
        <v/>
      </c>
      <c r="H16" s="28">
        <f>IF(H$5&gt;설정!$C$7,"",SUMIFS(실적_원본!$N$5:$N$100000,실적_원본!$L$5:$L$100000,설정!$C$6,실적_원본!$M$5:$M$100000,H$5,실적_원본!$J$5:$J$100000,$A16))</f>
        <v/>
      </c>
      <c r="I16" s="28">
        <f>IF(I$5&gt;설정!$C$7,"",SUMIFS(실적_원본!$N$5:$N$100000,실적_원본!$L$5:$L$100000,설정!$C$6,실적_원본!$M$5:$M$100000,I$5,실적_원본!$J$5:$J$100000,$A16))</f>
        <v/>
      </c>
      <c r="J16" s="28">
        <f>IF(J$5&gt;설정!$C$7,"",SUMIFS(실적_원본!$N$5:$N$100000,실적_원본!$L$5:$L$100000,설정!$C$6,실적_원본!$M$5:$M$100000,J$5,실적_원본!$J$5:$J$100000,$A16))</f>
        <v/>
      </c>
      <c r="K16" s="28">
        <f>IF(K$5&gt;설정!$C$7,"",SUMIFS(실적_원본!$N$5:$N$100000,실적_원본!$L$5:$L$100000,설정!$C$6,실적_원본!$M$5:$M$100000,K$5,실적_원본!$J$5:$J$100000,$A16))</f>
        <v/>
      </c>
      <c r="L16" s="28">
        <f>IF(L$5&gt;설정!$C$7,"",SUMIFS(실적_원본!$N$5:$N$100000,실적_원본!$L$5:$L$100000,설정!$C$6,실적_원본!$M$5:$M$100000,L$5,실적_원본!$J$5:$J$100000,$A16))</f>
        <v/>
      </c>
      <c r="M16" s="28">
        <f>IF(M$5&gt;설정!$C$7,"",SUMIFS(실적_원본!$N$5:$N$100000,실적_원본!$L$5:$L$100000,설정!$C$6,실적_원본!$M$5:$M$100000,M$5,실적_원본!$J$5:$J$100000,$A16))</f>
        <v/>
      </c>
      <c r="N16" s="28">
        <f>IF(N$5&gt;설정!$C$7,"",SUMIFS(실적_원본!$N$5:$N$100000,실적_원본!$L$5:$L$100000,설정!$C$6,실적_원본!$M$5:$M$100000,N$5,실적_원본!$J$5:$J$100000,$A16))</f>
        <v/>
      </c>
      <c r="O16" s="28">
        <f>IF(O$5&gt;설정!$C$7,"",SUMIFS(실적_원본!$N$5:$N$100000,실적_원본!$L$5:$L$100000,설정!$C$6,실적_원본!$M$5:$M$100000,O$5,실적_원본!$J$5:$J$100000,$A16))</f>
        <v/>
      </c>
      <c r="P16" s="54">
        <f>SUM(D16:O16)</f>
        <v/>
      </c>
    </row>
    <row r="17">
      <c r="A17" s="12" t="inlineStr">
        <is>
          <t>D300</t>
        </is>
      </c>
      <c r="B17" s="20">
        <f>IFERROR(INDEX(부서매핑!$D$5:$D$504,MATCH($A17,부서매핑!$C$5:$C$504,0)),"")</f>
        <v/>
      </c>
      <c r="C17" s="12" t="inlineStr">
        <is>
          <t>전년실적</t>
        </is>
      </c>
      <c r="D17" s="28">
        <f>SUMIFS(실적_원본!$N$5:$N$100000,실적_원본!$L$5:$L$100000,설정!$C$6-1,실적_원본!$M$5:$M$100000,D$5,실적_원본!$J$5:$J$100000,$A17)</f>
        <v/>
      </c>
      <c r="E17" s="28">
        <f>SUMIFS(실적_원본!$N$5:$N$100000,실적_원본!$L$5:$L$100000,설정!$C$6-1,실적_원본!$M$5:$M$100000,E$5,실적_원본!$J$5:$J$100000,$A17)</f>
        <v/>
      </c>
      <c r="F17" s="28">
        <f>SUMIFS(실적_원본!$N$5:$N$100000,실적_원본!$L$5:$L$100000,설정!$C$6-1,실적_원본!$M$5:$M$100000,F$5,실적_원본!$J$5:$J$100000,$A17)</f>
        <v/>
      </c>
      <c r="G17" s="28">
        <f>SUMIFS(실적_원본!$N$5:$N$100000,실적_원본!$L$5:$L$100000,설정!$C$6-1,실적_원본!$M$5:$M$100000,G$5,실적_원본!$J$5:$J$100000,$A17)</f>
        <v/>
      </c>
      <c r="H17" s="28">
        <f>SUMIFS(실적_원본!$N$5:$N$100000,실적_원본!$L$5:$L$100000,설정!$C$6-1,실적_원본!$M$5:$M$100000,H$5,실적_원본!$J$5:$J$100000,$A17)</f>
        <v/>
      </c>
      <c r="I17" s="28">
        <f>SUMIFS(실적_원본!$N$5:$N$100000,실적_원본!$L$5:$L$100000,설정!$C$6-1,실적_원본!$M$5:$M$100000,I$5,실적_원본!$J$5:$J$100000,$A17)</f>
        <v/>
      </c>
      <c r="J17" s="28">
        <f>SUMIFS(실적_원본!$N$5:$N$100000,실적_원본!$L$5:$L$100000,설정!$C$6-1,실적_원본!$M$5:$M$100000,J$5,실적_원본!$J$5:$J$100000,$A17)</f>
        <v/>
      </c>
      <c r="K17" s="28">
        <f>SUMIFS(실적_원본!$N$5:$N$100000,실적_원본!$L$5:$L$100000,설정!$C$6-1,실적_원본!$M$5:$M$100000,K$5,실적_원본!$J$5:$J$100000,$A17)</f>
        <v/>
      </c>
      <c r="L17" s="28">
        <f>SUMIFS(실적_원본!$N$5:$N$100000,실적_원본!$L$5:$L$100000,설정!$C$6-1,실적_원본!$M$5:$M$100000,L$5,실적_원본!$J$5:$J$100000,$A17)</f>
        <v/>
      </c>
      <c r="M17" s="28">
        <f>SUMIFS(실적_원본!$N$5:$N$100000,실적_원본!$L$5:$L$100000,설정!$C$6-1,실적_원본!$M$5:$M$100000,M$5,실적_원본!$J$5:$J$100000,$A17)</f>
        <v/>
      </c>
      <c r="N17" s="28">
        <f>SUMIFS(실적_원본!$N$5:$N$100000,실적_원본!$L$5:$L$100000,설정!$C$6-1,실적_원본!$M$5:$M$100000,N$5,실적_원본!$J$5:$J$100000,$A17)</f>
        <v/>
      </c>
      <c r="O17" s="28">
        <f>SUMIFS(실적_원본!$N$5:$N$100000,실적_원본!$L$5:$L$100000,설정!$C$6-1,실적_원본!$M$5:$M$100000,O$5,실적_원본!$J$5:$J$100000,$A17)</f>
        <v/>
      </c>
      <c r="P17" s="54">
        <f>SUM(D17:O17)</f>
        <v/>
      </c>
    </row>
    <row r="18">
      <c r="A18" s="12" t="inlineStr">
        <is>
          <t>D400</t>
        </is>
      </c>
      <c r="B18" s="20">
        <f>IFERROR(INDEX(부서매핑!$D$5:$D$504,MATCH($A18,부서매핑!$C$5:$C$504,0)),"")</f>
        <v/>
      </c>
      <c r="C18" s="12" t="inlineStr">
        <is>
          <t>예산</t>
        </is>
      </c>
      <c r="D18" s="28">
        <f>SUMIFS(예산_원본!$G$5:$G$3004,예산_원본!$B$5:$B$3004,설정!$C$8,예산_원본!$U$5:$U$3004,설정!$C$6,예산_원본!$C$5:$C$3004,$A18)*설정!$C$14</f>
        <v/>
      </c>
      <c r="E18" s="28">
        <f>SUMIFS(예산_원본!$H$5:$H$3004,예산_원본!$B$5:$B$3004,설정!$C$8,예산_원본!$U$5:$U$3004,설정!$C$6,예산_원본!$C$5:$C$3004,$A18)*설정!$C$14</f>
        <v/>
      </c>
      <c r="F18" s="28">
        <f>SUMIFS(예산_원본!$I$5:$I$3004,예산_원본!$B$5:$B$3004,설정!$C$8,예산_원본!$U$5:$U$3004,설정!$C$6,예산_원본!$C$5:$C$3004,$A18)*설정!$C$14</f>
        <v/>
      </c>
      <c r="G18" s="28">
        <f>SUMIFS(예산_원본!$J$5:$J$3004,예산_원본!$B$5:$B$3004,설정!$C$8,예산_원본!$U$5:$U$3004,설정!$C$6,예산_원본!$C$5:$C$3004,$A18)*설정!$C$14</f>
        <v/>
      </c>
      <c r="H18" s="28">
        <f>SUMIFS(예산_원본!$K$5:$K$3004,예산_원본!$B$5:$B$3004,설정!$C$8,예산_원본!$U$5:$U$3004,설정!$C$6,예산_원본!$C$5:$C$3004,$A18)*설정!$C$14</f>
        <v/>
      </c>
      <c r="I18" s="28">
        <f>SUMIFS(예산_원본!$L$5:$L$3004,예산_원본!$B$5:$B$3004,설정!$C$8,예산_원본!$U$5:$U$3004,설정!$C$6,예산_원본!$C$5:$C$3004,$A18)*설정!$C$14</f>
        <v/>
      </c>
      <c r="J18" s="28">
        <f>SUMIFS(예산_원본!$M$5:$M$3004,예산_원본!$B$5:$B$3004,설정!$C$8,예산_원본!$U$5:$U$3004,설정!$C$6,예산_원본!$C$5:$C$3004,$A18)*설정!$C$14</f>
        <v/>
      </c>
      <c r="K18" s="28">
        <f>SUMIFS(예산_원본!$N$5:$N$3004,예산_원본!$B$5:$B$3004,설정!$C$8,예산_원본!$U$5:$U$3004,설정!$C$6,예산_원본!$C$5:$C$3004,$A18)*설정!$C$14</f>
        <v/>
      </c>
      <c r="L18" s="28">
        <f>SUMIFS(예산_원본!$O$5:$O$3004,예산_원본!$B$5:$B$3004,설정!$C$8,예산_원본!$U$5:$U$3004,설정!$C$6,예산_원본!$C$5:$C$3004,$A18)*설정!$C$14</f>
        <v/>
      </c>
      <c r="M18" s="28">
        <f>SUMIFS(예산_원본!$P$5:$P$3004,예산_원본!$B$5:$B$3004,설정!$C$8,예산_원본!$U$5:$U$3004,설정!$C$6,예산_원본!$C$5:$C$3004,$A18)*설정!$C$14</f>
        <v/>
      </c>
      <c r="N18" s="28">
        <f>SUMIFS(예산_원본!$Q$5:$Q$3004,예산_원본!$B$5:$B$3004,설정!$C$8,예산_원본!$U$5:$U$3004,설정!$C$6,예산_원본!$C$5:$C$3004,$A18)*설정!$C$14</f>
        <v/>
      </c>
      <c r="O18" s="28">
        <f>SUMIFS(예산_원본!$R$5:$R$3004,예산_원본!$B$5:$B$3004,설정!$C$8,예산_원본!$U$5:$U$3004,설정!$C$6,예산_원본!$C$5:$C$3004,$A18)*설정!$C$14</f>
        <v/>
      </c>
      <c r="P18" s="54">
        <f>SUM(D18:O18)</f>
        <v/>
      </c>
    </row>
    <row r="19">
      <c r="A19" s="12" t="inlineStr">
        <is>
          <t>D400</t>
        </is>
      </c>
      <c r="B19" s="20">
        <f>IFERROR(INDEX(부서매핑!$D$5:$D$504,MATCH($A19,부서매핑!$C$5:$C$504,0)),"")</f>
        <v/>
      </c>
      <c r="C19" s="12" t="inlineStr">
        <is>
          <t>실적</t>
        </is>
      </c>
      <c r="D19" s="28">
        <f>IF(D$5&gt;설정!$C$7,"",SUMIFS(실적_원본!$N$5:$N$100000,실적_원본!$L$5:$L$100000,설정!$C$6,실적_원본!$M$5:$M$100000,D$5,실적_원본!$J$5:$J$100000,$A19))</f>
        <v/>
      </c>
      <c r="E19" s="28">
        <f>IF(E$5&gt;설정!$C$7,"",SUMIFS(실적_원본!$N$5:$N$100000,실적_원본!$L$5:$L$100000,설정!$C$6,실적_원본!$M$5:$M$100000,E$5,실적_원본!$J$5:$J$100000,$A19))</f>
        <v/>
      </c>
      <c r="F19" s="28">
        <f>IF(F$5&gt;설정!$C$7,"",SUMIFS(실적_원본!$N$5:$N$100000,실적_원본!$L$5:$L$100000,설정!$C$6,실적_원본!$M$5:$M$100000,F$5,실적_원본!$J$5:$J$100000,$A19))</f>
        <v/>
      </c>
      <c r="G19" s="28">
        <f>IF(G$5&gt;설정!$C$7,"",SUMIFS(실적_원본!$N$5:$N$100000,실적_원본!$L$5:$L$100000,설정!$C$6,실적_원본!$M$5:$M$100000,G$5,실적_원본!$J$5:$J$100000,$A19))</f>
        <v/>
      </c>
      <c r="H19" s="28">
        <f>IF(H$5&gt;설정!$C$7,"",SUMIFS(실적_원본!$N$5:$N$100000,실적_원본!$L$5:$L$100000,설정!$C$6,실적_원본!$M$5:$M$100000,H$5,실적_원본!$J$5:$J$100000,$A19))</f>
        <v/>
      </c>
      <c r="I19" s="28">
        <f>IF(I$5&gt;설정!$C$7,"",SUMIFS(실적_원본!$N$5:$N$100000,실적_원본!$L$5:$L$100000,설정!$C$6,실적_원본!$M$5:$M$100000,I$5,실적_원본!$J$5:$J$100000,$A19))</f>
        <v/>
      </c>
      <c r="J19" s="28">
        <f>IF(J$5&gt;설정!$C$7,"",SUMIFS(실적_원본!$N$5:$N$100000,실적_원본!$L$5:$L$100000,설정!$C$6,실적_원본!$M$5:$M$100000,J$5,실적_원본!$J$5:$J$100000,$A19))</f>
        <v/>
      </c>
      <c r="K19" s="28">
        <f>IF(K$5&gt;설정!$C$7,"",SUMIFS(실적_원본!$N$5:$N$100000,실적_원본!$L$5:$L$100000,설정!$C$6,실적_원본!$M$5:$M$100000,K$5,실적_원본!$J$5:$J$100000,$A19))</f>
        <v/>
      </c>
      <c r="L19" s="28">
        <f>IF(L$5&gt;설정!$C$7,"",SUMIFS(실적_원본!$N$5:$N$100000,실적_원본!$L$5:$L$100000,설정!$C$6,실적_원본!$M$5:$M$100000,L$5,실적_원본!$J$5:$J$100000,$A19))</f>
        <v/>
      </c>
      <c r="M19" s="28">
        <f>IF(M$5&gt;설정!$C$7,"",SUMIFS(실적_원본!$N$5:$N$100000,실적_원본!$L$5:$L$100000,설정!$C$6,실적_원본!$M$5:$M$100000,M$5,실적_원본!$J$5:$J$100000,$A19))</f>
        <v/>
      </c>
      <c r="N19" s="28">
        <f>IF(N$5&gt;설정!$C$7,"",SUMIFS(실적_원본!$N$5:$N$100000,실적_원본!$L$5:$L$100000,설정!$C$6,실적_원본!$M$5:$M$100000,N$5,실적_원본!$J$5:$J$100000,$A19))</f>
        <v/>
      </c>
      <c r="O19" s="28">
        <f>IF(O$5&gt;설정!$C$7,"",SUMIFS(실적_원본!$N$5:$N$100000,실적_원본!$L$5:$L$100000,설정!$C$6,실적_원본!$M$5:$M$100000,O$5,실적_원본!$J$5:$J$100000,$A19))</f>
        <v/>
      </c>
      <c r="P19" s="54">
        <f>SUM(D19:O19)</f>
        <v/>
      </c>
    </row>
    <row r="20">
      <c r="A20" s="12" t="inlineStr">
        <is>
          <t>D400</t>
        </is>
      </c>
      <c r="B20" s="20">
        <f>IFERROR(INDEX(부서매핑!$D$5:$D$504,MATCH($A20,부서매핑!$C$5:$C$504,0)),"")</f>
        <v/>
      </c>
      <c r="C20" s="12" t="inlineStr">
        <is>
          <t>전년실적</t>
        </is>
      </c>
      <c r="D20" s="28">
        <f>SUMIFS(실적_원본!$N$5:$N$100000,실적_원본!$L$5:$L$100000,설정!$C$6-1,실적_원본!$M$5:$M$100000,D$5,실적_원본!$J$5:$J$100000,$A20)</f>
        <v/>
      </c>
      <c r="E20" s="28">
        <f>SUMIFS(실적_원본!$N$5:$N$100000,실적_원본!$L$5:$L$100000,설정!$C$6-1,실적_원본!$M$5:$M$100000,E$5,실적_원본!$J$5:$J$100000,$A20)</f>
        <v/>
      </c>
      <c r="F20" s="28">
        <f>SUMIFS(실적_원본!$N$5:$N$100000,실적_원본!$L$5:$L$100000,설정!$C$6-1,실적_원본!$M$5:$M$100000,F$5,실적_원본!$J$5:$J$100000,$A20)</f>
        <v/>
      </c>
      <c r="G20" s="28">
        <f>SUMIFS(실적_원본!$N$5:$N$100000,실적_원본!$L$5:$L$100000,설정!$C$6-1,실적_원본!$M$5:$M$100000,G$5,실적_원본!$J$5:$J$100000,$A20)</f>
        <v/>
      </c>
      <c r="H20" s="28">
        <f>SUMIFS(실적_원본!$N$5:$N$100000,실적_원본!$L$5:$L$100000,설정!$C$6-1,실적_원본!$M$5:$M$100000,H$5,실적_원본!$J$5:$J$100000,$A20)</f>
        <v/>
      </c>
      <c r="I20" s="28">
        <f>SUMIFS(실적_원본!$N$5:$N$100000,실적_원본!$L$5:$L$100000,설정!$C$6-1,실적_원본!$M$5:$M$100000,I$5,실적_원본!$J$5:$J$100000,$A20)</f>
        <v/>
      </c>
      <c r="J20" s="28">
        <f>SUMIFS(실적_원본!$N$5:$N$100000,실적_원본!$L$5:$L$100000,설정!$C$6-1,실적_원본!$M$5:$M$100000,J$5,실적_원본!$J$5:$J$100000,$A20)</f>
        <v/>
      </c>
      <c r="K20" s="28">
        <f>SUMIFS(실적_원본!$N$5:$N$100000,실적_원본!$L$5:$L$100000,설정!$C$6-1,실적_원본!$M$5:$M$100000,K$5,실적_원본!$J$5:$J$100000,$A20)</f>
        <v/>
      </c>
      <c r="L20" s="28">
        <f>SUMIFS(실적_원본!$N$5:$N$100000,실적_원본!$L$5:$L$100000,설정!$C$6-1,실적_원본!$M$5:$M$100000,L$5,실적_원본!$J$5:$J$100000,$A20)</f>
        <v/>
      </c>
      <c r="M20" s="28">
        <f>SUMIFS(실적_원본!$N$5:$N$100000,실적_원본!$L$5:$L$100000,설정!$C$6-1,실적_원본!$M$5:$M$100000,M$5,실적_원본!$J$5:$J$100000,$A20)</f>
        <v/>
      </c>
      <c r="N20" s="28">
        <f>SUMIFS(실적_원본!$N$5:$N$100000,실적_원본!$L$5:$L$100000,설정!$C$6-1,실적_원본!$M$5:$M$100000,N$5,실적_원본!$J$5:$J$100000,$A20)</f>
        <v/>
      </c>
      <c r="O20" s="28">
        <f>SUMIFS(실적_원본!$N$5:$N$100000,실적_원본!$L$5:$L$100000,설정!$C$6-1,실적_원본!$M$5:$M$100000,O$5,실적_원본!$J$5:$J$100000,$A20)</f>
        <v/>
      </c>
      <c r="P20" s="54">
        <f>SUM(D20:O20)</f>
        <v/>
      </c>
    </row>
    <row r="21">
      <c r="A21" s="12" t="inlineStr">
        <is>
          <t>D500</t>
        </is>
      </c>
      <c r="B21" s="20">
        <f>IFERROR(INDEX(부서매핑!$D$5:$D$504,MATCH($A21,부서매핑!$C$5:$C$504,0)),"")</f>
        <v/>
      </c>
      <c r="C21" s="12" t="inlineStr">
        <is>
          <t>예산</t>
        </is>
      </c>
      <c r="D21" s="28">
        <f>SUMIFS(예산_원본!$G$5:$G$3004,예산_원본!$B$5:$B$3004,설정!$C$8,예산_원본!$U$5:$U$3004,설정!$C$6,예산_원본!$C$5:$C$3004,$A21)*설정!$C$14</f>
        <v/>
      </c>
      <c r="E21" s="28">
        <f>SUMIFS(예산_원본!$H$5:$H$3004,예산_원본!$B$5:$B$3004,설정!$C$8,예산_원본!$U$5:$U$3004,설정!$C$6,예산_원본!$C$5:$C$3004,$A21)*설정!$C$14</f>
        <v/>
      </c>
      <c r="F21" s="28">
        <f>SUMIFS(예산_원본!$I$5:$I$3004,예산_원본!$B$5:$B$3004,설정!$C$8,예산_원본!$U$5:$U$3004,설정!$C$6,예산_원본!$C$5:$C$3004,$A21)*설정!$C$14</f>
        <v/>
      </c>
      <c r="G21" s="28">
        <f>SUMIFS(예산_원본!$J$5:$J$3004,예산_원본!$B$5:$B$3004,설정!$C$8,예산_원본!$U$5:$U$3004,설정!$C$6,예산_원본!$C$5:$C$3004,$A21)*설정!$C$14</f>
        <v/>
      </c>
      <c r="H21" s="28">
        <f>SUMIFS(예산_원본!$K$5:$K$3004,예산_원본!$B$5:$B$3004,설정!$C$8,예산_원본!$U$5:$U$3004,설정!$C$6,예산_원본!$C$5:$C$3004,$A21)*설정!$C$14</f>
        <v/>
      </c>
      <c r="I21" s="28">
        <f>SUMIFS(예산_원본!$L$5:$L$3004,예산_원본!$B$5:$B$3004,설정!$C$8,예산_원본!$U$5:$U$3004,설정!$C$6,예산_원본!$C$5:$C$3004,$A21)*설정!$C$14</f>
        <v/>
      </c>
      <c r="J21" s="28">
        <f>SUMIFS(예산_원본!$M$5:$M$3004,예산_원본!$B$5:$B$3004,설정!$C$8,예산_원본!$U$5:$U$3004,설정!$C$6,예산_원본!$C$5:$C$3004,$A21)*설정!$C$14</f>
        <v/>
      </c>
      <c r="K21" s="28">
        <f>SUMIFS(예산_원본!$N$5:$N$3004,예산_원본!$B$5:$B$3004,설정!$C$8,예산_원본!$U$5:$U$3004,설정!$C$6,예산_원본!$C$5:$C$3004,$A21)*설정!$C$14</f>
        <v/>
      </c>
      <c r="L21" s="28">
        <f>SUMIFS(예산_원본!$O$5:$O$3004,예산_원본!$B$5:$B$3004,설정!$C$8,예산_원본!$U$5:$U$3004,설정!$C$6,예산_원본!$C$5:$C$3004,$A21)*설정!$C$14</f>
        <v/>
      </c>
      <c r="M21" s="28">
        <f>SUMIFS(예산_원본!$P$5:$P$3004,예산_원본!$B$5:$B$3004,설정!$C$8,예산_원본!$U$5:$U$3004,설정!$C$6,예산_원본!$C$5:$C$3004,$A21)*설정!$C$14</f>
        <v/>
      </c>
      <c r="N21" s="28">
        <f>SUMIFS(예산_원본!$Q$5:$Q$3004,예산_원본!$B$5:$B$3004,설정!$C$8,예산_원본!$U$5:$U$3004,설정!$C$6,예산_원본!$C$5:$C$3004,$A21)*설정!$C$14</f>
        <v/>
      </c>
      <c r="O21" s="28">
        <f>SUMIFS(예산_원본!$R$5:$R$3004,예산_원본!$B$5:$B$3004,설정!$C$8,예산_원본!$U$5:$U$3004,설정!$C$6,예산_원본!$C$5:$C$3004,$A21)*설정!$C$14</f>
        <v/>
      </c>
      <c r="P21" s="54">
        <f>SUM(D21:O21)</f>
        <v/>
      </c>
    </row>
    <row r="22">
      <c r="A22" s="12" t="inlineStr">
        <is>
          <t>D500</t>
        </is>
      </c>
      <c r="B22" s="20">
        <f>IFERROR(INDEX(부서매핑!$D$5:$D$504,MATCH($A22,부서매핑!$C$5:$C$504,0)),"")</f>
        <v/>
      </c>
      <c r="C22" s="12" t="inlineStr">
        <is>
          <t>실적</t>
        </is>
      </c>
      <c r="D22" s="28">
        <f>IF(D$5&gt;설정!$C$7,"",SUMIFS(실적_원본!$N$5:$N$100000,실적_원본!$L$5:$L$100000,설정!$C$6,실적_원본!$M$5:$M$100000,D$5,실적_원본!$J$5:$J$100000,$A22))</f>
        <v/>
      </c>
      <c r="E22" s="28">
        <f>IF(E$5&gt;설정!$C$7,"",SUMIFS(실적_원본!$N$5:$N$100000,실적_원본!$L$5:$L$100000,설정!$C$6,실적_원본!$M$5:$M$100000,E$5,실적_원본!$J$5:$J$100000,$A22))</f>
        <v/>
      </c>
      <c r="F22" s="28">
        <f>IF(F$5&gt;설정!$C$7,"",SUMIFS(실적_원본!$N$5:$N$100000,실적_원본!$L$5:$L$100000,설정!$C$6,실적_원본!$M$5:$M$100000,F$5,실적_원본!$J$5:$J$100000,$A22))</f>
        <v/>
      </c>
      <c r="G22" s="28">
        <f>IF(G$5&gt;설정!$C$7,"",SUMIFS(실적_원본!$N$5:$N$100000,실적_원본!$L$5:$L$100000,설정!$C$6,실적_원본!$M$5:$M$100000,G$5,실적_원본!$J$5:$J$100000,$A22))</f>
        <v/>
      </c>
      <c r="H22" s="28">
        <f>IF(H$5&gt;설정!$C$7,"",SUMIFS(실적_원본!$N$5:$N$100000,실적_원본!$L$5:$L$100000,설정!$C$6,실적_원본!$M$5:$M$100000,H$5,실적_원본!$J$5:$J$100000,$A22))</f>
        <v/>
      </c>
      <c r="I22" s="28">
        <f>IF(I$5&gt;설정!$C$7,"",SUMIFS(실적_원본!$N$5:$N$100000,실적_원본!$L$5:$L$100000,설정!$C$6,실적_원본!$M$5:$M$100000,I$5,실적_원본!$J$5:$J$100000,$A22))</f>
        <v/>
      </c>
      <c r="J22" s="28">
        <f>IF(J$5&gt;설정!$C$7,"",SUMIFS(실적_원본!$N$5:$N$100000,실적_원본!$L$5:$L$100000,설정!$C$6,실적_원본!$M$5:$M$100000,J$5,실적_원본!$J$5:$J$100000,$A22))</f>
        <v/>
      </c>
      <c r="K22" s="28">
        <f>IF(K$5&gt;설정!$C$7,"",SUMIFS(실적_원본!$N$5:$N$100000,실적_원본!$L$5:$L$100000,설정!$C$6,실적_원본!$M$5:$M$100000,K$5,실적_원본!$J$5:$J$100000,$A22))</f>
        <v/>
      </c>
      <c r="L22" s="28">
        <f>IF(L$5&gt;설정!$C$7,"",SUMIFS(실적_원본!$N$5:$N$100000,실적_원본!$L$5:$L$100000,설정!$C$6,실적_원본!$M$5:$M$100000,L$5,실적_원본!$J$5:$J$100000,$A22))</f>
        <v/>
      </c>
      <c r="M22" s="28">
        <f>IF(M$5&gt;설정!$C$7,"",SUMIFS(실적_원본!$N$5:$N$100000,실적_원본!$L$5:$L$100000,설정!$C$6,실적_원본!$M$5:$M$100000,M$5,실적_원본!$J$5:$J$100000,$A22))</f>
        <v/>
      </c>
      <c r="N22" s="28">
        <f>IF(N$5&gt;설정!$C$7,"",SUMIFS(실적_원본!$N$5:$N$100000,실적_원본!$L$5:$L$100000,설정!$C$6,실적_원본!$M$5:$M$100000,N$5,실적_원본!$J$5:$J$100000,$A22))</f>
        <v/>
      </c>
      <c r="O22" s="28">
        <f>IF(O$5&gt;설정!$C$7,"",SUMIFS(실적_원본!$N$5:$N$100000,실적_원본!$L$5:$L$100000,설정!$C$6,실적_원본!$M$5:$M$100000,O$5,실적_원본!$J$5:$J$100000,$A22))</f>
        <v/>
      </c>
      <c r="P22" s="54">
        <f>SUM(D22:O22)</f>
        <v/>
      </c>
    </row>
    <row r="23">
      <c r="A23" s="12" t="inlineStr">
        <is>
          <t>D500</t>
        </is>
      </c>
      <c r="B23" s="20">
        <f>IFERROR(INDEX(부서매핑!$D$5:$D$504,MATCH($A23,부서매핑!$C$5:$C$504,0)),"")</f>
        <v/>
      </c>
      <c r="C23" s="12" t="inlineStr">
        <is>
          <t>전년실적</t>
        </is>
      </c>
      <c r="D23" s="28">
        <f>SUMIFS(실적_원본!$N$5:$N$100000,실적_원본!$L$5:$L$100000,설정!$C$6-1,실적_원본!$M$5:$M$100000,D$5,실적_원본!$J$5:$J$100000,$A23)</f>
        <v/>
      </c>
      <c r="E23" s="28">
        <f>SUMIFS(실적_원본!$N$5:$N$100000,실적_원본!$L$5:$L$100000,설정!$C$6-1,실적_원본!$M$5:$M$100000,E$5,실적_원본!$J$5:$J$100000,$A23)</f>
        <v/>
      </c>
      <c r="F23" s="28">
        <f>SUMIFS(실적_원본!$N$5:$N$100000,실적_원본!$L$5:$L$100000,설정!$C$6-1,실적_원본!$M$5:$M$100000,F$5,실적_원본!$J$5:$J$100000,$A23)</f>
        <v/>
      </c>
      <c r="G23" s="28">
        <f>SUMIFS(실적_원본!$N$5:$N$100000,실적_원본!$L$5:$L$100000,설정!$C$6-1,실적_원본!$M$5:$M$100000,G$5,실적_원본!$J$5:$J$100000,$A23)</f>
        <v/>
      </c>
      <c r="H23" s="28">
        <f>SUMIFS(실적_원본!$N$5:$N$100000,실적_원본!$L$5:$L$100000,설정!$C$6-1,실적_원본!$M$5:$M$100000,H$5,실적_원본!$J$5:$J$100000,$A23)</f>
        <v/>
      </c>
      <c r="I23" s="28">
        <f>SUMIFS(실적_원본!$N$5:$N$100000,실적_원본!$L$5:$L$100000,설정!$C$6-1,실적_원본!$M$5:$M$100000,I$5,실적_원본!$J$5:$J$100000,$A23)</f>
        <v/>
      </c>
      <c r="J23" s="28">
        <f>SUMIFS(실적_원본!$N$5:$N$100000,실적_원본!$L$5:$L$100000,설정!$C$6-1,실적_원본!$M$5:$M$100000,J$5,실적_원본!$J$5:$J$100000,$A23)</f>
        <v/>
      </c>
      <c r="K23" s="28">
        <f>SUMIFS(실적_원본!$N$5:$N$100000,실적_원본!$L$5:$L$100000,설정!$C$6-1,실적_원본!$M$5:$M$100000,K$5,실적_원본!$J$5:$J$100000,$A23)</f>
        <v/>
      </c>
      <c r="L23" s="28">
        <f>SUMIFS(실적_원본!$N$5:$N$100000,실적_원본!$L$5:$L$100000,설정!$C$6-1,실적_원본!$M$5:$M$100000,L$5,실적_원본!$J$5:$J$100000,$A23)</f>
        <v/>
      </c>
      <c r="M23" s="28">
        <f>SUMIFS(실적_원본!$N$5:$N$100000,실적_원본!$L$5:$L$100000,설정!$C$6-1,실적_원본!$M$5:$M$100000,M$5,실적_원본!$J$5:$J$100000,$A23)</f>
        <v/>
      </c>
      <c r="N23" s="28">
        <f>SUMIFS(실적_원본!$N$5:$N$100000,실적_원본!$L$5:$L$100000,설정!$C$6-1,실적_원본!$M$5:$M$100000,N$5,실적_원본!$J$5:$J$100000,$A23)</f>
        <v/>
      </c>
      <c r="O23" s="28">
        <f>SUMIFS(실적_원본!$N$5:$N$100000,실적_원본!$L$5:$L$100000,설정!$C$6-1,실적_원본!$M$5:$M$100000,O$5,실적_원본!$J$5:$J$100000,$A23)</f>
        <v/>
      </c>
      <c r="P23" s="54">
        <f>SUM(D23:O23)</f>
        <v/>
      </c>
    </row>
    <row r="24">
      <c r="A24" s="12" t="inlineStr">
        <is>
          <t>D600</t>
        </is>
      </c>
      <c r="B24" s="20">
        <f>IFERROR(INDEX(부서매핑!$D$5:$D$504,MATCH($A24,부서매핑!$C$5:$C$504,0)),"")</f>
        <v/>
      </c>
      <c r="C24" s="12" t="inlineStr">
        <is>
          <t>예산</t>
        </is>
      </c>
      <c r="D24" s="28">
        <f>SUMIFS(예산_원본!$G$5:$G$3004,예산_원본!$B$5:$B$3004,설정!$C$8,예산_원본!$U$5:$U$3004,설정!$C$6,예산_원본!$C$5:$C$3004,$A24)*설정!$C$14</f>
        <v/>
      </c>
      <c r="E24" s="28">
        <f>SUMIFS(예산_원본!$H$5:$H$3004,예산_원본!$B$5:$B$3004,설정!$C$8,예산_원본!$U$5:$U$3004,설정!$C$6,예산_원본!$C$5:$C$3004,$A24)*설정!$C$14</f>
        <v/>
      </c>
      <c r="F24" s="28">
        <f>SUMIFS(예산_원본!$I$5:$I$3004,예산_원본!$B$5:$B$3004,설정!$C$8,예산_원본!$U$5:$U$3004,설정!$C$6,예산_원본!$C$5:$C$3004,$A24)*설정!$C$14</f>
        <v/>
      </c>
      <c r="G24" s="28">
        <f>SUMIFS(예산_원본!$J$5:$J$3004,예산_원본!$B$5:$B$3004,설정!$C$8,예산_원본!$U$5:$U$3004,설정!$C$6,예산_원본!$C$5:$C$3004,$A24)*설정!$C$14</f>
        <v/>
      </c>
      <c r="H24" s="28">
        <f>SUMIFS(예산_원본!$K$5:$K$3004,예산_원본!$B$5:$B$3004,설정!$C$8,예산_원본!$U$5:$U$3004,설정!$C$6,예산_원본!$C$5:$C$3004,$A24)*설정!$C$14</f>
        <v/>
      </c>
      <c r="I24" s="28">
        <f>SUMIFS(예산_원본!$L$5:$L$3004,예산_원본!$B$5:$B$3004,설정!$C$8,예산_원본!$U$5:$U$3004,설정!$C$6,예산_원본!$C$5:$C$3004,$A24)*설정!$C$14</f>
        <v/>
      </c>
      <c r="J24" s="28">
        <f>SUMIFS(예산_원본!$M$5:$M$3004,예산_원본!$B$5:$B$3004,설정!$C$8,예산_원본!$U$5:$U$3004,설정!$C$6,예산_원본!$C$5:$C$3004,$A24)*설정!$C$14</f>
        <v/>
      </c>
      <c r="K24" s="28">
        <f>SUMIFS(예산_원본!$N$5:$N$3004,예산_원본!$B$5:$B$3004,설정!$C$8,예산_원본!$U$5:$U$3004,설정!$C$6,예산_원본!$C$5:$C$3004,$A24)*설정!$C$14</f>
        <v/>
      </c>
      <c r="L24" s="28">
        <f>SUMIFS(예산_원본!$O$5:$O$3004,예산_원본!$B$5:$B$3004,설정!$C$8,예산_원본!$U$5:$U$3004,설정!$C$6,예산_원본!$C$5:$C$3004,$A24)*설정!$C$14</f>
        <v/>
      </c>
      <c r="M24" s="28">
        <f>SUMIFS(예산_원본!$P$5:$P$3004,예산_원본!$B$5:$B$3004,설정!$C$8,예산_원본!$U$5:$U$3004,설정!$C$6,예산_원본!$C$5:$C$3004,$A24)*설정!$C$14</f>
        <v/>
      </c>
      <c r="N24" s="28">
        <f>SUMIFS(예산_원본!$Q$5:$Q$3004,예산_원본!$B$5:$B$3004,설정!$C$8,예산_원본!$U$5:$U$3004,설정!$C$6,예산_원본!$C$5:$C$3004,$A24)*설정!$C$14</f>
        <v/>
      </c>
      <c r="O24" s="28">
        <f>SUMIFS(예산_원본!$R$5:$R$3004,예산_원본!$B$5:$B$3004,설정!$C$8,예산_원본!$U$5:$U$3004,설정!$C$6,예산_원본!$C$5:$C$3004,$A24)*설정!$C$14</f>
        <v/>
      </c>
      <c r="P24" s="54">
        <f>SUM(D24:O24)</f>
        <v/>
      </c>
    </row>
    <row r="25">
      <c r="A25" s="12" t="inlineStr">
        <is>
          <t>D600</t>
        </is>
      </c>
      <c r="B25" s="20">
        <f>IFERROR(INDEX(부서매핑!$D$5:$D$504,MATCH($A25,부서매핑!$C$5:$C$504,0)),"")</f>
        <v/>
      </c>
      <c r="C25" s="12" t="inlineStr">
        <is>
          <t>실적</t>
        </is>
      </c>
      <c r="D25" s="28">
        <f>IF(D$5&gt;설정!$C$7,"",SUMIFS(실적_원본!$N$5:$N$100000,실적_원본!$L$5:$L$100000,설정!$C$6,실적_원본!$M$5:$M$100000,D$5,실적_원본!$J$5:$J$100000,$A25))</f>
        <v/>
      </c>
      <c r="E25" s="28">
        <f>IF(E$5&gt;설정!$C$7,"",SUMIFS(실적_원본!$N$5:$N$100000,실적_원본!$L$5:$L$100000,설정!$C$6,실적_원본!$M$5:$M$100000,E$5,실적_원본!$J$5:$J$100000,$A25))</f>
        <v/>
      </c>
      <c r="F25" s="28">
        <f>IF(F$5&gt;설정!$C$7,"",SUMIFS(실적_원본!$N$5:$N$100000,실적_원본!$L$5:$L$100000,설정!$C$6,실적_원본!$M$5:$M$100000,F$5,실적_원본!$J$5:$J$100000,$A25))</f>
        <v/>
      </c>
      <c r="G25" s="28">
        <f>IF(G$5&gt;설정!$C$7,"",SUMIFS(실적_원본!$N$5:$N$100000,실적_원본!$L$5:$L$100000,설정!$C$6,실적_원본!$M$5:$M$100000,G$5,실적_원본!$J$5:$J$100000,$A25))</f>
        <v/>
      </c>
      <c r="H25" s="28">
        <f>IF(H$5&gt;설정!$C$7,"",SUMIFS(실적_원본!$N$5:$N$100000,실적_원본!$L$5:$L$100000,설정!$C$6,실적_원본!$M$5:$M$100000,H$5,실적_원본!$J$5:$J$100000,$A25))</f>
        <v/>
      </c>
      <c r="I25" s="28">
        <f>IF(I$5&gt;설정!$C$7,"",SUMIFS(실적_원본!$N$5:$N$100000,실적_원본!$L$5:$L$100000,설정!$C$6,실적_원본!$M$5:$M$100000,I$5,실적_원본!$J$5:$J$100000,$A25))</f>
        <v/>
      </c>
      <c r="J25" s="28">
        <f>IF(J$5&gt;설정!$C$7,"",SUMIFS(실적_원본!$N$5:$N$100000,실적_원본!$L$5:$L$100000,설정!$C$6,실적_원본!$M$5:$M$100000,J$5,실적_원본!$J$5:$J$100000,$A25))</f>
        <v/>
      </c>
      <c r="K25" s="28">
        <f>IF(K$5&gt;설정!$C$7,"",SUMIFS(실적_원본!$N$5:$N$100000,실적_원본!$L$5:$L$100000,설정!$C$6,실적_원본!$M$5:$M$100000,K$5,실적_원본!$J$5:$J$100000,$A25))</f>
        <v/>
      </c>
      <c r="L25" s="28">
        <f>IF(L$5&gt;설정!$C$7,"",SUMIFS(실적_원본!$N$5:$N$100000,실적_원본!$L$5:$L$100000,설정!$C$6,실적_원본!$M$5:$M$100000,L$5,실적_원본!$J$5:$J$100000,$A25))</f>
        <v/>
      </c>
      <c r="M25" s="28">
        <f>IF(M$5&gt;설정!$C$7,"",SUMIFS(실적_원본!$N$5:$N$100000,실적_원본!$L$5:$L$100000,설정!$C$6,실적_원본!$M$5:$M$100000,M$5,실적_원본!$J$5:$J$100000,$A25))</f>
        <v/>
      </c>
      <c r="N25" s="28">
        <f>IF(N$5&gt;설정!$C$7,"",SUMIFS(실적_원본!$N$5:$N$100000,실적_원본!$L$5:$L$100000,설정!$C$6,실적_원본!$M$5:$M$100000,N$5,실적_원본!$J$5:$J$100000,$A25))</f>
        <v/>
      </c>
      <c r="O25" s="28">
        <f>IF(O$5&gt;설정!$C$7,"",SUMIFS(실적_원본!$N$5:$N$100000,실적_원본!$L$5:$L$100000,설정!$C$6,실적_원본!$M$5:$M$100000,O$5,실적_원본!$J$5:$J$100000,$A25))</f>
        <v/>
      </c>
      <c r="P25" s="54">
        <f>SUM(D25:O25)</f>
        <v/>
      </c>
    </row>
    <row r="26">
      <c r="A26" s="12" t="inlineStr">
        <is>
          <t>D600</t>
        </is>
      </c>
      <c r="B26" s="20">
        <f>IFERROR(INDEX(부서매핑!$D$5:$D$504,MATCH($A26,부서매핑!$C$5:$C$504,0)),"")</f>
        <v/>
      </c>
      <c r="C26" s="12" t="inlineStr">
        <is>
          <t>전년실적</t>
        </is>
      </c>
      <c r="D26" s="28">
        <f>SUMIFS(실적_원본!$N$5:$N$100000,실적_원본!$L$5:$L$100000,설정!$C$6-1,실적_원본!$M$5:$M$100000,D$5,실적_원본!$J$5:$J$100000,$A26)</f>
        <v/>
      </c>
      <c r="E26" s="28">
        <f>SUMIFS(실적_원본!$N$5:$N$100000,실적_원본!$L$5:$L$100000,설정!$C$6-1,실적_원본!$M$5:$M$100000,E$5,실적_원본!$J$5:$J$100000,$A26)</f>
        <v/>
      </c>
      <c r="F26" s="28">
        <f>SUMIFS(실적_원본!$N$5:$N$100000,실적_원본!$L$5:$L$100000,설정!$C$6-1,실적_원본!$M$5:$M$100000,F$5,실적_원본!$J$5:$J$100000,$A26)</f>
        <v/>
      </c>
      <c r="G26" s="28">
        <f>SUMIFS(실적_원본!$N$5:$N$100000,실적_원본!$L$5:$L$100000,설정!$C$6-1,실적_원본!$M$5:$M$100000,G$5,실적_원본!$J$5:$J$100000,$A26)</f>
        <v/>
      </c>
      <c r="H26" s="28">
        <f>SUMIFS(실적_원본!$N$5:$N$100000,실적_원본!$L$5:$L$100000,설정!$C$6-1,실적_원본!$M$5:$M$100000,H$5,실적_원본!$J$5:$J$100000,$A26)</f>
        <v/>
      </c>
      <c r="I26" s="28">
        <f>SUMIFS(실적_원본!$N$5:$N$100000,실적_원본!$L$5:$L$100000,설정!$C$6-1,실적_원본!$M$5:$M$100000,I$5,실적_원본!$J$5:$J$100000,$A26)</f>
        <v/>
      </c>
      <c r="J26" s="28">
        <f>SUMIFS(실적_원본!$N$5:$N$100000,실적_원본!$L$5:$L$100000,설정!$C$6-1,실적_원본!$M$5:$M$100000,J$5,실적_원본!$J$5:$J$100000,$A26)</f>
        <v/>
      </c>
      <c r="K26" s="28">
        <f>SUMIFS(실적_원본!$N$5:$N$100000,실적_원본!$L$5:$L$100000,설정!$C$6-1,실적_원본!$M$5:$M$100000,K$5,실적_원본!$J$5:$J$100000,$A26)</f>
        <v/>
      </c>
      <c r="L26" s="28">
        <f>SUMIFS(실적_원본!$N$5:$N$100000,실적_원본!$L$5:$L$100000,설정!$C$6-1,실적_원본!$M$5:$M$100000,L$5,실적_원본!$J$5:$J$100000,$A26)</f>
        <v/>
      </c>
      <c r="M26" s="28">
        <f>SUMIFS(실적_원본!$N$5:$N$100000,실적_원본!$L$5:$L$100000,설정!$C$6-1,실적_원본!$M$5:$M$100000,M$5,실적_원본!$J$5:$J$100000,$A26)</f>
        <v/>
      </c>
      <c r="N26" s="28">
        <f>SUMIFS(실적_원본!$N$5:$N$100000,실적_원본!$L$5:$L$100000,설정!$C$6-1,실적_원본!$M$5:$M$100000,N$5,실적_원본!$J$5:$J$100000,$A26)</f>
        <v/>
      </c>
      <c r="O26" s="28">
        <f>SUMIFS(실적_원본!$N$5:$N$100000,실적_원본!$L$5:$L$100000,설정!$C$6-1,실적_원본!$M$5:$M$100000,O$5,실적_원본!$J$5:$J$100000,$A26)</f>
        <v/>
      </c>
      <c r="P26" s="54">
        <f>SUM(D26:O26)</f>
        <v/>
      </c>
    </row>
    <row r="27">
      <c r="A27" s="12" t="inlineStr">
        <is>
          <t>D700</t>
        </is>
      </c>
      <c r="B27" s="20">
        <f>IFERROR(INDEX(부서매핑!$D$5:$D$504,MATCH($A27,부서매핑!$C$5:$C$504,0)),"")</f>
        <v/>
      </c>
      <c r="C27" s="12" t="inlineStr">
        <is>
          <t>예산</t>
        </is>
      </c>
      <c r="D27" s="28">
        <f>SUMIFS(예산_원본!$G$5:$G$3004,예산_원본!$B$5:$B$3004,설정!$C$8,예산_원본!$U$5:$U$3004,설정!$C$6,예산_원본!$C$5:$C$3004,$A27)*설정!$C$14</f>
        <v/>
      </c>
      <c r="E27" s="28">
        <f>SUMIFS(예산_원본!$H$5:$H$3004,예산_원본!$B$5:$B$3004,설정!$C$8,예산_원본!$U$5:$U$3004,설정!$C$6,예산_원본!$C$5:$C$3004,$A27)*설정!$C$14</f>
        <v/>
      </c>
      <c r="F27" s="28">
        <f>SUMIFS(예산_원본!$I$5:$I$3004,예산_원본!$B$5:$B$3004,설정!$C$8,예산_원본!$U$5:$U$3004,설정!$C$6,예산_원본!$C$5:$C$3004,$A27)*설정!$C$14</f>
        <v/>
      </c>
      <c r="G27" s="28">
        <f>SUMIFS(예산_원본!$J$5:$J$3004,예산_원본!$B$5:$B$3004,설정!$C$8,예산_원본!$U$5:$U$3004,설정!$C$6,예산_원본!$C$5:$C$3004,$A27)*설정!$C$14</f>
        <v/>
      </c>
      <c r="H27" s="28">
        <f>SUMIFS(예산_원본!$K$5:$K$3004,예산_원본!$B$5:$B$3004,설정!$C$8,예산_원본!$U$5:$U$3004,설정!$C$6,예산_원본!$C$5:$C$3004,$A27)*설정!$C$14</f>
        <v/>
      </c>
      <c r="I27" s="28">
        <f>SUMIFS(예산_원본!$L$5:$L$3004,예산_원본!$B$5:$B$3004,설정!$C$8,예산_원본!$U$5:$U$3004,설정!$C$6,예산_원본!$C$5:$C$3004,$A27)*설정!$C$14</f>
        <v/>
      </c>
      <c r="J27" s="28">
        <f>SUMIFS(예산_원본!$M$5:$M$3004,예산_원본!$B$5:$B$3004,설정!$C$8,예산_원본!$U$5:$U$3004,설정!$C$6,예산_원본!$C$5:$C$3004,$A27)*설정!$C$14</f>
        <v/>
      </c>
      <c r="K27" s="28">
        <f>SUMIFS(예산_원본!$N$5:$N$3004,예산_원본!$B$5:$B$3004,설정!$C$8,예산_원본!$U$5:$U$3004,설정!$C$6,예산_원본!$C$5:$C$3004,$A27)*설정!$C$14</f>
        <v/>
      </c>
      <c r="L27" s="28">
        <f>SUMIFS(예산_원본!$O$5:$O$3004,예산_원본!$B$5:$B$3004,설정!$C$8,예산_원본!$U$5:$U$3004,설정!$C$6,예산_원본!$C$5:$C$3004,$A27)*설정!$C$14</f>
        <v/>
      </c>
      <c r="M27" s="28">
        <f>SUMIFS(예산_원본!$P$5:$P$3004,예산_원본!$B$5:$B$3004,설정!$C$8,예산_원본!$U$5:$U$3004,설정!$C$6,예산_원본!$C$5:$C$3004,$A27)*설정!$C$14</f>
        <v/>
      </c>
      <c r="N27" s="28">
        <f>SUMIFS(예산_원본!$Q$5:$Q$3004,예산_원본!$B$5:$B$3004,설정!$C$8,예산_원본!$U$5:$U$3004,설정!$C$6,예산_원본!$C$5:$C$3004,$A27)*설정!$C$14</f>
        <v/>
      </c>
      <c r="O27" s="28">
        <f>SUMIFS(예산_원본!$R$5:$R$3004,예산_원본!$B$5:$B$3004,설정!$C$8,예산_원본!$U$5:$U$3004,설정!$C$6,예산_원본!$C$5:$C$3004,$A27)*설정!$C$14</f>
        <v/>
      </c>
      <c r="P27" s="54">
        <f>SUM(D27:O27)</f>
        <v/>
      </c>
    </row>
    <row r="28">
      <c r="A28" s="12" t="inlineStr">
        <is>
          <t>D700</t>
        </is>
      </c>
      <c r="B28" s="20">
        <f>IFERROR(INDEX(부서매핑!$D$5:$D$504,MATCH($A28,부서매핑!$C$5:$C$504,0)),"")</f>
        <v/>
      </c>
      <c r="C28" s="12" t="inlineStr">
        <is>
          <t>실적</t>
        </is>
      </c>
      <c r="D28" s="28">
        <f>IF(D$5&gt;설정!$C$7,"",SUMIFS(실적_원본!$N$5:$N$100000,실적_원본!$L$5:$L$100000,설정!$C$6,실적_원본!$M$5:$M$100000,D$5,실적_원본!$J$5:$J$100000,$A28))</f>
        <v/>
      </c>
      <c r="E28" s="28">
        <f>IF(E$5&gt;설정!$C$7,"",SUMIFS(실적_원본!$N$5:$N$100000,실적_원본!$L$5:$L$100000,설정!$C$6,실적_원본!$M$5:$M$100000,E$5,실적_원본!$J$5:$J$100000,$A28))</f>
        <v/>
      </c>
      <c r="F28" s="28">
        <f>IF(F$5&gt;설정!$C$7,"",SUMIFS(실적_원본!$N$5:$N$100000,실적_원본!$L$5:$L$100000,설정!$C$6,실적_원본!$M$5:$M$100000,F$5,실적_원본!$J$5:$J$100000,$A28))</f>
        <v/>
      </c>
      <c r="G28" s="28">
        <f>IF(G$5&gt;설정!$C$7,"",SUMIFS(실적_원본!$N$5:$N$100000,실적_원본!$L$5:$L$100000,설정!$C$6,실적_원본!$M$5:$M$100000,G$5,실적_원본!$J$5:$J$100000,$A28))</f>
        <v/>
      </c>
      <c r="H28" s="28">
        <f>IF(H$5&gt;설정!$C$7,"",SUMIFS(실적_원본!$N$5:$N$100000,실적_원본!$L$5:$L$100000,설정!$C$6,실적_원본!$M$5:$M$100000,H$5,실적_원본!$J$5:$J$100000,$A28))</f>
        <v/>
      </c>
      <c r="I28" s="28">
        <f>IF(I$5&gt;설정!$C$7,"",SUMIFS(실적_원본!$N$5:$N$100000,실적_원본!$L$5:$L$100000,설정!$C$6,실적_원본!$M$5:$M$100000,I$5,실적_원본!$J$5:$J$100000,$A28))</f>
        <v/>
      </c>
      <c r="J28" s="28">
        <f>IF(J$5&gt;설정!$C$7,"",SUMIFS(실적_원본!$N$5:$N$100000,실적_원본!$L$5:$L$100000,설정!$C$6,실적_원본!$M$5:$M$100000,J$5,실적_원본!$J$5:$J$100000,$A28))</f>
        <v/>
      </c>
      <c r="K28" s="28">
        <f>IF(K$5&gt;설정!$C$7,"",SUMIFS(실적_원본!$N$5:$N$100000,실적_원본!$L$5:$L$100000,설정!$C$6,실적_원본!$M$5:$M$100000,K$5,실적_원본!$J$5:$J$100000,$A28))</f>
        <v/>
      </c>
      <c r="L28" s="28">
        <f>IF(L$5&gt;설정!$C$7,"",SUMIFS(실적_원본!$N$5:$N$100000,실적_원본!$L$5:$L$100000,설정!$C$6,실적_원본!$M$5:$M$100000,L$5,실적_원본!$J$5:$J$100000,$A28))</f>
        <v/>
      </c>
      <c r="M28" s="28">
        <f>IF(M$5&gt;설정!$C$7,"",SUMIFS(실적_원본!$N$5:$N$100000,실적_원본!$L$5:$L$100000,설정!$C$6,실적_원본!$M$5:$M$100000,M$5,실적_원본!$J$5:$J$100000,$A28))</f>
        <v/>
      </c>
      <c r="N28" s="28">
        <f>IF(N$5&gt;설정!$C$7,"",SUMIFS(실적_원본!$N$5:$N$100000,실적_원본!$L$5:$L$100000,설정!$C$6,실적_원본!$M$5:$M$100000,N$5,실적_원본!$J$5:$J$100000,$A28))</f>
        <v/>
      </c>
      <c r="O28" s="28">
        <f>IF(O$5&gt;설정!$C$7,"",SUMIFS(실적_원본!$N$5:$N$100000,실적_원본!$L$5:$L$100000,설정!$C$6,실적_원본!$M$5:$M$100000,O$5,실적_원본!$J$5:$J$100000,$A28))</f>
        <v/>
      </c>
      <c r="P28" s="54">
        <f>SUM(D28:O28)</f>
        <v/>
      </c>
    </row>
    <row r="29">
      <c r="A29" s="12" t="inlineStr">
        <is>
          <t>D700</t>
        </is>
      </c>
      <c r="B29" s="20">
        <f>IFERROR(INDEX(부서매핑!$D$5:$D$504,MATCH($A29,부서매핑!$C$5:$C$504,0)),"")</f>
        <v/>
      </c>
      <c r="C29" s="12" t="inlineStr">
        <is>
          <t>전년실적</t>
        </is>
      </c>
      <c r="D29" s="28">
        <f>SUMIFS(실적_원본!$N$5:$N$100000,실적_원본!$L$5:$L$100000,설정!$C$6-1,실적_원본!$M$5:$M$100000,D$5,실적_원본!$J$5:$J$100000,$A29)</f>
        <v/>
      </c>
      <c r="E29" s="28">
        <f>SUMIFS(실적_원본!$N$5:$N$100000,실적_원본!$L$5:$L$100000,설정!$C$6-1,실적_원본!$M$5:$M$100000,E$5,실적_원본!$J$5:$J$100000,$A29)</f>
        <v/>
      </c>
      <c r="F29" s="28">
        <f>SUMIFS(실적_원본!$N$5:$N$100000,실적_원본!$L$5:$L$100000,설정!$C$6-1,실적_원본!$M$5:$M$100000,F$5,실적_원본!$J$5:$J$100000,$A29)</f>
        <v/>
      </c>
      <c r="G29" s="28">
        <f>SUMIFS(실적_원본!$N$5:$N$100000,실적_원본!$L$5:$L$100000,설정!$C$6-1,실적_원본!$M$5:$M$100000,G$5,실적_원본!$J$5:$J$100000,$A29)</f>
        <v/>
      </c>
      <c r="H29" s="28">
        <f>SUMIFS(실적_원본!$N$5:$N$100000,실적_원본!$L$5:$L$100000,설정!$C$6-1,실적_원본!$M$5:$M$100000,H$5,실적_원본!$J$5:$J$100000,$A29)</f>
        <v/>
      </c>
      <c r="I29" s="28">
        <f>SUMIFS(실적_원본!$N$5:$N$100000,실적_원본!$L$5:$L$100000,설정!$C$6-1,실적_원본!$M$5:$M$100000,I$5,실적_원본!$J$5:$J$100000,$A29)</f>
        <v/>
      </c>
      <c r="J29" s="28">
        <f>SUMIFS(실적_원본!$N$5:$N$100000,실적_원본!$L$5:$L$100000,설정!$C$6-1,실적_원본!$M$5:$M$100000,J$5,실적_원본!$J$5:$J$100000,$A29)</f>
        <v/>
      </c>
      <c r="K29" s="28">
        <f>SUMIFS(실적_원본!$N$5:$N$100000,실적_원본!$L$5:$L$100000,설정!$C$6-1,실적_원본!$M$5:$M$100000,K$5,실적_원본!$J$5:$J$100000,$A29)</f>
        <v/>
      </c>
      <c r="L29" s="28">
        <f>SUMIFS(실적_원본!$N$5:$N$100000,실적_원본!$L$5:$L$100000,설정!$C$6-1,실적_원본!$M$5:$M$100000,L$5,실적_원본!$J$5:$J$100000,$A29)</f>
        <v/>
      </c>
      <c r="M29" s="28">
        <f>SUMIFS(실적_원본!$N$5:$N$100000,실적_원본!$L$5:$L$100000,설정!$C$6-1,실적_원본!$M$5:$M$100000,M$5,실적_원본!$J$5:$J$100000,$A29)</f>
        <v/>
      </c>
      <c r="N29" s="28">
        <f>SUMIFS(실적_원본!$N$5:$N$100000,실적_원본!$L$5:$L$100000,설정!$C$6-1,실적_원본!$M$5:$M$100000,N$5,실적_원본!$J$5:$J$100000,$A29)</f>
        <v/>
      </c>
      <c r="O29" s="28">
        <f>SUMIFS(실적_원본!$N$5:$N$100000,실적_원본!$L$5:$L$100000,설정!$C$6-1,실적_원본!$M$5:$M$100000,O$5,실적_원본!$J$5:$J$100000,$A29)</f>
        <v/>
      </c>
      <c r="P29" s="54">
        <f>SUM(D29:O29)</f>
        <v/>
      </c>
    </row>
    <row r="30">
      <c r="A30" s="12" t="inlineStr">
        <is>
          <t>D800</t>
        </is>
      </c>
      <c r="B30" s="20">
        <f>IFERROR(INDEX(부서매핑!$D$5:$D$504,MATCH($A30,부서매핑!$C$5:$C$504,0)),"")</f>
        <v/>
      </c>
      <c r="C30" s="12" t="inlineStr">
        <is>
          <t>예산</t>
        </is>
      </c>
      <c r="D30" s="28">
        <f>SUMIFS(예산_원본!$G$5:$G$3004,예산_원본!$B$5:$B$3004,설정!$C$8,예산_원본!$U$5:$U$3004,설정!$C$6,예산_원본!$C$5:$C$3004,$A30)*설정!$C$14</f>
        <v/>
      </c>
      <c r="E30" s="28">
        <f>SUMIFS(예산_원본!$H$5:$H$3004,예산_원본!$B$5:$B$3004,설정!$C$8,예산_원본!$U$5:$U$3004,설정!$C$6,예산_원본!$C$5:$C$3004,$A30)*설정!$C$14</f>
        <v/>
      </c>
      <c r="F30" s="28">
        <f>SUMIFS(예산_원본!$I$5:$I$3004,예산_원본!$B$5:$B$3004,설정!$C$8,예산_원본!$U$5:$U$3004,설정!$C$6,예산_원본!$C$5:$C$3004,$A30)*설정!$C$14</f>
        <v/>
      </c>
      <c r="G30" s="28">
        <f>SUMIFS(예산_원본!$J$5:$J$3004,예산_원본!$B$5:$B$3004,설정!$C$8,예산_원본!$U$5:$U$3004,설정!$C$6,예산_원본!$C$5:$C$3004,$A30)*설정!$C$14</f>
        <v/>
      </c>
      <c r="H30" s="28">
        <f>SUMIFS(예산_원본!$K$5:$K$3004,예산_원본!$B$5:$B$3004,설정!$C$8,예산_원본!$U$5:$U$3004,설정!$C$6,예산_원본!$C$5:$C$3004,$A30)*설정!$C$14</f>
        <v/>
      </c>
      <c r="I30" s="28">
        <f>SUMIFS(예산_원본!$L$5:$L$3004,예산_원본!$B$5:$B$3004,설정!$C$8,예산_원본!$U$5:$U$3004,설정!$C$6,예산_원본!$C$5:$C$3004,$A30)*설정!$C$14</f>
        <v/>
      </c>
      <c r="J30" s="28">
        <f>SUMIFS(예산_원본!$M$5:$M$3004,예산_원본!$B$5:$B$3004,설정!$C$8,예산_원본!$U$5:$U$3004,설정!$C$6,예산_원본!$C$5:$C$3004,$A30)*설정!$C$14</f>
        <v/>
      </c>
      <c r="K30" s="28">
        <f>SUMIFS(예산_원본!$N$5:$N$3004,예산_원본!$B$5:$B$3004,설정!$C$8,예산_원본!$U$5:$U$3004,설정!$C$6,예산_원본!$C$5:$C$3004,$A30)*설정!$C$14</f>
        <v/>
      </c>
      <c r="L30" s="28">
        <f>SUMIFS(예산_원본!$O$5:$O$3004,예산_원본!$B$5:$B$3004,설정!$C$8,예산_원본!$U$5:$U$3004,설정!$C$6,예산_원본!$C$5:$C$3004,$A30)*설정!$C$14</f>
        <v/>
      </c>
      <c r="M30" s="28">
        <f>SUMIFS(예산_원본!$P$5:$P$3004,예산_원본!$B$5:$B$3004,설정!$C$8,예산_원본!$U$5:$U$3004,설정!$C$6,예산_원본!$C$5:$C$3004,$A30)*설정!$C$14</f>
        <v/>
      </c>
      <c r="N30" s="28">
        <f>SUMIFS(예산_원본!$Q$5:$Q$3004,예산_원본!$B$5:$B$3004,설정!$C$8,예산_원본!$U$5:$U$3004,설정!$C$6,예산_원본!$C$5:$C$3004,$A30)*설정!$C$14</f>
        <v/>
      </c>
      <c r="O30" s="28">
        <f>SUMIFS(예산_원본!$R$5:$R$3004,예산_원본!$B$5:$B$3004,설정!$C$8,예산_원본!$U$5:$U$3004,설정!$C$6,예산_원본!$C$5:$C$3004,$A30)*설정!$C$14</f>
        <v/>
      </c>
      <c r="P30" s="54">
        <f>SUM(D30:O30)</f>
        <v/>
      </c>
    </row>
    <row r="31">
      <c r="A31" s="12" t="inlineStr">
        <is>
          <t>D800</t>
        </is>
      </c>
      <c r="B31" s="20">
        <f>IFERROR(INDEX(부서매핑!$D$5:$D$504,MATCH($A31,부서매핑!$C$5:$C$504,0)),"")</f>
        <v/>
      </c>
      <c r="C31" s="12" t="inlineStr">
        <is>
          <t>실적</t>
        </is>
      </c>
      <c r="D31" s="28">
        <f>IF(D$5&gt;설정!$C$7,"",SUMIFS(실적_원본!$N$5:$N$100000,실적_원본!$L$5:$L$100000,설정!$C$6,실적_원본!$M$5:$M$100000,D$5,실적_원본!$J$5:$J$100000,$A31))</f>
        <v/>
      </c>
      <c r="E31" s="28">
        <f>IF(E$5&gt;설정!$C$7,"",SUMIFS(실적_원본!$N$5:$N$100000,실적_원본!$L$5:$L$100000,설정!$C$6,실적_원본!$M$5:$M$100000,E$5,실적_원본!$J$5:$J$100000,$A31))</f>
        <v/>
      </c>
      <c r="F31" s="28">
        <f>IF(F$5&gt;설정!$C$7,"",SUMIFS(실적_원본!$N$5:$N$100000,실적_원본!$L$5:$L$100000,설정!$C$6,실적_원본!$M$5:$M$100000,F$5,실적_원본!$J$5:$J$100000,$A31))</f>
        <v/>
      </c>
      <c r="G31" s="28">
        <f>IF(G$5&gt;설정!$C$7,"",SUMIFS(실적_원본!$N$5:$N$100000,실적_원본!$L$5:$L$100000,설정!$C$6,실적_원본!$M$5:$M$100000,G$5,실적_원본!$J$5:$J$100000,$A31))</f>
        <v/>
      </c>
      <c r="H31" s="28">
        <f>IF(H$5&gt;설정!$C$7,"",SUMIFS(실적_원본!$N$5:$N$100000,실적_원본!$L$5:$L$100000,설정!$C$6,실적_원본!$M$5:$M$100000,H$5,실적_원본!$J$5:$J$100000,$A31))</f>
        <v/>
      </c>
      <c r="I31" s="28">
        <f>IF(I$5&gt;설정!$C$7,"",SUMIFS(실적_원본!$N$5:$N$100000,실적_원본!$L$5:$L$100000,설정!$C$6,실적_원본!$M$5:$M$100000,I$5,실적_원본!$J$5:$J$100000,$A31))</f>
        <v/>
      </c>
      <c r="J31" s="28">
        <f>IF(J$5&gt;설정!$C$7,"",SUMIFS(실적_원본!$N$5:$N$100000,실적_원본!$L$5:$L$100000,설정!$C$6,실적_원본!$M$5:$M$100000,J$5,실적_원본!$J$5:$J$100000,$A31))</f>
        <v/>
      </c>
      <c r="K31" s="28">
        <f>IF(K$5&gt;설정!$C$7,"",SUMIFS(실적_원본!$N$5:$N$100000,실적_원본!$L$5:$L$100000,설정!$C$6,실적_원본!$M$5:$M$100000,K$5,실적_원본!$J$5:$J$100000,$A31))</f>
        <v/>
      </c>
      <c r="L31" s="28">
        <f>IF(L$5&gt;설정!$C$7,"",SUMIFS(실적_원본!$N$5:$N$100000,실적_원본!$L$5:$L$100000,설정!$C$6,실적_원본!$M$5:$M$100000,L$5,실적_원본!$J$5:$J$100000,$A31))</f>
        <v/>
      </c>
      <c r="M31" s="28">
        <f>IF(M$5&gt;설정!$C$7,"",SUMIFS(실적_원본!$N$5:$N$100000,실적_원본!$L$5:$L$100000,설정!$C$6,실적_원본!$M$5:$M$100000,M$5,실적_원본!$J$5:$J$100000,$A31))</f>
        <v/>
      </c>
      <c r="N31" s="28">
        <f>IF(N$5&gt;설정!$C$7,"",SUMIFS(실적_원본!$N$5:$N$100000,실적_원본!$L$5:$L$100000,설정!$C$6,실적_원본!$M$5:$M$100000,N$5,실적_원본!$J$5:$J$100000,$A31))</f>
        <v/>
      </c>
      <c r="O31" s="28">
        <f>IF(O$5&gt;설정!$C$7,"",SUMIFS(실적_원본!$N$5:$N$100000,실적_원본!$L$5:$L$100000,설정!$C$6,실적_원본!$M$5:$M$100000,O$5,실적_원본!$J$5:$J$100000,$A31))</f>
        <v/>
      </c>
      <c r="P31" s="54">
        <f>SUM(D31:O31)</f>
        <v/>
      </c>
    </row>
    <row r="32">
      <c r="A32" s="12" t="inlineStr">
        <is>
          <t>D800</t>
        </is>
      </c>
      <c r="B32" s="20">
        <f>IFERROR(INDEX(부서매핑!$D$5:$D$504,MATCH($A32,부서매핑!$C$5:$C$504,0)),"")</f>
        <v/>
      </c>
      <c r="C32" s="12" t="inlineStr">
        <is>
          <t>전년실적</t>
        </is>
      </c>
      <c r="D32" s="28">
        <f>SUMIFS(실적_원본!$N$5:$N$100000,실적_원본!$L$5:$L$100000,설정!$C$6-1,실적_원본!$M$5:$M$100000,D$5,실적_원본!$J$5:$J$100000,$A32)</f>
        <v/>
      </c>
      <c r="E32" s="28">
        <f>SUMIFS(실적_원본!$N$5:$N$100000,실적_원본!$L$5:$L$100000,설정!$C$6-1,실적_원본!$M$5:$M$100000,E$5,실적_원본!$J$5:$J$100000,$A32)</f>
        <v/>
      </c>
      <c r="F32" s="28">
        <f>SUMIFS(실적_원본!$N$5:$N$100000,실적_원본!$L$5:$L$100000,설정!$C$6-1,실적_원본!$M$5:$M$100000,F$5,실적_원본!$J$5:$J$100000,$A32)</f>
        <v/>
      </c>
      <c r="G32" s="28">
        <f>SUMIFS(실적_원본!$N$5:$N$100000,실적_원본!$L$5:$L$100000,설정!$C$6-1,실적_원본!$M$5:$M$100000,G$5,실적_원본!$J$5:$J$100000,$A32)</f>
        <v/>
      </c>
      <c r="H32" s="28">
        <f>SUMIFS(실적_원본!$N$5:$N$100000,실적_원본!$L$5:$L$100000,설정!$C$6-1,실적_원본!$M$5:$M$100000,H$5,실적_원본!$J$5:$J$100000,$A32)</f>
        <v/>
      </c>
      <c r="I32" s="28">
        <f>SUMIFS(실적_원본!$N$5:$N$100000,실적_원본!$L$5:$L$100000,설정!$C$6-1,실적_원본!$M$5:$M$100000,I$5,실적_원본!$J$5:$J$100000,$A32)</f>
        <v/>
      </c>
      <c r="J32" s="28">
        <f>SUMIFS(실적_원본!$N$5:$N$100000,실적_원본!$L$5:$L$100000,설정!$C$6-1,실적_원본!$M$5:$M$100000,J$5,실적_원본!$J$5:$J$100000,$A32)</f>
        <v/>
      </c>
      <c r="K32" s="28">
        <f>SUMIFS(실적_원본!$N$5:$N$100000,실적_원본!$L$5:$L$100000,설정!$C$6-1,실적_원본!$M$5:$M$100000,K$5,실적_원본!$J$5:$J$100000,$A32)</f>
        <v/>
      </c>
      <c r="L32" s="28">
        <f>SUMIFS(실적_원본!$N$5:$N$100000,실적_원본!$L$5:$L$100000,설정!$C$6-1,실적_원본!$M$5:$M$100000,L$5,실적_원본!$J$5:$J$100000,$A32)</f>
        <v/>
      </c>
      <c r="M32" s="28">
        <f>SUMIFS(실적_원본!$N$5:$N$100000,실적_원본!$L$5:$L$100000,설정!$C$6-1,실적_원본!$M$5:$M$100000,M$5,실적_원본!$J$5:$J$100000,$A32)</f>
        <v/>
      </c>
      <c r="N32" s="28">
        <f>SUMIFS(실적_원본!$N$5:$N$100000,실적_원본!$L$5:$L$100000,설정!$C$6-1,실적_원본!$M$5:$M$100000,N$5,실적_원본!$J$5:$J$100000,$A32)</f>
        <v/>
      </c>
      <c r="O32" s="28">
        <f>SUMIFS(실적_원본!$N$5:$N$100000,실적_원본!$L$5:$L$100000,설정!$C$6-1,실적_원본!$M$5:$M$100000,O$5,실적_원본!$J$5:$J$100000,$A32)</f>
        <v/>
      </c>
      <c r="P32" s="54">
        <f>SUM(D32:O32)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5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3" customWidth="1" min="4" max="4"/>
    <col hidden="1" width="1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1" customWidth="1" min="11" max="11"/>
    <col width="8" customWidth="1" min="12" max="12"/>
    <col width="12" customWidth="1" min="13" max="13"/>
    <col width="12" customWidth="1" min="14" max="14"/>
    <col width="8" customWidth="1" min="15" max="15"/>
    <col width="12" customWidth="1" min="16" max="16"/>
    <col width="11" customWidth="1" min="17" max="17"/>
    <col width="8" customWidth="1" min="18" max="18"/>
    <col width="11" customWidth="1" min="19" max="19"/>
    <col width="44" customWidth="1" min="20" max="20"/>
    <col width="9" customWidth="1" min="21" max="21"/>
    <col width="9" customWidth="1" min="22" max="22"/>
  </cols>
  <sheetData>
    <row r="1">
      <c r="A1" s="1" t="inlineStr">
        <is>
          <t>집계 (부서 × 예산항목)</t>
        </is>
      </c>
    </row>
    <row r="2">
      <c r="A2" s="2" t="inlineStr">
        <is>
          <t>A·C열(파란색)만 입력 · 새 부서/항목은 매크로가 자동 추가 (매크로 없이 쓰면 직접 추가) · 차이 = 실적 − 예산</t>
        </is>
      </c>
    </row>
    <row r="3">
      <c r="A3" s="42">
        <f>"기준: "&amp;설정!$C$6&amp;"년 "&amp;설정!$C$7&amp;"월 · 예산버전: "&amp;설정!$C$8&amp;" · 단위: "&amp;설정!$C$11</f>
        <v/>
      </c>
    </row>
    <row r="4">
      <c r="D4" s="32" t="inlineStr">
        <is>
          <t>합계</t>
        </is>
      </c>
      <c r="F4" s="47">
        <f>SUM(F7:F506)</f>
        <v/>
      </c>
      <c r="G4" s="47">
        <f>SUM(G7:G506)</f>
        <v/>
      </c>
      <c r="H4" s="47">
        <f>SUM(H7:H506)</f>
        <v/>
      </c>
      <c r="I4" s="47">
        <f>SUM(I7:I506)</f>
        <v/>
      </c>
      <c r="J4" s="47">
        <f>SUM(J7:J506)</f>
        <v/>
      </c>
      <c r="K4" s="47">
        <f>SUM(K7:K506)</f>
        <v/>
      </c>
      <c r="L4" s="48">
        <f>IF(I4=0,0,J4/I4)</f>
        <v/>
      </c>
      <c r="M4" s="47">
        <f>SUM(M7:M506)</f>
        <v/>
      </c>
      <c r="N4" s="47">
        <f>SUM(N7:N506)</f>
        <v/>
      </c>
      <c r="O4" s="48">
        <f>IF(M4=0,0,J4/M4)</f>
        <v/>
      </c>
      <c r="P4" s="47">
        <f>SUM(P7:P506)</f>
        <v/>
      </c>
      <c r="Q4" s="47">
        <f>SUM(Q7:Q506)</f>
        <v/>
      </c>
      <c r="R4" s="48">
        <f>IF(P4=0,0,J4/P4-1)</f>
        <v/>
      </c>
    </row>
    <row r="6" ht="30" customHeight="1">
      <c r="A6" s="5" t="inlineStr">
        <is>
          <t>부서코드</t>
        </is>
      </c>
      <c r="B6" s="5" t="inlineStr">
        <is>
          <t>부서명</t>
        </is>
      </c>
      <c r="C6" s="5" t="inlineStr">
        <is>
          <t>예산항목
코드</t>
        </is>
      </c>
      <c r="D6" s="5" t="inlineStr">
        <is>
          <t>예산항목명</t>
        </is>
      </c>
      <c r="E6" s="5" t="inlineStr">
        <is>
          <t>키</t>
        </is>
      </c>
      <c r="F6" s="5" t="inlineStr">
        <is>
          <t>당월예산</t>
        </is>
      </c>
      <c r="G6" s="5" t="inlineStr">
        <is>
          <t>당월실적</t>
        </is>
      </c>
      <c r="H6" s="5" t="inlineStr">
        <is>
          <t>당월차이</t>
        </is>
      </c>
      <c r="I6" s="5" t="inlineStr">
        <is>
          <t>누계예산</t>
        </is>
      </c>
      <c r="J6" s="5" t="inlineStr">
        <is>
          <t>누계실적</t>
        </is>
      </c>
      <c r="K6" s="5" t="inlineStr">
        <is>
          <t>누계차이</t>
        </is>
      </c>
      <c r="L6" s="5" t="inlineStr">
        <is>
          <t>누계
집행률</t>
        </is>
      </c>
      <c r="M6" s="5" t="inlineStr">
        <is>
          <t>연간예산</t>
        </is>
      </c>
      <c r="N6" s="5" t="inlineStr">
        <is>
          <t>잔여예산</t>
        </is>
      </c>
      <c r="O6" s="5" t="inlineStr">
        <is>
          <t>연간
소진율</t>
        </is>
      </c>
      <c r="P6" s="5" t="inlineStr">
        <is>
          <t>전년동기
누계실적</t>
        </is>
      </c>
      <c r="Q6" s="5" t="inlineStr">
        <is>
          <t>전년비
증감</t>
        </is>
      </c>
      <c r="R6" s="5" t="inlineStr">
        <is>
          <t>전년비
증감률</t>
        </is>
      </c>
      <c r="S6" s="5" t="inlineStr">
        <is>
          <t>판정</t>
        </is>
      </c>
      <c r="T6" s="5" t="inlineStr">
        <is>
          <t>원인·조치 코멘트</t>
        </is>
      </c>
      <c r="U6" s="43" t="inlineStr">
        <is>
          <t>예외점수</t>
        </is>
      </c>
      <c r="V6" s="43" t="inlineStr">
        <is>
          <t>초과점수</t>
        </is>
      </c>
    </row>
    <row r="7">
      <c r="A7" s="12" t="inlineStr">
        <is>
          <t>D100</t>
        </is>
      </c>
      <c r="B7" s="20">
        <f>IF($A7="","",IFERROR(INDEX(부서매핑!$D$5:$D$504,MATCH($A7,부서매핑!$C$5:$C$504,0)),"부서매핑 없음"))</f>
        <v/>
      </c>
      <c r="C7" s="12" t="inlineStr">
        <is>
          <t>B01</t>
        </is>
      </c>
      <c r="D7" s="20">
        <f>IF($A7="","",IFERROR(INDEX(계정매핑!$D$5:$D$504,MATCH($C7,계정매핑!$C$5:$C$504,0)),"항목매핑 없음"))</f>
        <v/>
      </c>
      <c r="E7" s="19">
        <f>IF($A7="","",$A7&amp;"|"&amp;$C7)</f>
        <v/>
      </c>
      <c r="F7" s="28">
        <f>IF($A7="","",SUMIFS(예산_원본!$W$5:$W$3004,예산_원본!$T$5:$T$3004,$E7,예산_원본!$B$5:$B$3004,설정!$C$8,예산_원본!$U$5:$U$3004,설정!$C$6))</f>
        <v/>
      </c>
      <c r="G7" s="28">
        <f>IF($A7="","",SUMIFS(실적_원본!$N$5:$N$100000,실적_원본!$O$5:$O$100000,$E7,실적_원본!$L$5:$L$100000,설정!$C$6,실적_원본!$M$5:$M$100000,설정!$C$7))</f>
        <v/>
      </c>
      <c r="H7" s="44">
        <f>IF($A7="","",G7-F7)</f>
        <v/>
      </c>
      <c r="I7" s="28">
        <f>IF($A7="","",SUMIFS(예산_원본!$X$5:$X$3004,예산_원본!$T$5:$T$3004,$E7,예산_원본!$B$5:$B$3004,설정!$C$8,예산_원본!$U$5:$U$3004,설정!$C$6))</f>
        <v/>
      </c>
      <c r="J7" s="28">
        <f>IF($A7="","",SUMIFS(실적_원본!$N$5:$N$100000,실적_원본!$O$5:$O$100000,$E7,실적_원본!$L$5:$L$100000,설정!$C$6,실적_원본!$M$5:$M$100000,"&lt;="&amp;설정!$C$7))</f>
        <v/>
      </c>
      <c r="K7" s="44">
        <f>IF($A7="","",J7-I7)</f>
        <v/>
      </c>
      <c r="L7" s="45">
        <f>IF($A7="","",IF(I7=0,0,J7/I7))</f>
        <v/>
      </c>
      <c r="M7" s="28">
        <f>IF($A7="","",SUMIFS(예산_원본!$V$5:$V$3004,예산_원본!$T$5:$T$3004,$E7,예산_원본!$B$5:$B$3004,설정!$C$8,예산_원본!$U$5:$U$3004,설정!$C$6))</f>
        <v/>
      </c>
      <c r="N7" s="44">
        <f>IF($A7="","",M7-J7)</f>
        <v/>
      </c>
      <c r="O7" s="45">
        <f>IF($A7="","",IF(M7=0,0,J7/M7))</f>
        <v/>
      </c>
      <c r="P7" s="28">
        <f>IF($A7="","",SUMIFS(실적_원본!$N$5:$N$100000,실적_원본!$O$5:$O$100000,$E7,실적_원본!$L$5:$L$100000,설정!$C$6-1,실적_원본!$M$5:$M$100000,"&lt;="&amp;설정!$C$7))</f>
        <v/>
      </c>
      <c r="Q7" s="44">
        <f>IF($A7="","",J7-P7)</f>
        <v/>
      </c>
      <c r="R7" s="45">
        <f>IF($A7="","",IF(P7=0,0,J7/P7-1))</f>
        <v/>
      </c>
      <c r="S7" s="40">
        <f>IF($A7="","",IF(AND(I7=0,J7&lt;&gt;0),"무예산집행",IF(ABS(K7)&lt;설정!$C$13,"정상",IF(L7&gt;1+설정!$C$12,"초과",IF(L7&lt;1-설정!$C$12,"과소","정상")))))</f>
        <v/>
      </c>
      <c r="T7" s="20">
        <f>IF($A7="","",IFERROR(INDEX(코멘트!$E$5:$E$2004,MATCH(설정!$C$6&amp;"|"&amp;설정!$C$7&amp;"|"&amp;$E7,코멘트!$H$5:$H$2004,0)),""))</f>
        <v/>
      </c>
      <c r="U7" s="55">
        <f>IF($A7="","",IF(S7="정상",-1,ABS(K7)+ROW()/1000000))</f>
        <v/>
      </c>
      <c r="V7" s="55">
        <f>IF($A7="",0,K7+ROW()/1000000)</f>
        <v/>
      </c>
    </row>
    <row r="8">
      <c r="A8" s="12" t="inlineStr">
        <is>
          <t>D100</t>
        </is>
      </c>
      <c r="B8" s="20">
        <f>IF($A8="","",IFERROR(INDEX(부서매핑!$D$5:$D$504,MATCH($A8,부서매핑!$C$5:$C$504,0)),"부서매핑 없음"))</f>
        <v/>
      </c>
      <c r="C8" s="12" t="inlineStr">
        <is>
          <t>B02</t>
        </is>
      </c>
      <c r="D8" s="20">
        <f>IF($A8="","",IFERROR(INDEX(계정매핑!$D$5:$D$504,MATCH($C8,계정매핑!$C$5:$C$504,0)),"항목매핑 없음"))</f>
        <v/>
      </c>
      <c r="E8" s="19">
        <f>IF($A8="","",$A8&amp;"|"&amp;$C8)</f>
        <v/>
      </c>
      <c r="F8" s="28">
        <f>IF($A8="","",SUMIFS(예산_원본!$W$5:$W$3004,예산_원본!$T$5:$T$3004,$E8,예산_원본!$B$5:$B$3004,설정!$C$8,예산_원본!$U$5:$U$3004,설정!$C$6))</f>
        <v/>
      </c>
      <c r="G8" s="28">
        <f>IF($A8="","",SUMIFS(실적_원본!$N$5:$N$100000,실적_원본!$O$5:$O$100000,$E8,실적_원본!$L$5:$L$100000,설정!$C$6,실적_원본!$M$5:$M$100000,설정!$C$7))</f>
        <v/>
      </c>
      <c r="H8" s="44">
        <f>IF($A8="","",G8-F8)</f>
        <v/>
      </c>
      <c r="I8" s="28">
        <f>IF($A8="","",SUMIFS(예산_원본!$X$5:$X$3004,예산_원본!$T$5:$T$3004,$E8,예산_원본!$B$5:$B$3004,설정!$C$8,예산_원본!$U$5:$U$3004,설정!$C$6))</f>
        <v/>
      </c>
      <c r="J8" s="28">
        <f>IF($A8="","",SUMIFS(실적_원본!$N$5:$N$100000,실적_원본!$O$5:$O$100000,$E8,실적_원본!$L$5:$L$100000,설정!$C$6,실적_원본!$M$5:$M$100000,"&lt;="&amp;설정!$C$7))</f>
        <v/>
      </c>
      <c r="K8" s="44">
        <f>IF($A8="","",J8-I8)</f>
        <v/>
      </c>
      <c r="L8" s="45">
        <f>IF($A8="","",IF(I8=0,0,J8/I8))</f>
        <v/>
      </c>
      <c r="M8" s="28">
        <f>IF($A8="","",SUMIFS(예산_원본!$V$5:$V$3004,예산_원본!$T$5:$T$3004,$E8,예산_원본!$B$5:$B$3004,설정!$C$8,예산_원본!$U$5:$U$3004,설정!$C$6))</f>
        <v/>
      </c>
      <c r="N8" s="44">
        <f>IF($A8="","",M8-J8)</f>
        <v/>
      </c>
      <c r="O8" s="45">
        <f>IF($A8="","",IF(M8=0,0,J8/M8))</f>
        <v/>
      </c>
      <c r="P8" s="28">
        <f>IF($A8="","",SUMIFS(실적_원본!$N$5:$N$100000,실적_원본!$O$5:$O$100000,$E8,실적_원본!$L$5:$L$100000,설정!$C$6-1,실적_원본!$M$5:$M$100000,"&lt;="&amp;설정!$C$7))</f>
        <v/>
      </c>
      <c r="Q8" s="44">
        <f>IF($A8="","",J8-P8)</f>
        <v/>
      </c>
      <c r="R8" s="45">
        <f>IF($A8="","",IF(P8=0,0,J8/P8-1))</f>
        <v/>
      </c>
      <c r="S8" s="40">
        <f>IF($A8="","",IF(AND(I8=0,J8&lt;&gt;0),"무예산집행",IF(ABS(K8)&lt;설정!$C$13,"정상",IF(L8&gt;1+설정!$C$12,"초과",IF(L8&lt;1-설정!$C$12,"과소","정상")))))</f>
        <v/>
      </c>
      <c r="T8" s="20">
        <f>IF($A8="","",IFERROR(INDEX(코멘트!$E$5:$E$2004,MATCH(설정!$C$6&amp;"|"&amp;설정!$C$7&amp;"|"&amp;$E8,코멘트!$H$5:$H$2004,0)),""))</f>
        <v/>
      </c>
      <c r="U8" s="55">
        <f>IF($A8="","",IF(S8="정상",-1,ABS(K8)+ROW()/1000000))</f>
        <v/>
      </c>
      <c r="V8" s="55">
        <f>IF($A8="",0,K8+ROW()/1000000)</f>
        <v/>
      </c>
    </row>
    <row r="9">
      <c r="A9" s="12" t="inlineStr">
        <is>
          <t>D100</t>
        </is>
      </c>
      <c r="B9" s="20">
        <f>IF($A9="","",IFERROR(INDEX(부서매핑!$D$5:$D$504,MATCH($A9,부서매핑!$C$5:$C$504,0)),"부서매핑 없음"))</f>
        <v/>
      </c>
      <c r="C9" s="12" t="inlineStr">
        <is>
          <t>B03</t>
        </is>
      </c>
      <c r="D9" s="20">
        <f>IF($A9="","",IFERROR(INDEX(계정매핑!$D$5:$D$504,MATCH($C9,계정매핑!$C$5:$C$504,0)),"항목매핑 없음"))</f>
        <v/>
      </c>
      <c r="E9" s="19">
        <f>IF($A9="","",$A9&amp;"|"&amp;$C9)</f>
        <v/>
      </c>
      <c r="F9" s="28">
        <f>IF($A9="","",SUMIFS(예산_원본!$W$5:$W$3004,예산_원본!$T$5:$T$3004,$E9,예산_원본!$B$5:$B$3004,설정!$C$8,예산_원본!$U$5:$U$3004,설정!$C$6))</f>
        <v/>
      </c>
      <c r="G9" s="28">
        <f>IF($A9="","",SUMIFS(실적_원본!$N$5:$N$100000,실적_원본!$O$5:$O$100000,$E9,실적_원본!$L$5:$L$100000,설정!$C$6,실적_원본!$M$5:$M$100000,설정!$C$7))</f>
        <v/>
      </c>
      <c r="H9" s="44">
        <f>IF($A9="","",G9-F9)</f>
        <v/>
      </c>
      <c r="I9" s="28">
        <f>IF($A9="","",SUMIFS(예산_원본!$X$5:$X$3004,예산_원본!$T$5:$T$3004,$E9,예산_원본!$B$5:$B$3004,설정!$C$8,예산_원본!$U$5:$U$3004,설정!$C$6))</f>
        <v/>
      </c>
      <c r="J9" s="28">
        <f>IF($A9="","",SUMIFS(실적_원본!$N$5:$N$100000,실적_원본!$O$5:$O$100000,$E9,실적_원본!$L$5:$L$100000,설정!$C$6,실적_원본!$M$5:$M$100000,"&lt;="&amp;설정!$C$7))</f>
        <v/>
      </c>
      <c r="K9" s="44">
        <f>IF($A9="","",J9-I9)</f>
        <v/>
      </c>
      <c r="L9" s="45">
        <f>IF($A9="","",IF(I9=0,0,J9/I9))</f>
        <v/>
      </c>
      <c r="M9" s="28">
        <f>IF($A9="","",SUMIFS(예산_원본!$V$5:$V$3004,예산_원본!$T$5:$T$3004,$E9,예산_원본!$B$5:$B$3004,설정!$C$8,예산_원본!$U$5:$U$3004,설정!$C$6))</f>
        <v/>
      </c>
      <c r="N9" s="44">
        <f>IF($A9="","",M9-J9)</f>
        <v/>
      </c>
      <c r="O9" s="45">
        <f>IF($A9="","",IF(M9=0,0,J9/M9))</f>
        <v/>
      </c>
      <c r="P9" s="28">
        <f>IF($A9="","",SUMIFS(실적_원본!$N$5:$N$100000,실적_원본!$O$5:$O$100000,$E9,실적_원본!$L$5:$L$100000,설정!$C$6-1,실적_원본!$M$5:$M$100000,"&lt;="&amp;설정!$C$7))</f>
        <v/>
      </c>
      <c r="Q9" s="44">
        <f>IF($A9="","",J9-P9)</f>
        <v/>
      </c>
      <c r="R9" s="45">
        <f>IF($A9="","",IF(P9=0,0,J9/P9-1))</f>
        <v/>
      </c>
      <c r="S9" s="40">
        <f>IF($A9="","",IF(AND(I9=0,J9&lt;&gt;0),"무예산집행",IF(ABS(K9)&lt;설정!$C$13,"정상",IF(L9&gt;1+설정!$C$12,"초과",IF(L9&lt;1-설정!$C$12,"과소","정상")))))</f>
        <v/>
      </c>
      <c r="T9" s="20">
        <f>IF($A9="","",IFERROR(INDEX(코멘트!$E$5:$E$2004,MATCH(설정!$C$6&amp;"|"&amp;설정!$C$7&amp;"|"&amp;$E9,코멘트!$H$5:$H$2004,0)),""))</f>
        <v/>
      </c>
      <c r="U9" s="55">
        <f>IF($A9="","",IF(S9="정상",-1,ABS(K9)+ROW()/1000000))</f>
        <v/>
      </c>
      <c r="V9" s="55">
        <f>IF($A9="",0,K9+ROW()/1000000)</f>
        <v/>
      </c>
    </row>
    <row r="10">
      <c r="A10" s="12" t="inlineStr">
        <is>
          <t>D100</t>
        </is>
      </c>
      <c r="B10" s="20">
        <f>IF($A10="","",IFERROR(INDEX(부서매핑!$D$5:$D$504,MATCH($A10,부서매핑!$C$5:$C$504,0)),"부서매핑 없음"))</f>
        <v/>
      </c>
      <c r="C10" s="12" t="inlineStr">
        <is>
          <t>B05</t>
        </is>
      </c>
      <c r="D10" s="20">
        <f>IF($A10="","",IFERROR(INDEX(계정매핑!$D$5:$D$504,MATCH($C10,계정매핑!$C$5:$C$504,0)),"항목매핑 없음"))</f>
        <v/>
      </c>
      <c r="E10" s="19">
        <f>IF($A10="","",$A10&amp;"|"&amp;$C10)</f>
        <v/>
      </c>
      <c r="F10" s="28">
        <f>IF($A10="","",SUMIFS(예산_원본!$W$5:$W$3004,예산_원본!$T$5:$T$3004,$E10,예산_원본!$B$5:$B$3004,설정!$C$8,예산_원본!$U$5:$U$3004,설정!$C$6))</f>
        <v/>
      </c>
      <c r="G10" s="28">
        <f>IF($A10="","",SUMIFS(실적_원본!$N$5:$N$100000,실적_원본!$O$5:$O$100000,$E10,실적_원본!$L$5:$L$100000,설정!$C$6,실적_원본!$M$5:$M$100000,설정!$C$7))</f>
        <v/>
      </c>
      <c r="H10" s="44">
        <f>IF($A10="","",G10-F10)</f>
        <v/>
      </c>
      <c r="I10" s="28">
        <f>IF($A10="","",SUMIFS(예산_원본!$X$5:$X$3004,예산_원본!$T$5:$T$3004,$E10,예산_원본!$B$5:$B$3004,설정!$C$8,예산_원본!$U$5:$U$3004,설정!$C$6))</f>
        <v/>
      </c>
      <c r="J10" s="28">
        <f>IF($A10="","",SUMIFS(실적_원본!$N$5:$N$100000,실적_원본!$O$5:$O$100000,$E10,실적_원본!$L$5:$L$100000,설정!$C$6,실적_원본!$M$5:$M$100000,"&lt;="&amp;설정!$C$7))</f>
        <v/>
      </c>
      <c r="K10" s="44">
        <f>IF($A10="","",J10-I10)</f>
        <v/>
      </c>
      <c r="L10" s="45">
        <f>IF($A10="","",IF(I10=0,0,J10/I10))</f>
        <v/>
      </c>
      <c r="M10" s="28">
        <f>IF($A10="","",SUMIFS(예산_원본!$V$5:$V$3004,예산_원본!$T$5:$T$3004,$E10,예산_원본!$B$5:$B$3004,설정!$C$8,예산_원본!$U$5:$U$3004,설정!$C$6))</f>
        <v/>
      </c>
      <c r="N10" s="44">
        <f>IF($A10="","",M10-J10)</f>
        <v/>
      </c>
      <c r="O10" s="45">
        <f>IF($A10="","",IF(M10=0,0,J10/M10))</f>
        <v/>
      </c>
      <c r="P10" s="28">
        <f>IF($A10="","",SUMIFS(실적_원본!$N$5:$N$100000,실적_원본!$O$5:$O$100000,$E10,실적_원본!$L$5:$L$100000,설정!$C$6-1,실적_원본!$M$5:$M$100000,"&lt;="&amp;설정!$C$7))</f>
        <v/>
      </c>
      <c r="Q10" s="44">
        <f>IF($A10="","",J10-P10)</f>
        <v/>
      </c>
      <c r="R10" s="45">
        <f>IF($A10="","",IF(P10=0,0,J10/P10-1))</f>
        <v/>
      </c>
      <c r="S10" s="40">
        <f>IF($A10="","",IF(AND(I10=0,J10&lt;&gt;0),"무예산집행",IF(ABS(K10)&lt;설정!$C$13,"정상",IF(L10&gt;1+설정!$C$12,"초과",IF(L10&lt;1-설정!$C$12,"과소","정상")))))</f>
        <v/>
      </c>
      <c r="T10" s="20">
        <f>IF($A10="","",IFERROR(INDEX(코멘트!$E$5:$E$2004,MATCH(설정!$C$6&amp;"|"&amp;설정!$C$7&amp;"|"&amp;$E10,코멘트!$H$5:$H$2004,0)),""))</f>
        <v/>
      </c>
      <c r="U10" s="55">
        <f>IF($A10="","",IF(S10="정상",-1,ABS(K10)+ROW()/1000000))</f>
        <v/>
      </c>
      <c r="V10" s="55">
        <f>IF($A10="",0,K10+ROW()/1000000)</f>
        <v/>
      </c>
    </row>
    <row r="11">
      <c r="A11" s="12" t="inlineStr">
        <is>
          <t>D100</t>
        </is>
      </c>
      <c r="B11" s="20">
        <f>IF($A11="","",IFERROR(INDEX(부서매핑!$D$5:$D$504,MATCH($A11,부서매핑!$C$5:$C$504,0)),"부서매핑 없음"))</f>
        <v/>
      </c>
      <c r="C11" s="12" t="inlineStr">
        <is>
          <t>B06</t>
        </is>
      </c>
      <c r="D11" s="20">
        <f>IF($A11="","",IFERROR(INDEX(계정매핑!$D$5:$D$504,MATCH($C11,계정매핑!$C$5:$C$504,0)),"항목매핑 없음"))</f>
        <v/>
      </c>
      <c r="E11" s="19">
        <f>IF($A11="","",$A11&amp;"|"&amp;$C11)</f>
        <v/>
      </c>
      <c r="F11" s="28">
        <f>IF($A11="","",SUMIFS(예산_원본!$W$5:$W$3004,예산_원본!$T$5:$T$3004,$E11,예산_원본!$B$5:$B$3004,설정!$C$8,예산_원본!$U$5:$U$3004,설정!$C$6))</f>
        <v/>
      </c>
      <c r="G11" s="28">
        <f>IF($A11="","",SUMIFS(실적_원본!$N$5:$N$100000,실적_원본!$O$5:$O$100000,$E11,실적_원본!$L$5:$L$100000,설정!$C$6,실적_원본!$M$5:$M$100000,설정!$C$7))</f>
        <v/>
      </c>
      <c r="H11" s="44">
        <f>IF($A11="","",G11-F11)</f>
        <v/>
      </c>
      <c r="I11" s="28">
        <f>IF($A11="","",SUMIFS(예산_원본!$X$5:$X$3004,예산_원본!$T$5:$T$3004,$E11,예산_원본!$B$5:$B$3004,설정!$C$8,예산_원본!$U$5:$U$3004,설정!$C$6))</f>
        <v/>
      </c>
      <c r="J11" s="28">
        <f>IF($A11="","",SUMIFS(실적_원본!$N$5:$N$100000,실적_원본!$O$5:$O$100000,$E11,실적_원본!$L$5:$L$100000,설정!$C$6,실적_원본!$M$5:$M$100000,"&lt;="&amp;설정!$C$7))</f>
        <v/>
      </c>
      <c r="K11" s="44">
        <f>IF($A11="","",J11-I11)</f>
        <v/>
      </c>
      <c r="L11" s="45">
        <f>IF($A11="","",IF(I11=0,0,J11/I11))</f>
        <v/>
      </c>
      <c r="M11" s="28">
        <f>IF($A11="","",SUMIFS(예산_원본!$V$5:$V$3004,예산_원본!$T$5:$T$3004,$E11,예산_원본!$B$5:$B$3004,설정!$C$8,예산_원본!$U$5:$U$3004,설정!$C$6))</f>
        <v/>
      </c>
      <c r="N11" s="44">
        <f>IF($A11="","",M11-J11)</f>
        <v/>
      </c>
      <c r="O11" s="45">
        <f>IF($A11="","",IF(M11=0,0,J11/M11))</f>
        <v/>
      </c>
      <c r="P11" s="28">
        <f>IF($A11="","",SUMIFS(실적_원본!$N$5:$N$100000,실적_원본!$O$5:$O$100000,$E11,실적_원본!$L$5:$L$100000,설정!$C$6-1,실적_원본!$M$5:$M$100000,"&lt;="&amp;설정!$C$7))</f>
        <v/>
      </c>
      <c r="Q11" s="44">
        <f>IF($A11="","",J11-P11)</f>
        <v/>
      </c>
      <c r="R11" s="45">
        <f>IF($A11="","",IF(P11=0,0,J11/P11-1))</f>
        <v/>
      </c>
      <c r="S11" s="40">
        <f>IF($A11="","",IF(AND(I11=0,J11&lt;&gt;0),"무예산집행",IF(ABS(K11)&lt;설정!$C$13,"정상",IF(L11&gt;1+설정!$C$12,"초과",IF(L11&lt;1-설정!$C$12,"과소","정상")))))</f>
        <v/>
      </c>
      <c r="T11" s="20">
        <f>IF($A11="","",IFERROR(INDEX(코멘트!$E$5:$E$2004,MATCH(설정!$C$6&amp;"|"&amp;설정!$C$7&amp;"|"&amp;$E11,코멘트!$H$5:$H$2004,0)),""))</f>
        <v/>
      </c>
      <c r="U11" s="55">
        <f>IF($A11="","",IF(S11="정상",-1,ABS(K11)+ROW()/1000000))</f>
        <v/>
      </c>
      <c r="V11" s="55">
        <f>IF($A11="",0,K11+ROW()/1000000)</f>
        <v/>
      </c>
    </row>
    <row r="12">
      <c r="A12" s="12" t="inlineStr">
        <is>
          <t>D100</t>
        </is>
      </c>
      <c r="B12" s="20">
        <f>IF($A12="","",IFERROR(INDEX(부서매핑!$D$5:$D$504,MATCH($A12,부서매핑!$C$5:$C$504,0)),"부서매핑 없음"))</f>
        <v/>
      </c>
      <c r="C12" s="12" t="inlineStr">
        <is>
          <t>B09</t>
        </is>
      </c>
      <c r="D12" s="20">
        <f>IF($A12="","",IFERROR(INDEX(계정매핑!$D$5:$D$504,MATCH($C12,계정매핑!$C$5:$C$504,0)),"항목매핑 없음"))</f>
        <v/>
      </c>
      <c r="E12" s="19">
        <f>IF($A12="","",$A12&amp;"|"&amp;$C12)</f>
        <v/>
      </c>
      <c r="F12" s="28">
        <f>IF($A12="","",SUMIFS(예산_원본!$W$5:$W$3004,예산_원본!$T$5:$T$3004,$E12,예산_원본!$B$5:$B$3004,설정!$C$8,예산_원본!$U$5:$U$3004,설정!$C$6))</f>
        <v/>
      </c>
      <c r="G12" s="28">
        <f>IF($A12="","",SUMIFS(실적_원본!$N$5:$N$100000,실적_원본!$O$5:$O$100000,$E12,실적_원본!$L$5:$L$100000,설정!$C$6,실적_원본!$M$5:$M$100000,설정!$C$7))</f>
        <v/>
      </c>
      <c r="H12" s="44">
        <f>IF($A12="","",G12-F12)</f>
        <v/>
      </c>
      <c r="I12" s="28">
        <f>IF($A12="","",SUMIFS(예산_원본!$X$5:$X$3004,예산_원본!$T$5:$T$3004,$E12,예산_원본!$B$5:$B$3004,설정!$C$8,예산_원본!$U$5:$U$3004,설정!$C$6))</f>
        <v/>
      </c>
      <c r="J12" s="28">
        <f>IF($A12="","",SUMIFS(실적_원본!$N$5:$N$100000,실적_원본!$O$5:$O$100000,$E12,실적_원본!$L$5:$L$100000,설정!$C$6,실적_원본!$M$5:$M$100000,"&lt;="&amp;설정!$C$7))</f>
        <v/>
      </c>
      <c r="K12" s="44">
        <f>IF($A12="","",J12-I12)</f>
        <v/>
      </c>
      <c r="L12" s="45">
        <f>IF($A12="","",IF(I12=0,0,J12/I12))</f>
        <v/>
      </c>
      <c r="M12" s="28">
        <f>IF($A12="","",SUMIFS(예산_원본!$V$5:$V$3004,예산_원본!$T$5:$T$3004,$E12,예산_원본!$B$5:$B$3004,설정!$C$8,예산_원본!$U$5:$U$3004,설정!$C$6))</f>
        <v/>
      </c>
      <c r="N12" s="44">
        <f>IF($A12="","",M12-J12)</f>
        <v/>
      </c>
      <c r="O12" s="45">
        <f>IF($A12="","",IF(M12=0,0,J12/M12))</f>
        <v/>
      </c>
      <c r="P12" s="28">
        <f>IF($A12="","",SUMIFS(실적_원본!$N$5:$N$100000,실적_원본!$O$5:$O$100000,$E12,실적_원본!$L$5:$L$100000,설정!$C$6-1,실적_원본!$M$5:$M$100000,"&lt;="&amp;설정!$C$7))</f>
        <v/>
      </c>
      <c r="Q12" s="44">
        <f>IF($A12="","",J12-P12)</f>
        <v/>
      </c>
      <c r="R12" s="45">
        <f>IF($A12="","",IF(P12=0,0,J12/P12-1))</f>
        <v/>
      </c>
      <c r="S12" s="40">
        <f>IF($A12="","",IF(AND(I12=0,J12&lt;&gt;0),"무예산집행",IF(ABS(K12)&lt;설정!$C$13,"정상",IF(L12&gt;1+설정!$C$12,"초과",IF(L12&lt;1-설정!$C$12,"과소","정상")))))</f>
        <v/>
      </c>
      <c r="T12" s="20">
        <f>IF($A12="","",IFERROR(INDEX(코멘트!$E$5:$E$2004,MATCH(설정!$C$6&amp;"|"&amp;설정!$C$7&amp;"|"&amp;$E12,코멘트!$H$5:$H$2004,0)),""))</f>
        <v/>
      </c>
      <c r="U12" s="55">
        <f>IF($A12="","",IF(S12="정상",-1,ABS(K12)+ROW()/1000000))</f>
        <v/>
      </c>
      <c r="V12" s="55">
        <f>IF($A12="",0,K12+ROW()/1000000)</f>
        <v/>
      </c>
    </row>
    <row r="13">
      <c r="A13" s="12" t="inlineStr">
        <is>
          <t>D200</t>
        </is>
      </c>
      <c r="B13" s="20">
        <f>IF($A13="","",IFERROR(INDEX(부서매핑!$D$5:$D$504,MATCH($A13,부서매핑!$C$5:$C$504,0)),"부서매핑 없음"))</f>
        <v/>
      </c>
      <c r="C13" s="12" t="inlineStr">
        <is>
          <t>B01</t>
        </is>
      </c>
      <c r="D13" s="20">
        <f>IF($A13="","",IFERROR(INDEX(계정매핑!$D$5:$D$504,MATCH($C13,계정매핑!$C$5:$C$504,0)),"항목매핑 없음"))</f>
        <v/>
      </c>
      <c r="E13" s="19">
        <f>IF($A13="","",$A13&amp;"|"&amp;$C13)</f>
        <v/>
      </c>
      <c r="F13" s="28">
        <f>IF($A13="","",SUMIFS(예산_원본!$W$5:$W$3004,예산_원본!$T$5:$T$3004,$E13,예산_원본!$B$5:$B$3004,설정!$C$8,예산_원본!$U$5:$U$3004,설정!$C$6))</f>
        <v/>
      </c>
      <c r="G13" s="28">
        <f>IF($A13="","",SUMIFS(실적_원본!$N$5:$N$100000,실적_원본!$O$5:$O$100000,$E13,실적_원본!$L$5:$L$100000,설정!$C$6,실적_원본!$M$5:$M$100000,설정!$C$7))</f>
        <v/>
      </c>
      <c r="H13" s="44">
        <f>IF($A13="","",G13-F13)</f>
        <v/>
      </c>
      <c r="I13" s="28">
        <f>IF($A13="","",SUMIFS(예산_원본!$X$5:$X$3004,예산_원본!$T$5:$T$3004,$E13,예산_원본!$B$5:$B$3004,설정!$C$8,예산_원본!$U$5:$U$3004,설정!$C$6))</f>
        <v/>
      </c>
      <c r="J13" s="28">
        <f>IF($A13="","",SUMIFS(실적_원본!$N$5:$N$100000,실적_원본!$O$5:$O$100000,$E13,실적_원본!$L$5:$L$100000,설정!$C$6,실적_원본!$M$5:$M$100000,"&lt;="&amp;설정!$C$7))</f>
        <v/>
      </c>
      <c r="K13" s="44">
        <f>IF($A13="","",J13-I13)</f>
        <v/>
      </c>
      <c r="L13" s="45">
        <f>IF($A13="","",IF(I13=0,0,J13/I13))</f>
        <v/>
      </c>
      <c r="M13" s="28">
        <f>IF($A13="","",SUMIFS(예산_원본!$V$5:$V$3004,예산_원본!$T$5:$T$3004,$E13,예산_원본!$B$5:$B$3004,설정!$C$8,예산_원본!$U$5:$U$3004,설정!$C$6))</f>
        <v/>
      </c>
      <c r="N13" s="44">
        <f>IF($A13="","",M13-J13)</f>
        <v/>
      </c>
      <c r="O13" s="45">
        <f>IF($A13="","",IF(M13=0,0,J13/M13))</f>
        <v/>
      </c>
      <c r="P13" s="28">
        <f>IF($A13="","",SUMIFS(실적_원본!$N$5:$N$100000,실적_원본!$O$5:$O$100000,$E13,실적_원본!$L$5:$L$100000,설정!$C$6-1,실적_원본!$M$5:$M$100000,"&lt;="&amp;설정!$C$7))</f>
        <v/>
      </c>
      <c r="Q13" s="44">
        <f>IF($A13="","",J13-P13)</f>
        <v/>
      </c>
      <c r="R13" s="45">
        <f>IF($A13="","",IF(P13=0,0,J13/P13-1))</f>
        <v/>
      </c>
      <c r="S13" s="40">
        <f>IF($A13="","",IF(AND(I13=0,J13&lt;&gt;0),"무예산집행",IF(ABS(K13)&lt;설정!$C$13,"정상",IF(L13&gt;1+설정!$C$12,"초과",IF(L13&lt;1-설정!$C$12,"과소","정상")))))</f>
        <v/>
      </c>
      <c r="T13" s="20">
        <f>IF($A13="","",IFERROR(INDEX(코멘트!$E$5:$E$2004,MATCH(설정!$C$6&amp;"|"&amp;설정!$C$7&amp;"|"&amp;$E13,코멘트!$H$5:$H$2004,0)),""))</f>
        <v/>
      </c>
      <c r="U13" s="55">
        <f>IF($A13="","",IF(S13="정상",-1,ABS(K13)+ROW()/1000000))</f>
        <v/>
      </c>
      <c r="V13" s="55">
        <f>IF($A13="",0,K13+ROW()/1000000)</f>
        <v/>
      </c>
    </row>
    <row r="14">
      <c r="A14" s="12" t="inlineStr">
        <is>
          <t>D200</t>
        </is>
      </c>
      <c r="B14" s="20">
        <f>IF($A14="","",IFERROR(INDEX(부서매핑!$D$5:$D$504,MATCH($A14,부서매핑!$C$5:$C$504,0)),"부서매핑 없음"))</f>
        <v/>
      </c>
      <c r="C14" s="12" t="inlineStr">
        <is>
          <t>B02</t>
        </is>
      </c>
      <c r="D14" s="20">
        <f>IF($A14="","",IFERROR(INDEX(계정매핑!$D$5:$D$504,MATCH($C14,계정매핑!$C$5:$C$504,0)),"항목매핑 없음"))</f>
        <v/>
      </c>
      <c r="E14" s="19">
        <f>IF($A14="","",$A14&amp;"|"&amp;$C14)</f>
        <v/>
      </c>
      <c r="F14" s="28">
        <f>IF($A14="","",SUMIFS(예산_원본!$W$5:$W$3004,예산_원본!$T$5:$T$3004,$E14,예산_원본!$B$5:$B$3004,설정!$C$8,예산_원본!$U$5:$U$3004,설정!$C$6))</f>
        <v/>
      </c>
      <c r="G14" s="28">
        <f>IF($A14="","",SUMIFS(실적_원본!$N$5:$N$100000,실적_원본!$O$5:$O$100000,$E14,실적_원본!$L$5:$L$100000,설정!$C$6,실적_원본!$M$5:$M$100000,설정!$C$7))</f>
        <v/>
      </c>
      <c r="H14" s="44">
        <f>IF($A14="","",G14-F14)</f>
        <v/>
      </c>
      <c r="I14" s="28">
        <f>IF($A14="","",SUMIFS(예산_원본!$X$5:$X$3004,예산_원본!$T$5:$T$3004,$E14,예산_원본!$B$5:$B$3004,설정!$C$8,예산_원본!$U$5:$U$3004,설정!$C$6))</f>
        <v/>
      </c>
      <c r="J14" s="28">
        <f>IF($A14="","",SUMIFS(실적_원본!$N$5:$N$100000,실적_원본!$O$5:$O$100000,$E14,실적_원본!$L$5:$L$100000,설정!$C$6,실적_원본!$M$5:$M$100000,"&lt;="&amp;설정!$C$7))</f>
        <v/>
      </c>
      <c r="K14" s="44">
        <f>IF($A14="","",J14-I14)</f>
        <v/>
      </c>
      <c r="L14" s="45">
        <f>IF($A14="","",IF(I14=0,0,J14/I14))</f>
        <v/>
      </c>
      <c r="M14" s="28">
        <f>IF($A14="","",SUMIFS(예산_원본!$V$5:$V$3004,예산_원본!$T$5:$T$3004,$E14,예산_원본!$B$5:$B$3004,설정!$C$8,예산_원본!$U$5:$U$3004,설정!$C$6))</f>
        <v/>
      </c>
      <c r="N14" s="44">
        <f>IF($A14="","",M14-J14)</f>
        <v/>
      </c>
      <c r="O14" s="45">
        <f>IF($A14="","",IF(M14=0,0,J14/M14))</f>
        <v/>
      </c>
      <c r="P14" s="28">
        <f>IF($A14="","",SUMIFS(실적_원본!$N$5:$N$100000,실적_원본!$O$5:$O$100000,$E14,실적_원본!$L$5:$L$100000,설정!$C$6-1,실적_원본!$M$5:$M$100000,"&lt;="&amp;설정!$C$7))</f>
        <v/>
      </c>
      <c r="Q14" s="44">
        <f>IF($A14="","",J14-P14)</f>
        <v/>
      </c>
      <c r="R14" s="45">
        <f>IF($A14="","",IF(P14=0,0,J14/P14-1))</f>
        <v/>
      </c>
      <c r="S14" s="40">
        <f>IF($A14="","",IF(AND(I14=0,J14&lt;&gt;0),"무예산집행",IF(ABS(K14)&lt;설정!$C$13,"정상",IF(L14&gt;1+설정!$C$12,"초과",IF(L14&lt;1-설정!$C$12,"과소","정상")))))</f>
        <v/>
      </c>
      <c r="T14" s="20">
        <f>IF($A14="","",IFERROR(INDEX(코멘트!$E$5:$E$2004,MATCH(설정!$C$6&amp;"|"&amp;설정!$C$7&amp;"|"&amp;$E14,코멘트!$H$5:$H$2004,0)),""))</f>
        <v/>
      </c>
      <c r="U14" s="55">
        <f>IF($A14="","",IF(S14="정상",-1,ABS(K14)+ROW()/1000000))</f>
        <v/>
      </c>
      <c r="V14" s="55">
        <f>IF($A14="",0,K14+ROW()/1000000)</f>
        <v/>
      </c>
    </row>
    <row r="15">
      <c r="A15" s="12" t="inlineStr">
        <is>
          <t>D200</t>
        </is>
      </c>
      <c r="B15" s="20">
        <f>IF($A15="","",IFERROR(INDEX(부서매핑!$D$5:$D$504,MATCH($A15,부서매핑!$C$5:$C$504,0)),"부서매핑 없음"))</f>
        <v/>
      </c>
      <c r="C15" s="12" t="inlineStr">
        <is>
          <t>B03</t>
        </is>
      </c>
      <c r="D15" s="20">
        <f>IF($A15="","",IFERROR(INDEX(계정매핑!$D$5:$D$504,MATCH($C15,계정매핑!$C$5:$C$504,0)),"항목매핑 없음"))</f>
        <v/>
      </c>
      <c r="E15" s="19">
        <f>IF($A15="","",$A15&amp;"|"&amp;$C15)</f>
        <v/>
      </c>
      <c r="F15" s="28">
        <f>IF($A15="","",SUMIFS(예산_원본!$W$5:$W$3004,예산_원본!$T$5:$T$3004,$E15,예산_원본!$B$5:$B$3004,설정!$C$8,예산_원본!$U$5:$U$3004,설정!$C$6))</f>
        <v/>
      </c>
      <c r="G15" s="28">
        <f>IF($A15="","",SUMIFS(실적_원본!$N$5:$N$100000,실적_원본!$O$5:$O$100000,$E15,실적_원본!$L$5:$L$100000,설정!$C$6,실적_원본!$M$5:$M$100000,설정!$C$7))</f>
        <v/>
      </c>
      <c r="H15" s="44">
        <f>IF($A15="","",G15-F15)</f>
        <v/>
      </c>
      <c r="I15" s="28">
        <f>IF($A15="","",SUMIFS(예산_원본!$X$5:$X$3004,예산_원본!$T$5:$T$3004,$E15,예산_원본!$B$5:$B$3004,설정!$C$8,예산_원본!$U$5:$U$3004,설정!$C$6))</f>
        <v/>
      </c>
      <c r="J15" s="28">
        <f>IF($A15="","",SUMIFS(실적_원본!$N$5:$N$100000,실적_원본!$O$5:$O$100000,$E15,실적_원본!$L$5:$L$100000,설정!$C$6,실적_원본!$M$5:$M$100000,"&lt;="&amp;설정!$C$7))</f>
        <v/>
      </c>
      <c r="K15" s="44">
        <f>IF($A15="","",J15-I15)</f>
        <v/>
      </c>
      <c r="L15" s="45">
        <f>IF($A15="","",IF(I15=0,0,J15/I15))</f>
        <v/>
      </c>
      <c r="M15" s="28">
        <f>IF($A15="","",SUMIFS(예산_원본!$V$5:$V$3004,예산_원본!$T$5:$T$3004,$E15,예산_원본!$B$5:$B$3004,설정!$C$8,예산_원본!$U$5:$U$3004,설정!$C$6))</f>
        <v/>
      </c>
      <c r="N15" s="44">
        <f>IF($A15="","",M15-J15)</f>
        <v/>
      </c>
      <c r="O15" s="45">
        <f>IF($A15="","",IF(M15=0,0,J15/M15))</f>
        <v/>
      </c>
      <c r="P15" s="28">
        <f>IF($A15="","",SUMIFS(실적_원본!$N$5:$N$100000,실적_원본!$O$5:$O$100000,$E15,실적_원본!$L$5:$L$100000,설정!$C$6-1,실적_원본!$M$5:$M$100000,"&lt;="&amp;설정!$C$7))</f>
        <v/>
      </c>
      <c r="Q15" s="44">
        <f>IF($A15="","",J15-P15)</f>
        <v/>
      </c>
      <c r="R15" s="45">
        <f>IF($A15="","",IF(P15=0,0,J15/P15-1))</f>
        <v/>
      </c>
      <c r="S15" s="40">
        <f>IF($A15="","",IF(AND(I15=0,J15&lt;&gt;0),"무예산집행",IF(ABS(K15)&lt;설정!$C$13,"정상",IF(L15&gt;1+설정!$C$12,"초과",IF(L15&lt;1-설정!$C$12,"과소","정상")))))</f>
        <v/>
      </c>
      <c r="T15" s="20">
        <f>IF($A15="","",IFERROR(INDEX(코멘트!$E$5:$E$2004,MATCH(설정!$C$6&amp;"|"&amp;설정!$C$7&amp;"|"&amp;$E15,코멘트!$H$5:$H$2004,0)),""))</f>
        <v/>
      </c>
      <c r="U15" s="55">
        <f>IF($A15="","",IF(S15="정상",-1,ABS(K15)+ROW()/1000000))</f>
        <v/>
      </c>
      <c r="V15" s="55">
        <f>IF($A15="",0,K15+ROW()/1000000)</f>
        <v/>
      </c>
    </row>
    <row r="16">
      <c r="A16" s="12" t="inlineStr">
        <is>
          <t>D200</t>
        </is>
      </c>
      <c r="B16" s="20">
        <f>IF($A16="","",IFERROR(INDEX(부서매핑!$D$5:$D$504,MATCH($A16,부서매핑!$C$5:$C$504,0)),"부서매핑 없음"))</f>
        <v/>
      </c>
      <c r="C16" s="12" t="inlineStr">
        <is>
          <t>B05</t>
        </is>
      </c>
      <c r="D16" s="20">
        <f>IF($A16="","",IFERROR(INDEX(계정매핑!$D$5:$D$504,MATCH($C16,계정매핑!$C$5:$C$504,0)),"항목매핑 없음"))</f>
        <v/>
      </c>
      <c r="E16" s="19">
        <f>IF($A16="","",$A16&amp;"|"&amp;$C16)</f>
        <v/>
      </c>
      <c r="F16" s="28">
        <f>IF($A16="","",SUMIFS(예산_원본!$W$5:$W$3004,예산_원본!$T$5:$T$3004,$E16,예산_원본!$B$5:$B$3004,설정!$C$8,예산_원본!$U$5:$U$3004,설정!$C$6))</f>
        <v/>
      </c>
      <c r="G16" s="28">
        <f>IF($A16="","",SUMIFS(실적_원본!$N$5:$N$100000,실적_원본!$O$5:$O$100000,$E16,실적_원본!$L$5:$L$100000,설정!$C$6,실적_원본!$M$5:$M$100000,설정!$C$7))</f>
        <v/>
      </c>
      <c r="H16" s="44">
        <f>IF($A16="","",G16-F16)</f>
        <v/>
      </c>
      <c r="I16" s="28">
        <f>IF($A16="","",SUMIFS(예산_원본!$X$5:$X$3004,예산_원본!$T$5:$T$3004,$E16,예산_원본!$B$5:$B$3004,설정!$C$8,예산_원본!$U$5:$U$3004,설정!$C$6))</f>
        <v/>
      </c>
      <c r="J16" s="28">
        <f>IF($A16="","",SUMIFS(실적_원본!$N$5:$N$100000,실적_원본!$O$5:$O$100000,$E16,실적_원본!$L$5:$L$100000,설정!$C$6,실적_원본!$M$5:$M$100000,"&lt;="&amp;설정!$C$7))</f>
        <v/>
      </c>
      <c r="K16" s="44">
        <f>IF($A16="","",J16-I16)</f>
        <v/>
      </c>
      <c r="L16" s="45">
        <f>IF($A16="","",IF(I16=0,0,J16/I16))</f>
        <v/>
      </c>
      <c r="M16" s="28">
        <f>IF($A16="","",SUMIFS(예산_원본!$V$5:$V$3004,예산_원본!$T$5:$T$3004,$E16,예산_원본!$B$5:$B$3004,설정!$C$8,예산_원본!$U$5:$U$3004,설정!$C$6))</f>
        <v/>
      </c>
      <c r="N16" s="44">
        <f>IF($A16="","",M16-J16)</f>
        <v/>
      </c>
      <c r="O16" s="45">
        <f>IF($A16="","",IF(M16=0,0,J16/M16))</f>
        <v/>
      </c>
      <c r="P16" s="28">
        <f>IF($A16="","",SUMIFS(실적_원본!$N$5:$N$100000,실적_원본!$O$5:$O$100000,$E16,실적_원본!$L$5:$L$100000,설정!$C$6-1,실적_원본!$M$5:$M$100000,"&lt;="&amp;설정!$C$7))</f>
        <v/>
      </c>
      <c r="Q16" s="44">
        <f>IF($A16="","",J16-P16)</f>
        <v/>
      </c>
      <c r="R16" s="45">
        <f>IF($A16="","",IF(P16=0,0,J16/P16-1))</f>
        <v/>
      </c>
      <c r="S16" s="40">
        <f>IF($A16="","",IF(AND(I16=0,J16&lt;&gt;0),"무예산집행",IF(ABS(K16)&lt;설정!$C$13,"정상",IF(L16&gt;1+설정!$C$12,"초과",IF(L16&lt;1-설정!$C$12,"과소","정상")))))</f>
        <v/>
      </c>
      <c r="T16" s="20">
        <f>IF($A16="","",IFERROR(INDEX(코멘트!$E$5:$E$2004,MATCH(설정!$C$6&amp;"|"&amp;설정!$C$7&amp;"|"&amp;$E16,코멘트!$H$5:$H$2004,0)),""))</f>
        <v/>
      </c>
      <c r="U16" s="55">
        <f>IF($A16="","",IF(S16="정상",-1,ABS(K16)+ROW()/1000000))</f>
        <v/>
      </c>
      <c r="V16" s="55">
        <f>IF($A16="",0,K16+ROW()/1000000)</f>
        <v/>
      </c>
    </row>
    <row r="17">
      <c r="A17" s="12" t="inlineStr">
        <is>
          <t>D200</t>
        </is>
      </c>
      <c r="B17" s="20">
        <f>IF($A17="","",IFERROR(INDEX(부서매핑!$D$5:$D$504,MATCH($A17,부서매핑!$C$5:$C$504,0)),"부서매핑 없음"))</f>
        <v/>
      </c>
      <c r="C17" s="12" t="inlineStr">
        <is>
          <t>B09</t>
        </is>
      </c>
      <c r="D17" s="20">
        <f>IF($A17="","",IFERROR(INDEX(계정매핑!$D$5:$D$504,MATCH($C17,계정매핑!$C$5:$C$504,0)),"항목매핑 없음"))</f>
        <v/>
      </c>
      <c r="E17" s="19">
        <f>IF($A17="","",$A17&amp;"|"&amp;$C17)</f>
        <v/>
      </c>
      <c r="F17" s="28">
        <f>IF($A17="","",SUMIFS(예산_원본!$W$5:$W$3004,예산_원본!$T$5:$T$3004,$E17,예산_원본!$B$5:$B$3004,설정!$C$8,예산_원본!$U$5:$U$3004,설정!$C$6))</f>
        <v/>
      </c>
      <c r="G17" s="28">
        <f>IF($A17="","",SUMIFS(실적_원본!$N$5:$N$100000,실적_원본!$O$5:$O$100000,$E17,실적_원본!$L$5:$L$100000,설정!$C$6,실적_원본!$M$5:$M$100000,설정!$C$7))</f>
        <v/>
      </c>
      <c r="H17" s="44">
        <f>IF($A17="","",G17-F17)</f>
        <v/>
      </c>
      <c r="I17" s="28">
        <f>IF($A17="","",SUMIFS(예산_원본!$X$5:$X$3004,예산_원본!$T$5:$T$3004,$E17,예산_원본!$B$5:$B$3004,설정!$C$8,예산_원본!$U$5:$U$3004,설정!$C$6))</f>
        <v/>
      </c>
      <c r="J17" s="28">
        <f>IF($A17="","",SUMIFS(실적_원본!$N$5:$N$100000,실적_원본!$O$5:$O$100000,$E17,실적_원본!$L$5:$L$100000,설정!$C$6,실적_원본!$M$5:$M$100000,"&lt;="&amp;설정!$C$7))</f>
        <v/>
      </c>
      <c r="K17" s="44">
        <f>IF($A17="","",J17-I17)</f>
        <v/>
      </c>
      <c r="L17" s="45">
        <f>IF($A17="","",IF(I17=0,0,J17/I17))</f>
        <v/>
      </c>
      <c r="M17" s="28">
        <f>IF($A17="","",SUMIFS(예산_원본!$V$5:$V$3004,예산_원본!$T$5:$T$3004,$E17,예산_원본!$B$5:$B$3004,설정!$C$8,예산_원본!$U$5:$U$3004,설정!$C$6))</f>
        <v/>
      </c>
      <c r="N17" s="44">
        <f>IF($A17="","",M17-J17)</f>
        <v/>
      </c>
      <c r="O17" s="45">
        <f>IF($A17="","",IF(M17=0,0,J17/M17))</f>
        <v/>
      </c>
      <c r="P17" s="28">
        <f>IF($A17="","",SUMIFS(실적_원본!$N$5:$N$100000,실적_원본!$O$5:$O$100000,$E17,실적_원본!$L$5:$L$100000,설정!$C$6-1,실적_원본!$M$5:$M$100000,"&lt;="&amp;설정!$C$7))</f>
        <v/>
      </c>
      <c r="Q17" s="44">
        <f>IF($A17="","",J17-P17)</f>
        <v/>
      </c>
      <c r="R17" s="45">
        <f>IF($A17="","",IF(P17=0,0,J17/P17-1))</f>
        <v/>
      </c>
      <c r="S17" s="40">
        <f>IF($A17="","",IF(AND(I17=0,J17&lt;&gt;0),"무예산집행",IF(ABS(K17)&lt;설정!$C$13,"정상",IF(L17&gt;1+설정!$C$12,"초과",IF(L17&lt;1-설정!$C$12,"과소","정상")))))</f>
        <v/>
      </c>
      <c r="T17" s="20">
        <f>IF($A17="","",IFERROR(INDEX(코멘트!$E$5:$E$2004,MATCH(설정!$C$6&amp;"|"&amp;설정!$C$7&amp;"|"&amp;$E17,코멘트!$H$5:$H$2004,0)),""))</f>
        <v/>
      </c>
      <c r="U17" s="55">
        <f>IF($A17="","",IF(S17="정상",-1,ABS(K17)+ROW()/1000000))</f>
        <v/>
      </c>
      <c r="V17" s="55">
        <f>IF($A17="",0,K17+ROW()/1000000)</f>
        <v/>
      </c>
    </row>
    <row r="18">
      <c r="A18" s="12" t="inlineStr">
        <is>
          <t>D300</t>
        </is>
      </c>
      <c r="B18" s="20">
        <f>IF($A18="","",IFERROR(INDEX(부서매핑!$D$5:$D$504,MATCH($A18,부서매핑!$C$5:$C$504,0)),"부서매핑 없음"))</f>
        <v/>
      </c>
      <c r="C18" s="12" t="inlineStr">
        <is>
          <t>B01</t>
        </is>
      </c>
      <c r="D18" s="20">
        <f>IF($A18="","",IFERROR(INDEX(계정매핑!$D$5:$D$504,MATCH($C18,계정매핑!$C$5:$C$504,0)),"항목매핑 없음"))</f>
        <v/>
      </c>
      <c r="E18" s="19">
        <f>IF($A18="","",$A18&amp;"|"&amp;$C18)</f>
        <v/>
      </c>
      <c r="F18" s="28">
        <f>IF($A18="","",SUMIFS(예산_원본!$W$5:$W$3004,예산_원본!$T$5:$T$3004,$E18,예산_원본!$B$5:$B$3004,설정!$C$8,예산_원본!$U$5:$U$3004,설정!$C$6))</f>
        <v/>
      </c>
      <c r="G18" s="28">
        <f>IF($A18="","",SUMIFS(실적_원본!$N$5:$N$100000,실적_원본!$O$5:$O$100000,$E18,실적_원본!$L$5:$L$100000,설정!$C$6,실적_원본!$M$5:$M$100000,설정!$C$7))</f>
        <v/>
      </c>
      <c r="H18" s="44">
        <f>IF($A18="","",G18-F18)</f>
        <v/>
      </c>
      <c r="I18" s="28">
        <f>IF($A18="","",SUMIFS(예산_원본!$X$5:$X$3004,예산_원본!$T$5:$T$3004,$E18,예산_원본!$B$5:$B$3004,설정!$C$8,예산_원본!$U$5:$U$3004,설정!$C$6))</f>
        <v/>
      </c>
      <c r="J18" s="28">
        <f>IF($A18="","",SUMIFS(실적_원본!$N$5:$N$100000,실적_원본!$O$5:$O$100000,$E18,실적_원본!$L$5:$L$100000,설정!$C$6,실적_원본!$M$5:$M$100000,"&lt;="&amp;설정!$C$7))</f>
        <v/>
      </c>
      <c r="K18" s="44">
        <f>IF($A18="","",J18-I18)</f>
        <v/>
      </c>
      <c r="L18" s="45">
        <f>IF($A18="","",IF(I18=0,0,J18/I18))</f>
        <v/>
      </c>
      <c r="M18" s="28">
        <f>IF($A18="","",SUMIFS(예산_원본!$V$5:$V$3004,예산_원본!$T$5:$T$3004,$E18,예산_원본!$B$5:$B$3004,설정!$C$8,예산_원본!$U$5:$U$3004,설정!$C$6))</f>
        <v/>
      </c>
      <c r="N18" s="44">
        <f>IF($A18="","",M18-J18)</f>
        <v/>
      </c>
      <c r="O18" s="45">
        <f>IF($A18="","",IF(M18=0,0,J18/M18))</f>
        <v/>
      </c>
      <c r="P18" s="28">
        <f>IF($A18="","",SUMIFS(실적_원본!$N$5:$N$100000,실적_원본!$O$5:$O$100000,$E18,실적_원본!$L$5:$L$100000,설정!$C$6-1,실적_원본!$M$5:$M$100000,"&lt;="&amp;설정!$C$7))</f>
        <v/>
      </c>
      <c r="Q18" s="44">
        <f>IF($A18="","",J18-P18)</f>
        <v/>
      </c>
      <c r="R18" s="45">
        <f>IF($A18="","",IF(P18=0,0,J18/P18-1))</f>
        <v/>
      </c>
      <c r="S18" s="40">
        <f>IF($A18="","",IF(AND(I18=0,J18&lt;&gt;0),"무예산집행",IF(ABS(K18)&lt;설정!$C$13,"정상",IF(L18&gt;1+설정!$C$12,"초과",IF(L18&lt;1-설정!$C$12,"과소","정상")))))</f>
        <v/>
      </c>
      <c r="T18" s="20">
        <f>IF($A18="","",IFERROR(INDEX(코멘트!$E$5:$E$2004,MATCH(설정!$C$6&amp;"|"&amp;설정!$C$7&amp;"|"&amp;$E18,코멘트!$H$5:$H$2004,0)),""))</f>
        <v/>
      </c>
      <c r="U18" s="55">
        <f>IF($A18="","",IF(S18="정상",-1,ABS(K18)+ROW()/1000000))</f>
        <v/>
      </c>
      <c r="V18" s="55">
        <f>IF($A18="",0,K18+ROW()/1000000)</f>
        <v/>
      </c>
    </row>
    <row r="19">
      <c r="A19" s="12" t="inlineStr">
        <is>
          <t>D300</t>
        </is>
      </c>
      <c r="B19" s="20">
        <f>IF($A19="","",IFERROR(INDEX(부서매핑!$D$5:$D$504,MATCH($A19,부서매핑!$C$5:$C$504,0)),"부서매핑 없음"))</f>
        <v/>
      </c>
      <c r="C19" s="12" t="inlineStr">
        <is>
          <t>B02</t>
        </is>
      </c>
      <c r="D19" s="20">
        <f>IF($A19="","",IFERROR(INDEX(계정매핑!$D$5:$D$504,MATCH($C19,계정매핑!$C$5:$C$504,0)),"항목매핑 없음"))</f>
        <v/>
      </c>
      <c r="E19" s="19">
        <f>IF($A19="","",$A19&amp;"|"&amp;$C19)</f>
        <v/>
      </c>
      <c r="F19" s="28">
        <f>IF($A19="","",SUMIFS(예산_원본!$W$5:$W$3004,예산_원본!$T$5:$T$3004,$E19,예산_원본!$B$5:$B$3004,설정!$C$8,예산_원본!$U$5:$U$3004,설정!$C$6))</f>
        <v/>
      </c>
      <c r="G19" s="28">
        <f>IF($A19="","",SUMIFS(실적_원본!$N$5:$N$100000,실적_원본!$O$5:$O$100000,$E19,실적_원본!$L$5:$L$100000,설정!$C$6,실적_원본!$M$5:$M$100000,설정!$C$7))</f>
        <v/>
      </c>
      <c r="H19" s="44">
        <f>IF($A19="","",G19-F19)</f>
        <v/>
      </c>
      <c r="I19" s="28">
        <f>IF($A19="","",SUMIFS(예산_원본!$X$5:$X$3004,예산_원본!$T$5:$T$3004,$E19,예산_원본!$B$5:$B$3004,설정!$C$8,예산_원본!$U$5:$U$3004,설정!$C$6))</f>
        <v/>
      </c>
      <c r="J19" s="28">
        <f>IF($A19="","",SUMIFS(실적_원본!$N$5:$N$100000,실적_원본!$O$5:$O$100000,$E19,실적_원본!$L$5:$L$100000,설정!$C$6,실적_원본!$M$5:$M$100000,"&lt;="&amp;설정!$C$7))</f>
        <v/>
      </c>
      <c r="K19" s="44">
        <f>IF($A19="","",J19-I19)</f>
        <v/>
      </c>
      <c r="L19" s="45">
        <f>IF($A19="","",IF(I19=0,0,J19/I19))</f>
        <v/>
      </c>
      <c r="M19" s="28">
        <f>IF($A19="","",SUMIFS(예산_원본!$V$5:$V$3004,예산_원본!$T$5:$T$3004,$E19,예산_원본!$B$5:$B$3004,설정!$C$8,예산_원본!$U$5:$U$3004,설정!$C$6))</f>
        <v/>
      </c>
      <c r="N19" s="44">
        <f>IF($A19="","",M19-J19)</f>
        <v/>
      </c>
      <c r="O19" s="45">
        <f>IF($A19="","",IF(M19=0,0,J19/M19))</f>
        <v/>
      </c>
      <c r="P19" s="28">
        <f>IF($A19="","",SUMIFS(실적_원본!$N$5:$N$100000,실적_원본!$O$5:$O$100000,$E19,실적_원본!$L$5:$L$100000,설정!$C$6-1,실적_원본!$M$5:$M$100000,"&lt;="&amp;설정!$C$7))</f>
        <v/>
      </c>
      <c r="Q19" s="44">
        <f>IF($A19="","",J19-P19)</f>
        <v/>
      </c>
      <c r="R19" s="45">
        <f>IF($A19="","",IF(P19=0,0,J19/P19-1))</f>
        <v/>
      </c>
      <c r="S19" s="40">
        <f>IF($A19="","",IF(AND(I19=0,J19&lt;&gt;0),"무예산집행",IF(ABS(K19)&lt;설정!$C$13,"정상",IF(L19&gt;1+설정!$C$12,"초과",IF(L19&lt;1-설정!$C$12,"과소","정상")))))</f>
        <v/>
      </c>
      <c r="T19" s="20">
        <f>IF($A19="","",IFERROR(INDEX(코멘트!$E$5:$E$2004,MATCH(설정!$C$6&amp;"|"&amp;설정!$C$7&amp;"|"&amp;$E19,코멘트!$H$5:$H$2004,0)),""))</f>
        <v/>
      </c>
      <c r="U19" s="55">
        <f>IF($A19="","",IF(S19="정상",-1,ABS(K19)+ROW()/1000000))</f>
        <v/>
      </c>
      <c r="V19" s="55">
        <f>IF($A19="",0,K19+ROW()/1000000)</f>
        <v/>
      </c>
    </row>
    <row r="20">
      <c r="A20" s="12" t="inlineStr">
        <is>
          <t>D300</t>
        </is>
      </c>
      <c r="B20" s="20">
        <f>IF($A20="","",IFERROR(INDEX(부서매핑!$D$5:$D$504,MATCH($A20,부서매핑!$C$5:$C$504,0)),"부서매핑 없음"))</f>
        <v/>
      </c>
      <c r="C20" s="12" t="inlineStr">
        <is>
          <t>B03</t>
        </is>
      </c>
      <c r="D20" s="20">
        <f>IF($A20="","",IFERROR(INDEX(계정매핑!$D$5:$D$504,MATCH($C20,계정매핑!$C$5:$C$504,0)),"항목매핑 없음"))</f>
        <v/>
      </c>
      <c r="E20" s="19">
        <f>IF($A20="","",$A20&amp;"|"&amp;$C20)</f>
        <v/>
      </c>
      <c r="F20" s="28">
        <f>IF($A20="","",SUMIFS(예산_원본!$W$5:$W$3004,예산_원본!$T$5:$T$3004,$E20,예산_원본!$B$5:$B$3004,설정!$C$8,예산_원본!$U$5:$U$3004,설정!$C$6))</f>
        <v/>
      </c>
      <c r="G20" s="28">
        <f>IF($A20="","",SUMIFS(실적_원본!$N$5:$N$100000,실적_원본!$O$5:$O$100000,$E20,실적_원본!$L$5:$L$100000,설정!$C$6,실적_원본!$M$5:$M$100000,설정!$C$7))</f>
        <v/>
      </c>
      <c r="H20" s="44">
        <f>IF($A20="","",G20-F20)</f>
        <v/>
      </c>
      <c r="I20" s="28">
        <f>IF($A20="","",SUMIFS(예산_원본!$X$5:$X$3004,예산_원본!$T$5:$T$3004,$E20,예산_원본!$B$5:$B$3004,설정!$C$8,예산_원본!$U$5:$U$3004,설정!$C$6))</f>
        <v/>
      </c>
      <c r="J20" s="28">
        <f>IF($A20="","",SUMIFS(실적_원본!$N$5:$N$100000,실적_원본!$O$5:$O$100000,$E20,실적_원본!$L$5:$L$100000,설정!$C$6,실적_원본!$M$5:$M$100000,"&lt;="&amp;설정!$C$7))</f>
        <v/>
      </c>
      <c r="K20" s="44">
        <f>IF($A20="","",J20-I20)</f>
        <v/>
      </c>
      <c r="L20" s="45">
        <f>IF($A20="","",IF(I20=0,0,J20/I20))</f>
        <v/>
      </c>
      <c r="M20" s="28">
        <f>IF($A20="","",SUMIFS(예산_원본!$V$5:$V$3004,예산_원본!$T$5:$T$3004,$E20,예산_원본!$B$5:$B$3004,설정!$C$8,예산_원본!$U$5:$U$3004,설정!$C$6))</f>
        <v/>
      </c>
      <c r="N20" s="44">
        <f>IF($A20="","",M20-J20)</f>
        <v/>
      </c>
      <c r="O20" s="45">
        <f>IF($A20="","",IF(M20=0,0,J20/M20))</f>
        <v/>
      </c>
      <c r="P20" s="28">
        <f>IF($A20="","",SUMIFS(실적_원본!$N$5:$N$100000,실적_원본!$O$5:$O$100000,$E20,실적_원본!$L$5:$L$100000,설정!$C$6-1,실적_원본!$M$5:$M$100000,"&lt;="&amp;설정!$C$7))</f>
        <v/>
      </c>
      <c r="Q20" s="44">
        <f>IF($A20="","",J20-P20)</f>
        <v/>
      </c>
      <c r="R20" s="45">
        <f>IF($A20="","",IF(P20=0,0,J20/P20-1))</f>
        <v/>
      </c>
      <c r="S20" s="40">
        <f>IF($A20="","",IF(AND(I20=0,J20&lt;&gt;0),"무예산집행",IF(ABS(K20)&lt;설정!$C$13,"정상",IF(L20&gt;1+설정!$C$12,"초과",IF(L20&lt;1-설정!$C$12,"과소","정상")))))</f>
        <v/>
      </c>
      <c r="T20" s="20">
        <f>IF($A20="","",IFERROR(INDEX(코멘트!$E$5:$E$2004,MATCH(설정!$C$6&amp;"|"&amp;설정!$C$7&amp;"|"&amp;$E20,코멘트!$H$5:$H$2004,0)),""))</f>
        <v/>
      </c>
      <c r="U20" s="55">
        <f>IF($A20="","",IF(S20="정상",-1,ABS(K20)+ROW()/1000000))</f>
        <v/>
      </c>
      <c r="V20" s="55">
        <f>IF($A20="",0,K20+ROW()/1000000)</f>
        <v/>
      </c>
    </row>
    <row r="21">
      <c r="A21" s="12" t="inlineStr">
        <is>
          <t>D300</t>
        </is>
      </c>
      <c r="B21" s="20">
        <f>IF($A21="","",IFERROR(INDEX(부서매핑!$D$5:$D$504,MATCH($A21,부서매핑!$C$5:$C$504,0)),"부서매핑 없음"))</f>
        <v/>
      </c>
      <c r="C21" s="12" t="inlineStr">
        <is>
          <t>B05</t>
        </is>
      </c>
      <c r="D21" s="20">
        <f>IF($A21="","",IFERROR(INDEX(계정매핑!$D$5:$D$504,MATCH($C21,계정매핑!$C$5:$C$504,0)),"항목매핑 없음"))</f>
        <v/>
      </c>
      <c r="E21" s="19">
        <f>IF($A21="","",$A21&amp;"|"&amp;$C21)</f>
        <v/>
      </c>
      <c r="F21" s="28">
        <f>IF($A21="","",SUMIFS(예산_원본!$W$5:$W$3004,예산_원본!$T$5:$T$3004,$E21,예산_원본!$B$5:$B$3004,설정!$C$8,예산_원본!$U$5:$U$3004,설정!$C$6))</f>
        <v/>
      </c>
      <c r="G21" s="28">
        <f>IF($A21="","",SUMIFS(실적_원본!$N$5:$N$100000,실적_원본!$O$5:$O$100000,$E21,실적_원본!$L$5:$L$100000,설정!$C$6,실적_원본!$M$5:$M$100000,설정!$C$7))</f>
        <v/>
      </c>
      <c r="H21" s="44">
        <f>IF($A21="","",G21-F21)</f>
        <v/>
      </c>
      <c r="I21" s="28">
        <f>IF($A21="","",SUMIFS(예산_원본!$X$5:$X$3004,예산_원본!$T$5:$T$3004,$E21,예산_원본!$B$5:$B$3004,설정!$C$8,예산_원본!$U$5:$U$3004,설정!$C$6))</f>
        <v/>
      </c>
      <c r="J21" s="28">
        <f>IF($A21="","",SUMIFS(실적_원본!$N$5:$N$100000,실적_원본!$O$5:$O$100000,$E21,실적_원본!$L$5:$L$100000,설정!$C$6,실적_원본!$M$5:$M$100000,"&lt;="&amp;설정!$C$7))</f>
        <v/>
      </c>
      <c r="K21" s="44">
        <f>IF($A21="","",J21-I21)</f>
        <v/>
      </c>
      <c r="L21" s="45">
        <f>IF($A21="","",IF(I21=0,0,J21/I21))</f>
        <v/>
      </c>
      <c r="M21" s="28">
        <f>IF($A21="","",SUMIFS(예산_원본!$V$5:$V$3004,예산_원본!$T$5:$T$3004,$E21,예산_원본!$B$5:$B$3004,설정!$C$8,예산_원본!$U$5:$U$3004,설정!$C$6))</f>
        <v/>
      </c>
      <c r="N21" s="44">
        <f>IF($A21="","",M21-J21)</f>
        <v/>
      </c>
      <c r="O21" s="45">
        <f>IF($A21="","",IF(M21=0,0,J21/M21))</f>
        <v/>
      </c>
      <c r="P21" s="28">
        <f>IF($A21="","",SUMIFS(실적_원본!$N$5:$N$100000,실적_원본!$O$5:$O$100000,$E21,실적_원본!$L$5:$L$100000,설정!$C$6-1,실적_원본!$M$5:$M$100000,"&lt;="&amp;설정!$C$7))</f>
        <v/>
      </c>
      <c r="Q21" s="44">
        <f>IF($A21="","",J21-P21)</f>
        <v/>
      </c>
      <c r="R21" s="45">
        <f>IF($A21="","",IF(P21=0,0,J21/P21-1))</f>
        <v/>
      </c>
      <c r="S21" s="40">
        <f>IF($A21="","",IF(AND(I21=0,J21&lt;&gt;0),"무예산집행",IF(ABS(K21)&lt;설정!$C$13,"정상",IF(L21&gt;1+설정!$C$12,"초과",IF(L21&lt;1-설정!$C$12,"과소","정상")))))</f>
        <v/>
      </c>
      <c r="T21" s="20">
        <f>IF($A21="","",IFERROR(INDEX(코멘트!$E$5:$E$2004,MATCH(설정!$C$6&amp;"|"&amp;설정!$C$7&amp;"|"&amp;$E21,코멘트!$H$5:$H$2004,0)),""))</f>
        <v/>
      </c>
      <c r="U21" s="55">
        <f>IF($A21="","",IF(S21="정상",-1,ABS(K21)+ROW()/1000000))</f>
        <v/>
      </c>
      <c r="V21" s="55">
        <f>IF($A21="",0,K21+ROW()/1000000)</f>
        <v/>
      </c>
    </row>
    <row r="22">
      <c r="A22" s="12" t="inlineStr">
        <is>
          <t>D300</t>
        </is>
      </c>
      <c r="B22" s="20">
        <f>IF($A22="","",IFERROR(INDEX(부서매핑!$D$5:$D$504,MATCH($A22,부서매핑!$C$5:$C$504,0)),"부서매핑 없음"))</f>
        <v/>
      </c>
      <c r="C22" s="12" t="inlineStr">
        <is>
          <t>B06</t>
        </is>
      </c>
      <c r="D22" s="20">
        <f>IF($A22="","",IFERROR(INDEX(계정매핑!$D$5:$D$504,MATCH($C22,계정매핑!$C$5:$C$504,0)),"항목매핑 없음"))</f>
        <v/>
      </c>
      <c r="E22" s="19">
        <f>IF($A22="","",$A22&amp;"|"&amp;$C22)</f>
        <v/>
      </c>
      <c r="F22" s="28">
        <f>IF($A22="","",SUMIFS(예산_원본!$W$5:$W$3004,예산_원본!$T$5:$T$3004,$E22,예산_원본!$B$5:$B$3004,설정!$C$8,예산_원본!$U$5:$U$3004,설정!$C$6))</f>
        <v/>
      </c>
      <c r="G22" s="28">
        <f>IF($A22="","",SUMIFS(실적_원본!$N$5:$N$100000,실적_원본!$O$5:$O$100000,$E22,실적_원본!$L$5:$L$100000,설정!$C$6,실적_원본!$M$5:$M$100000,설정!$C$7))</f>
        <v/>
      </c>
      <c r="H22" s="44">
        <f>IF($A22="","",G22-F22)</f>
        <v/>
      </c>
      <c r="I22" s="28">
        <f>IF($A22="","",SUMIFS(예산_원본!$X$5:$X$3004,예산_원본!$T$5:$T$3004,$E22,예산_원본!$B$5:$B$3004,설정!$C$8,예산_원본!$U$5:$U$3004,설정!$C$6))</f>
        <v/>
      </c>
      <c r="J22" s="28">
        <f>IF($A22="","",SUMIFS(실적_원본!$N$5:$N$100000,실적_원본!$O$5:$O$100000,$E22,실적_원본!$L$5:$L$100000,설정!$C$6,실적_원본!$M$5:$M$100000,"&lt;="&amp;설정!$C$7))</f>
        <v/>
      </c>
      <c r="K22" s="44">
        <f>IF($A22="","",J22-I22)</f>
        <v/>
      </c>
      <c r="L22" s="45">
        <f>IF($A22="","",IF(I22=0,0,J22/I22))</f>
        <v/>
      </c>
      <c r="M22" s="28">
        <f>IF($A22="","",SUMIFS(예산_원본!$V$5:$V$3004,예산_원본!$T$5:$T$3004,$E22,예산_원본!$B$5:$B$3004,설정!$C$8,예산_원본!$U$5:$U$3004,설정!$C$6))</f>
        <v/>
      </c>
      <c r="N22" s="44">
        <f>IF($A22="","",M22-J22)</f>
        <v/>
      </c>
      <c r="O22" s="45">
        <f>IF($A22="","",IF(M22=0,0,J22/M22))</f>
        <v/>
      </c>
      <c r="P22" s="28">
        <f>IF($A22="","",SUMIFS(실적_원본!$N$5:$N$100000,실적_원본!$O$5:$O$100000,$E22,실적_원본!$L$5:$L$100000,설정!$C$6-1,실적_원본!$M$5:$M$100000,"&lt;="&amp;설정!$C$7))</f>
        <v/>
      </c>
      <c r="Q22" s="44">
        <f>IF($A22="","",J22-P22)</f>
        <v/>
      </c>
      <c r="R22" s="45">
        <f>IF($A22="","",IF(P22=0,0,J22/P22-1))</f>
        <v/>
      </c>
      <c r="S22" s="40">
        <f>IF($A22="","",IF(AND(I22=0,J22&lt;&gt;0),"무예산집행",IF(ABS(K22)&lt;설정!$C$13,"정상",IF(L22&gt;1+설정!$C$12,"초과",IF(L22&lt;1-설정!$C$12,"과소","정상")))))</f>
        <v/>
      </c>
      <c r="T22" s="20">
        <f>IF($A22="","",IFERROR(INDEX(코멘트!$E$5:$E$2004,MATCH(설정!$C$6&amp;"|"&amp;설정!$C$7&amp;"|"&amp;$E22,코멘트!$H$5:$H$2004,0)),""))</f>
        <v/>
      </c>
      <c r="U22" s="55">
        <f>IF($A22="","",IF(S22="정상",-1,ABS(K22)+ROW()/1000000))</f>
        <v/>
      </c>
      <c r="V22" s="55">
        <f>IF($A22="",0,K22+ROW()/1000000)</f>
        <v/>
      </c>
    </row>
    <row r="23">
      <c r="A23" s="12" t="inlineStr">
        <is>
          <t>D300</t>
        </is>
      </c>
      <c r="B23" s="20">
        <f>IF($A23="","",IFERROR(INDEX(부서매핑!$D$5:$D$504,MATCH($A23,부서매핑!$C$5:$C$504,0)),"부서매핑 없음"))</f>
        <v/>
      </c>
      <c r="C23" s="12" t="inlineStr">
        <is>
          <t>B07</t>
        </is>
      </c>
      <c r="D23" s="20">
        <f>IF($A23="","",IFERROR(INDEX(계정매핑!$D$5:$D$504,MATCH($C23,계정매핑!$C$5:$C$504,0)),"항목매핑 없음"))</f>
        <v/>
      </c>
      <c r="E23" s="19">
        <f>IF($A23="","",$A23&amp;"|"&amp;$C23)</f>
        <v/>
      </c>
      <c r="F23" s="28">
        <f>IF($A23="","",SUMIFS(예산_원본!$W$5:$W$3004,예산_원본!$T$5:$T$3004,$E23,예산_원본!$B$5:$B$3004,설정!$C$8,예산_원본!$U$5:$U$3004,설정!$C$6))</f>
        <v/>
      </c>
      <c r="G23" s="28">
        <f>IF($A23="","",SUMIFS(실적_원본!$N$5:$N$100000,실적_원본!$O$5:$O$100000,$E23,실적_원본!$L$5:$L$100000,설정!$C$6,실적_원본!$M$5:$M$100000,설정!$C$7))</f>
        <v/>
      </c>
      <c r="H23" s="44">
        <f>IF($A23="","",G23-F23)</f>
        <v/>
      </c>
      <c r="I23" s="28">
        <f>IF($A23="","",SUMIFS(예산_원본!$X$5:$X$3004,예산_원본!$T$5:$T$3004,$E23,예산_원본!$B$5:$B$3004,설정!$C$8,예산_원본!$U$5:$U$3004,설정!$C$6))</f>
        <v/>
      </c>
      <c r="J23" s="28">
        <f>IF($A23="","",SUMIFS(실적_원본!$N$5:$N$100000,실적_원본!$O$5:$O$100000,$E23,실적_원본!$L$5:$L$100000,설정!$C$6,실적_원본!$M$5:$M$100000,"&lt;="&amp;설정!$C$7))</f>
        <v/>
      </c>
      <c r="K23" s="44">
        <f>IF($A23="","",J23-I23)</f>
        <v/>
      </c>
      <c r="L23" s="45">
        <f>IF($A23="","",IF(I23=0,0,J23/I23))</f>
        <v/>
      </c>
      <c r="M23" s="28">
        <f>IF($A23="","",SUMIFS(예산_원본!$V$5:$V$3004,예산_원본!$T$5:$T$3004,$E23,예산_원본!$B$5:$B$3004,설정!$C$8,예산_원본!$U$5:$U$3004,설정!$C$6))</f>
        <v/>
      </c>
      <c r="N23" s="44">
        <f>IF($A23="","",M23-J23)</f>
        <v/>
      </c>
      <c r="O23" s="45">
        <f>IF($A23="","",IF(M23=0,0,J23/M23))</f>
        <v/>
      </c>
      <c r="P23" s="28">
        <f>IF($A23="","",SUMIFS(실적_원본!$N$5:$N$100000,실적_원본!$O$5:$O$100000,$E23,실적_원본!$L$5:$L$100000,설정!$C$6-1,실적_원본!$M$5:$M$100000,"&lt;="&amp;설정!$C$7))</f>
        <v/>
      </c>
      <c r="Q23" s="44">
        <f>IF($A23="","",J23-P23)</f>
        <v/>
      </c>
      <c r="R23" s="45">
        <f>IF($A23="","",IF(P23=0,0,J23/P23-1))</f>
        <v/>
      </c>
      <c r="S23" s="40">
        <f>IF($A23="","",IF(AND(I23=0,J23&lt;&gt;0),"무예산집행",IF(ABS(K23)&lt;설정!$C$13,"정상",IF(L23&gt;1+설정!$C$12,"초과",IF(L23&lt;1-설정!$C$12,"과소","정상")))))</f>
        <v/>
      </c>
      <c r="T23" s="20">
        <f>IF($A23="","",IFERROR(INDEX(코멘트!$E$5:$E$2004,MATCH(설정!$C$6&amp;"|"&amp;설정!$C$7&amp;"|"&amp;$E23,코멘트!$H$5:$H$2004,0)),""))</f>
        <v/>
      </c>
      <c r="U23" s="55">
        <f>IF($A23="","",IF(S23="정상",-1,ABS(K23)+ROW()/1000000))</f>
        <v/>
      </c>
      <c r="V23" s="55">
        <f>IF($A23="",0,K23+ROW()/1000000)</f>
        <v/>
      </c>
    </row>
    <row r="24">
      <c r="A24" s="12" t="inlineStr">
        <is>
          <t>D300</t>
        </is>
      </c>
      <c r="B24" s="20">
        <f>IF($A24="","",IFERROR(INDEX(부서매핑!$D$5:$D$504,MATCH($A24,부서매핑!$C$5:$C$504,0)),"부서매핑 없음"))</f>
        <v/>
      </c>
      <c r="C24" s="12" t="inlineStr">
        <is>
          <t>B08</t>
        </is>
      </c>
      <c r="D24" s="20">
        <f>IF($A24="","",IFERROR(INDEX(계정매핑!$D$5:$D$504,MATCH($C24,계정매핑!$C$5:$C$504,0)),"항목매핑 없음"))</f>
        <v/>
      </c>
      <c r="E24" s="19">
        <f>IF($A24="","",$A24&amp;"|"&amp;$C24)</f>
        <v/>
      </c>
      <c r="F24" s="28">
        <f>IF($A24="","",SUMIFS(예산_원본!$W$5:$W$3004,예산_원본!$T$5:$T$3004,$E24,예산_원본!$B$5:$B$3004,설정!$C$8,예산_원본!$U$5:$U$3004,설정!$C$6))</f>
        <v/>
      </c>
      <c r="G24" s="28">
        <f>IF($A24="","",SUMIFS(실적_원본!$N$5:$N$100000,실적_원본!$O$5:$O$100000,$E24,실적_원본!$L$5:$L$100000,설정!$C$6,실적_원본!$M$5:$M$100000,설정!$C$7))</f>
        <v/>
      </c>
      <c r="H24" s="44">
        <f>IF($A24="","",G24-F24)</f>
        <v/>
      </c>
      <c r="I24" s="28">
        <f>IF($A24="","",SUMIFS(예산_원본!$X$5:$X$3004,예산_원본!$T$5:$T$3004,$E24,예산_원본!$B$5:$B$3004,설정!$C$8,예산_원본!$U$5:$U$3004,설정!$C$6))</f>
        <v/>
      </c>
      <c r="J24" s="28">
        <f>IF($A24="","",SUMIFS(실적_원본!$N$5:$N$100000,실적_원본!$O$5:$O$100000,$E24,실적_원본!$L$5:$L$100000,설정!$C$6,실적_원본!$M$5:$M$100000,"&lt;="&amp;설정!$C$7))</f>
        <v/>
      </c>
      <c r="K24" s="44">
        <f>IF($A24="","",J24-I24)</f>
        <v/>
      </c>
      <c r="L24" s="45">
        <f>IF($A24="","",IF(I24=0,0,J24/I24))</f>
        <v/>
      </c>
      <c r="M24" s="28">
        <f>IF($A24="","",SUMIFS(예산_원본!$V$5:$V$3004,예산_원본!$T$5:$T$3004,$E24,예산_원본!$B$5:$B$3004,설정!$C$8,예산_원본!$U$5:$U$3004,설정!$C$6))</f>
        <v/>
      </c>
      <c r="N24" s="44">
        <f>IF($A24="","",M24-J24)</f>
        <v/>
      </c>
      <c r="O24" s="45">
        <f>IF($A24="","",IF(M24=0,0,J24/M24))</f>
        <v/>
      </c>
      <c r="P24" s="28">
        <f>IF($A24="","",SUMIFS(실적_원본!$N$5:$N$100000,실적_원본!$O$5:$O$100000,$E24,실적_원본!$L$5:$L$100000,설정!$C$6-1,실적_원본!$M$5:$M$100000,"&lt;="&amp;설정!$C$7))</f>
        <v/>
      </c>
      <c r="Q24" s="44">
        <f>IF($A24="","",J24-P24)</f>
        <v/>
      </c>
      <c r="R24" s="45">
        <f>IF($A24="","",IF(P24=0,0,J24/P24-1))</f>
        <v/>
      </c>
      <c r="S24" s="40">
        <f>IF($A24="","",IF(AND(I24=0,J24&lt;&gt;0),"무예산집행",IF(ABS(K24)&lt;설정!$C$13,"정상",IF(L24&gt;1+설정!$C$12,"초과",IF(L24&lt;1-설정!$C$12,"과소","정상")))))</f>
        <v/>
      </c>
      <c r="T24" s="20">
        <f>IF($A24="","",IFERROR(INDEX(코멘트!$E$5:$E$2004,MATCH(설정!$C$6&amp;"|"&amp;설정!$C$7&amp;"|"&amp;$E24,코멘트!$H$5:$H$2004,0)),""))</f>
        <v/>
      </c>
      <c r="U24" s="55">
        <f>IF($A24="","",IF(S24="정상",-1,ABS(K24)+ROW()/1000000))</f>
        <v/>
      </c>
      <c r="V24" s="55">
        <f>IF($A24="",0,K24+ROW()/1000000)</f>
        <v/>
      </c>
    </row>
    <row r="25">
      <c r="A25" s="12" t="inlineStr">
        <is>
          <t>D400</t>
        </is>
      </c>
      <c r="B25" s="20">
        <f>IF($A25="","",IFERROR(INDEX(부서매핑!$D$5:$D$504,MATCH($A25,부서매핑!$C$5:$C$504,0)),"부서매핑 없음"))</f>
        <v/>
      </c>
      <c r="C25" s="12" t="inlineStr">
        <is>
          <t>B01</t>
        </is>
      </c>
      <c r="D25" s="20">
        <f>IF($A25="","",IFERROR(INDEX(계정매핑!$D$5:$D$504,MATCH($C25,계정매핑!$C$5:$C$504,0)),"항목매핑 없음"))</f>
        <v/>
      </c>
      <c r="E25" s="19">
        <f>IF($A25="","",$A25&amp;"|"&amp;$C25)</f>
        <v/>
      </c>
      <c r="F25" s="28">
        <f>IF($A25="","",SUMIFS(예산_원본!$W$5:$W$3004,예산_원본!$T$5:$T$3004,$E25,예산_원본!$B$5:$B$3004,설정!$C$8,예산_원본!$U$5:$U$3004,설정!$C$6))</f>
        <v/>
      </c>
      <c r="G25" s="28">
        <f>IF($A25="","",SUMIFS(실적_원본!$N$5:$N$100000,실적_원본!$O$5:$O$100000,$E25,실적_원본!$L$5:$L$100000,설정!$C$6,실적_원본!$M$5:$M$100000,설정!$C$7))</f>
        <v/>
      </c>
      <c r="H25" s="44">
        <f>IF($A25="","",G25-F25)</f>
        <v/>
      </c>
      <c r="I25" s="28">
        <f>IF($A25="","",SUMIFS(예산_원본!$X$5:$X$3004,예산_원본!$T$5:$T$3004,$E25,예산_원본!$B$5:$B$3004,설정!$C$8,예산_원본!$U$5:$U$3004,설정!$C$6))</f>
        <v/>
      </c>
      <c r="J25" s="28">
        <f>IF($A25="","",SUMIFS(실적_원본!$N$5:$N$100000,실적_원본!$O$5:$O$100000,$E25,실적_원본!$L$5:$L$100000,설정!$C$6,실적_원본!$M$5:$M$100000,"&lt;="&amp;설정!$C$7))</f>
        <v/>
      </c>
      <c r="K25" s="44">
        <f>IF($A25="","",J25-I25)</f>
        <v/>
      </c>
      <c r="L25" s="45">
        <f>IF($A25="","",IF(I25=0,0,J25/I25))</f>
        <v/>
      </c>
      <c r="M25" s="28">
        <f>IF($A25="","",SUMIFS(예산_원본!$V$5:$V$3004,예산_원본!$T$5:$T$3004,$E25,예산_원본!$B$5:$B$3004,설정!$C$8,예산_원본!$U$5:$U$3004,설정!$C$6))</f>
        <v/>
      </c>
      <c r="N25" s="44">
        <f>IF($A25="","",M25-J25)</f>
        <v/>
      </c>
      <c r="O25" s="45">
        <f>IF($A25="","",IF(M25=0,0,J25/M25))</f>
        <v/>
      </c>
      <c r="P25" s="28">
        <f>IF($A25="","",SUMIFS(실적_원본!$N$5:$N$100000,실적_원본!$O$5:$O$100000,$E25,실적_원본!$L$5:$L$100000,설정!$C$6-1,실적_원본!$M$5:$M$100000,"&lt;="&amp;설정!$C$7))</f>
        <v/>
      </c>
      <c r="Q25" s="44">
        <f>IF($A25="","",J25-P25)</f>
        <v/>
      </c>
      <c r="R25" s="45">
        <f>IF($A25="","",IF(P25=0,0,J25/P25-1))</f>
        <v/>
      </c>
      <c r="S25" s="40">
        <f>IF($A25="","",IF(AND(I25=0,J25&lt;&gt;0),"무예산집행",IF(ABS(K25)&lt;설정!$C$13,"정상",IF(L25&gt;1+설정!$C$12,"초과",IF(L25&lt;1-설정!$C$12,"과소","정상")))))</f>
        <v/>
      </c>
      <c r="T25" s="20">
        <f>IF($A25="","",IFERROR(INDEX(코멘트!$E$5:$E$2004,MATCH(설정!$C$6&amp;"|"&amp;설정!$C$7&amp;"|"&amp;$E25,코멘트!$H$5:$H$2004,0)),""))</f>
        <v/>
      </c>
      <c r="U25" s="55">
        <f>IF($A25="","",IF(S25="정상",-1,ABS(K25)+ROW()/1000000))</f>
        <v/>
      </c>
      <c r="V25" s="55">
        <f>IF($A25="",0,K25+ROW()/1000000)</f>
        <v/>
      </c>
    </row>
    <row r="26">
      <c r="A26" s="12" t="inlineStr">
        <is>
          <t>D400</t>
        </is>
      </c>
      <c r="B26" s="20">
        <f>IF($A26="","",IFERROR(INDEX(부서매핑!$D$5:$D$504,MATCH($A26,부서매핑!$C$5:$C$504,0)),"부서매핑 없음"))</f>
        <v/>
      </c>
      <c r="C26" s="12" t="inlineStr">
        <is>
          <t>B02</t>
        </is>
      </c>
      <c r="D26" s="20">
        <f>IF($A26="","",IFERROR(INDEX(계정매핑!$D$5:$D$504,MATCH($C26,계정매핑!$C$5:$C$504,0)),"항목매핑 없음"))</f>
        <v/>
      </c>
      <c r="E26" s="19">
        <f>IF($A26="","",$A26&amp;"|"&amp;$C26)</f>
        <v/>
      </c>
      <c r="F26" s="28">
        <f>IF($A26="","",SUMIFS(예산_원본!$W$5:$W$3004,예산_원본!$T$5:$T$3004,$E26,예산_원본!$B$5:$B$3004,설정!$C$8,예산_원본!$U$5:$U$3004,설정!$C$6))</f>
        <v/>
      </c>
      <c r="G26" s="28">
        <f>IF($A26="","",SUMIFS(실적_원본!$N$5:$N$100000,실적_원본!$O$5:$O$100000,$E26,실적_원본!$L$5:$L$100000,설정!$C$6,실적_원본!$M$5:$M$100000,설정!$C$7))</f>
        <v/>
      </c>
      <c r="H26" s="44">
        <f>IF($A26="","",G26-F26)</f>
        <v/>
      </c>
      <c r="I26" s="28">
        <f>IF($A26="","",SUMIFS(예산_원본!$X$5:$X$3004,예산_원본!$T$5:$T$3004,$E26,예산_원본!$B$5:$B$3004,설정!$C$8,예산_원본!$U$5:$U$3004,설정!$C$6))</f>
        <v/>
      </c>
      <c r="J26" s="28">
        <f>IF($A26="","",SUMIFS(실적_원본!$N$5:$N$100000,실적_원본!$O$5:$O$100000,$E26,실적_원본!$L$5:$L$100000,설정!$C$6,실적_원본!$M$5:$M$100000,"&lt;="&amp;설정!$C$7))</f>
        <v/>
      </c>
      <c r="K26" s="44">
        <f>IF($A26="","",J26-I26)</f>
        <v/>
      </c>
      <c r="L26" s="45">
        <f>IF($A26="","",IF(I26=0,0,J26/I26))</f>
        <v/>
      </c>
      <c r="M26" s="28">
        <f>IF($A26="","",SUMIFS(예산_원본!$V$5:$V$3004,예산_원본!$T$5:$T$3004,$E26,예산_원본!$B$5:$B$3004,설정!$C$8,예산_원본!$U$5:$U$3004,설정!$C$6))</f>
        <v/>
      </c>
      <c r="N26" s="44">
        <f>IF($A26="","",M26-J26)</f>
        <v/>
      </c>
      <c r="O26" s="45">
        <f>IF($A26="","",IF(M26=0,0,J26/M26))</f>
        <v/>
      </c>
      <c r="P26" s="28">
        <f>IF($A26="","",SUMIFS(실적_원본!$N$5:$N$100000,실적_원본!$O$5:$O$100000,$E26,실적_원본!$L$5:$L$100000,설정!$C$6-1,실적_원본!$M$5:$M$100000,"&lt;="&amp;설정!$C$7))</f>
        <v/>
      </c>
      <c r="Q26" s="44">
        <f>IF($A26="","",J26-P26)</f>
        <v/>
      </c>
      <c r="R26" s="45">
        <f>IF($A26="","",IF(P26=0,0,J26/P26-1))</f>
        <v/>
      </c>
      <c r="S26" s="40">
        <f>IF($A26="","",IF(AND(I26=0,J26&lt;&gt;0),"무예산집행",IF(ABS(K26)&lt;설정!$C$13,"정상",IF(L26&gt;1+설정!$C$12,"초과",IF(L26&lt;1-설정!$C$12,"과소","정상")))))</f>
        <v/>
      </c>
      <c r="T26" s="20">
        <f>IF($A26="","",IFERROR(INDEX(코멘트!$E$5:$E$2004,MATCH(설정!$C$6&amp;"|"&amp;설정!$C$7&amp;"|"&amp;$E26,코멘트!$H$5:$H$2004,0)),""))</f>
        <v/>
      </c>
      <c r="U26" s="55">
        <f>IF($A26="","",IF(S26="정상",-1,ABS(K26)+ROW()/1000000))</f>
        <v/>
      </c>
      <c r="V26" s="55">
        <f>IF($A26="",0,K26+ROW()/1000000)</f>
        <v/>
      </c>
    </row>
    <row r="27">
      <c r="A27" s="12" t="inlineStr">
        <is>
          <t>D400</t>
        </is>
      </c>
      <c r="B27" s="20">
        <f>IF($A27="","",IFERROR(INDEX(부서매핑!$D$5:$D$504,MATCH($A27,부서매핑!$C$5:$C$504,0)),"부서매핑 없음"))</f>
        <v/>
      </c>
      <c r="C27" s="12" t="inlineStr">
        <is>
          <t>B03</t>
        </is>
      </c>
      <c r="D27" s="20">
        <f>IF($A27="","",IFERROR(INDEX(계정매핑!$D$5:$D$504,MATCH($C27,계정매핑!$C$5:$C$504,0)),"항목매핑 없음"))</f>
        <v/>
      </c>
      <c r="E27" s="19">
        <f>IF($A27="","",$A27&amp;"|"&amp;$C27)</f>
        <v/>
      </c>
      <c r="F27" s="28">
        <f>IF($A27="","",SUMIFS(예산_원본!$W$5:$W$3004,예산_원본!$T$5:$T$3004,$E27,예산_원본!$B$5:$B$3004,설정!$C$8,예산_원본!$U$5:$U$3004,설정!$C$6))</f>
        <v/>
      </c>
      <c r="G27" s="28">
        <f>IF($A27="","",SUMIFS(실적_원본!$N$5:$N$100000,실적_원본!$O$5:$O$100000,$E27,실적_원본!$L$5:$L$100000,설정!$C$6,실적_원본!$M$5:$M$100000,설정!$C$7))</f>
        <v/>
      </c>
      <c r="H27" s="44">
        <f>IF($A27="","",G27-F27)</f>
        <v/>
      </c>
      <c r="I27" s="28">
        <f>IF($A27="","",SUMIFS(예산_원본!$X$5:$X$3004,예산_원본!$T$5:$T$3004,$E27,예산_원본!$B$5:$B$3004,설정!$C$8,예산_원본!$U$5:$U$3004,설정!$C$6))</f>
        <v/>
      </c>
      <c r="J27" s="28">
        <f>IF($A27="","",SUMIFS(실적_원본!$N$5:$N$100000,실적_원본!$O$5:$O$100000,$E27,실적_원본!$L$5:$L$100000,설정!$C$6,실적_원본!$M$5:$M$100000,"&lt;="&amp;설정!$C$7))</f>
        <v/>
      </c>
      <c r="K27" s="44">
        <f>IF($A27="","",J27-I27)</f>
        <v/>
      </c>
      <c r="L27" s="45">
        <f>IF($A27="","",IF(I27=0,0,J27/I27))</f>
        <v/>
      </c>
      <c r="M27" s="28">
        <f>IF($A27="","",SUMIFS(예산_원본!$V$5:$V$3004,예산_원본!$T$5:$T$3004,$E27,예산_원본!$B$5:$B$3004,설정!$C$8,예산_원본!$U$5:$U$3004,설정!$C$6))</f>
        <v/>
      </c>
      <c r="N27" s="44">
        <f>IF($A27="","",M27-J27)</f>
        <v/>
      </c>
      <c r="O27" s="45">
        <f>IF($A27="","",IF(M27=0,0,J27/M27))</f>
        <v/>
      </c>
      <c r="P27" s="28">
        <f>IF($A27="","",SUMIFS(실적_원본!$N$5:$N$100000,실적_원본!$O$5:$O$100000,$E27,실적_원본!$L$5:$L$100000,설정!$C$6-1,실적_원본!$M$5:$M$100000,"&lt;="&amp;설정!$C$7))</f>
        <v/>
      </c>
      <c r="Q27" s="44">
        <f>IF($A27="","",J27-P27)</f>
        <v/>
      </c>
      <c r="R27" s="45">
        <f>IF($A27="","",IF(P27=0,0,J27/P27-1))</f>
        <v/>
      </c>
      <c r="S27" s="40">
        <f>IF($A27="","",IF(AND(I27=0,J27&lt;&gt;0),"무예산집행",IF(ABS(K27)&lt;설정!$C$13,"정상",IF(L27&gt;1+설정!$C$12,"초과",IF(L27&lt;1-설정!$C$12,"과소","정상")))))</f>
        <v/>
      </c>
      <c r="T27" s="20">
        <f>IF($A27="","",IFERROR(INDEX(코멘트!$E$5:$E$2004,MATCH(설정!$C$6&amp;"|"&amp;설정!$C$7&amp;"|"&amp;$E27,코멘트!$H$5:$H$2004,0)),""))</f>
        <v/>
      </c>
      <c r="U27" s="55">
        <f>IF($A27="","",IF(S27="정상",-1,ABS(K27)+ROW()/1000000))</f>
        <v/>
      </c>
      <c r="V27" s="55">
        <f>IF($A27="",0,K27+ROW()/1000000)</f>
        <v/>
      </c>
    </row>
    <row r="28">
      <c r="A28" s="12" t="inlineStr">
        <is>
          <t>D400</t>
        </is>
      </c>
      <c r="B28" s="20">
        <f>IF($A28="","",IFERROR(INDEX(부서매핑!$D$5:$D$504,MATCH($A28,부서매핑!$C$5:$C$504,0)),"부서매핑 없음"))</f>
        <v/>
      </c>
      <c r="C28" s="12" t="inlineStr">
        <is>
          <t>B04</t>
        </is>
      </c>
      <c r="D28" s="20">
        <f>IF($A28="","",IFERROR(INDEX(계정매핑!$D$5:$D$504,MATCH($C28,계정매핑!$C$5:$C$504,0)),"항목매핑 없음"))</f>
        <v/>
      </c>
      <c r="E28" s="19">
        <f>IF($A28="","",$A28&amp;"|"&amp;$C28)</f>
        <v/>
      </c>
      <c r="F28" s="28">
        <f>IF($A28="","",SUMIFS(예산_원본!$W$5:$W$3004,예산_원본!$T$5:$T$3004,$E28,예산_원본!$B$5:$B$3004,설정!$C$8,예산_원본!$U$5:$U$3004,설정!$C$6))</f>
        <v/>
      </c>
      <c r="G28" s="28">
        <f>IF($A28="","",SUMIFS(실적_원본!$N$5:$N$100000,실적_원본!$O$5:$O$100000,$E28,실적_원본!$L$5:$L$100000,설정!$C$6,실적_원본!$M$5:$M$100000,설정!$C$7))</f>
        <v/>
      </c>
      <c r="H28" s="44">
        <f>IF($A28="","",G28-F28)</f>
        <v/>
      </c>
      <c r="I28" s="28">
        <f>IF($A28="","",SUMIFS(예산_원본!$X$5:$X$3004,예산_원본!$T$5:$T$3004,$E28,예산_원본!$B$5:$B$3004,설정!$C$8,예산_원본!$U$5:$U$3004,설정!$C$6))</f>
        <v/>
      </c>
      <c r="J28" s="28">
        <f>IF($A28="","",SUMIFS(실적_원본!$N$5:$N$100000,실적_원본!$O$5:$O$100000,$E28,실적_원본!$L$5:$L$100000,설정!$C$6,실적_원본!$M$5:$M$100000,"&lt;="&amp;설정!$C$7))</f>
        <v/>
      </c>
      <c r="K28" s="44">
        <f>IF($A28="","",J28-I28)</f>
        <v/>
      </c>
      <c r="L28" s="45">
        <f>IF($A28="","",IF(I28=0,0,J28/I28))</f>
        <v/>
      </c>
      <c r="M28" s="28">
        <f>IF($A28="","",SUMIFS(예산_원본!$V$5:$V$3004,예산_원본!$T$5:$T$3004,$E28,예산_원본!$B$5:$B$3004,설정!$C$8,예산_원본!$U$5:$U$3004,설정!$C$6))</f>
        <v/>
      </c>
      <c r="N28" s="44">
        <f>IF($A28="","",M28-J28)</f>
        <v/>
      </c>
      <c r="O28" s="45">
        <f>IF($A28="","",IF(M28=0,0,J28/M28))</f>
        <v/>
      </c>
      <c r="P28" s="28">
        <f>IF($A28="","",SUMIFS(실적_원본!$N$5:$N$100000,실적_원본!$O$5:$O$100000,$E28,실적_원본!$L$5:$L$100000,설정!$C$6-1,실적_원본!$M$5:$M$100000,"&lt;="&amp;설정!$C$7))</f>
        <v/>
      </c>
      <c r="Q28" s="44">
        <f>IF($A28="","",J28-P28)</f>
        <v/>
      </c>
      <c r="R28" s="45">
        <f>IF($A28="","",IF(P28=0,0,J28/P28-1))</f>
        <v/>
      </c>
      <c r="S28" s="40">
        <f>IF($A28="","",IF(AND(I28=0,J28&lt;&gt;0),"무예산집행",IF(ABS(K28)&lt;설정!$C$13,"정상",IF(L28&gt;1+설정!$C$12,"초과",IF(L28&lt;1-설정!$C$12,"과소","정상")))))</f>
        <v/>
      </c>
      <c r="T28" s="20">
        <f>IF($A28="","",IFERROR(INDEX(코멘트!$E$5:$E$2004,MATCH(설정!$C$6&amp;"|"&amp;설정!$C$7&amp;"|"&amp;$E28,코멘트!$H$5:$H$2004,0)),""))</f>
        <v/>
      </c>
      <c r="U28" s="55">
        <f>IF($A28="","",IF(S28="정상",-1,ABS(K28)+ROW()/1000000))</f>
        <v/>
      </c>
      <c r="V28" s="55">
        <f>IF($A28="",0,K28+ROW()/1000000)</f>
        <v/>
      </c>
    </row>
    <row r="29">
      <c r="A29" s="12" t="inlineStr">
        <is>
          <t>D400</t>
        </is>
      </c>
      <c r="B29" s="20">
        <f>IF($A29="","",IFERROR(INDEX(부서매핑!$D$5:$D$504,MATCH($A29,부서매핑!$C$5:$C$504,0)),"부서매핑 없음"))</f>
        <v/>
      </c>
      <c r="C29" s="12" t="inlineStr">
        <is>
          <t>B05</t>
        </is>
      </c>
      <c r="D29" s="20">
        <f>IF($A29="","",IFERROR(INDEX(계정매핑!$D$5:$D$504,MATCH($C29,계정매핑!$C$5:$C$504,0)),"항목매핑 없음"))</f>
        <v/>
      </c>
      <c r="E29" s="19">
        <f>IF($A29="","",$A29&amp;"|"&amp;$C29)</f>
        <v/>
      </c>
      <c r="F29" s="28">
        <f>IF($A29="","",SUMIFS(예산_원본!$W$5:$W$3004,예산_원본!$T$5:$T$3004,$E29,예산_원본!$B$5:$B$3004,설정!$C$8,예산_원본!$U$5:$U$3004,설정!$C$6))</f>
        <v/>
      </c>
      <c r="G29" s="28">
        <f>IF($A29="","",SUMIFS(실적_원본!$N$5:$N$100000,실적_원본!$O$5:$O$100000,$E29,실적_원본!$L$5:$L$100000,설정!$C$6,실적_원본!$M$5:$M$100000,설정!$C$7))</f>
        <v/>
      </c>
      <c r="H29" s="44">
        <f>IF($A29="","",G29-F29)</f>
        <v/>
      </c>
      <c r="I29" s="28">
        <f>IF($A29="","",SUMIFS(예산_원본!$X$5:$X$3004,예산_원본!$T$5:$T$3004,$E29,예산_원본!$B$5:$B$3004,설정!$C$8,예산_원본!$U$5:$U$3004,설정!$C$6))</f>
        <v/>
      </c>
      <c r="J29" s="28">
        <f>IF($A29="","",SUMIFS(실적_원본!$N$5:$N$100000,실적_원본!$O$5:$O$100000,$E29,실적_원본!$L$5:$L$100000,설정!$C$6,실적_원본!$M$5:$M$100000,"&lt;="&amp;설정!$C$7))</f>
        <v/>
      </c>
      <c r="K29" s="44">
        <f>IF($A29="","",J29-I29)</f>
        <v/>
      </c>
      <c r="L29" s="45">
        <f>IF($A29="","",IF(I29=0,0,J29/I29))</f>
        <v/>
      </c>
      <c r="M29" s="28">
        <f>IF($A29="","",SUMIFS(예산_원본!$V$5:$V$3004,예산_원본!$T$5:$T$3004,$E29,예산_원본!$B$5:$B$3004,설정!$C$8,예산_원본!$U$5:$U$3004,설정!$C$6))</f>
        <v/>
      </c>
      <c r="N29" s="44">
        <f>IF($A29="","",M29-J29)</f>
        <v/>
      </c>
      <c r="O29" s="45">
        <f>IF($A29="","",IF(M29=0,0,J29/M29))</f>
        <v/>
      </c>
      <c r="P29" s="28">
        <f>IF($A29="","",SUMIFS(실적_원본!$N$5:$N$100000,실적_원본!$O$5:$O$100000,$E29,실적_원본!$L$5:$L$100000,설정!$C$6-1,실적_원본!$M$5:$M$100000,"&lt;="&amp;설정!$C$7))</f>
        <v/>
      </c>
      <c r="Q29" s="44">
        <f>IF($A29="","",J29-P29)</f>
        <v/>
      </c>
      <c r="R29" s="45">
        <f>IF($A29="","",IF(P29=0,0,J29/P29-1))</f>
        <v/>
      </c>
      <c r="S29" s="40">
        <f>IF($A29="","",IF(AND(I29=0,J29&lt;&gt;0),"무예산집행",IF(ABS(K29)&lt;설정!$C$13,"정상",IF(L29&gt;1+설정!$C$12,"초과",IF(L29&lt;1-설정!$C$12,"과소","정상")))))</f>
        <v/>
      </c>
      <c r="T29" s="20">
        <f>IF($A29="","",IFERROR(INDEX(코멘트!$E$5:$E$2004,MATCH(설정!$C$6&amp;"|"&amp;설정!$C$7&amp;"|"&amp;$E29,코멘트!$H$5:$H$2004,0)),""))</f>
        <v/>
      </c>
      <c r="U29" s="55">
        <f>IF($A29="","",IF(S29="정상",-1,ABS(K29)+ROW()/1000000))</f>
        <v/>
      </c>
      <c r="V29" s="55">
        <f>IF($A29="",0,K29+ROW()/1000000)</f>
        <v/>
      </c>
    </row>
    <row r="30">
      <c r="A30" s="12" t="inlineStr">
        <is>
          <t>D400</t>
        </is>
      </c>
      <c r="B30" s="20">
        <f>IF($A30="","",IFERROR(INDEX(부서매핑!$D$5:$D$504,MATCH($A30,부서매핑!$C$5:$C$504,0)),"부서매핑 없음"))</f>
        <v/>
      </c>
      <c r="C30" s="12" t="inlineStr">
        <is>
          <t>B09</t>
        </is>
      </c>
      <c r="D30" s="20">
        <f>IF($A30="","",IFERROR(INDEX(계정매핑!$D$5:$D$504,MATCH($C30,계정매핑!$C$5:$C$504,0)),"항목매핑 없음"))</f>
        <v/>
      </c>
      <c r="E30" s="19">
        <f>IF($A30="","",$A30&amp;"|"&amp;$C30)</f>
        <v/>
      </c>
      <c r="F30" s="28">
        <f>IF($A30="","",SUMIFS(예산_원본!$W$5:$W$3004,예산_원본!$T$5:$T$3004,$E30,예산_원본!$B$5:$B$3004,설정!$C$8,예산_원본!$U$5:$U$3004,설정!$C$6))</f>
        <v/>
      </c>
      <c r="G30" s="28">
        <f>IF($A30="","",SUMIFS(실적_원본!$N$5:$N$100000,실적_원본!$O$5:$O$100000,$E30,실적_원본!$L$5:$L$100000,설정!$C$6,실적_원본!$M$5:$M$100000,설정!$C$7))</f>
        <v/>
      </c>
      <c r="H30" s="44">
        <f>IF($A30="","",G30-F30)</f>
        <v/>
      </c>
      <c r="I30" s="28">
        <f>IF($A30="","",SUMIFS(예산_원본!$X$5:$X$3004,예산_원본!$T$5:$T$3004,$E30,예산_원본!$B$5:$B$3004,설정!$C$8,예산_원본!$U$5:$U$3004,설정!$C$6))</f>
        <v/>
      </c>
      <c r="J30" s="28">
        <f>IF($A30="","",SUMIFS(실적_원본!$N$5:$N$100000,실적_원본!$O$5:$O$100000,$E30,실적_원본!$L$5:$L$100000,설정!$C$6,실적_원본!$M$5:$M$100000,"&lt;="&amp;설정!$C$7))</f>
        <v/>
      </c>
      <c r="K30" s="44">
        <f>IF($A30="","",J30-I30)</f>
        <v/>
      </c>
      <c r="L30" s="45">
        <f>IF($A30="","",IF(I30=0,0,J30/I30))</f>
        <v/>
      </c>
      <c r="M30" s="28">
        <f>IF($A30="","",SUMIFS(예산_원본!$V$5:$V$3004,예산_원본!$T$5:$T$3004,$E30,예산_원본!$B$5:$B$3004,설정!$C$8,예산_원본!$U$5:$U$3004,설정!$C$6))</f>
        <v/>
      </c>
      <c r="N30" s="44">
        <f>IF($A30="","",M30-J30)</f>
        <v/>
      </c>
      <c r="O30" s="45">
        <f>IF($A30="","",IF(M30=0,0,J30/M30))</f>
        <v/>
      </c>
      <c r="P30" s="28">
        <f>IF($A30="","",SUMIFS(실적_원본!$N$5:$N$100000,실적_원본!$O$5:$O$100000,$E30,실적_원본!$L$5:$L$100000,설정!$C$6-1,실적_원본!$M$5:$M$100000,"&lt;="&amp;설정!$C$7))</f>
        <v/>
      </c>
      <c r="Q30" s="44">
        <f>IF($A30="","",J30-P30)</f>
        <v/>
      </c>
      <c r="R30" s="45">
        <f>IF($A30="","",IF(P30=0,0,J30/P30-1))</f>
        <v/>
      </c>
      <c r="S30" s="40">
        <f>IF($A30="","",IF(AND(I30=0,J30&lt;&gt;0),"무예산집행",IF(ABS(K30)&lt;설정!$C$13,"정상",IF(L30&gt;1+설정!$C$12,"초과",IF(L30&lt;1-설정!$C$12,"과소","정상")))))</f>
        <v/>
      </c>
      <c r="T30" s="20">
        <f>IF($A30="","",IFERROR(INDEX(코멘트!$E$5:$E$2004,MATCH(설정!$C$6&amp;"|"&amp;설정!$C$7&amp;"|"&amp;$E30,코멘트!$H$5:$H$2004,0)),""))</f>
        <v/>
      </c>
      <c r="U30" s="55">
        <f>IF($A30="","",IF(S30="정상",-1,ABS(K30)+ROW()/1000000))</f>
        <v/>
      </c>
      <c r="V30" s="55">
        <f>IF($A30="",0,K30+ROW()/1000000)</f>
        <v/>
      </c>
    </row>
    <row r="31">
      <c r="A31" s="12" t="inlineStr">
        <is>
          <t>D500</t>
        </is>
      </c>
      <c r="B31" s="20">
        <f>IF($A31="","",IFERROR(INDEX(부서매핑!$D$5:$D$504,MATCH($A31,부서매핑!$C$5:$C$504,0)),"부서매핑 없음"))</f>
        <v/>
      </c>
      <c r="C31" s="12" t="inlineStr">
        <is>
          <t>B01</t>
        </is>
      </c>
      <c r="D31" s="20">
        <f>IF($A31="","",IFERROR(INDEX(계정매핑!$D$5:$D$504,MATCH($C31,계정매핑!$C$5:$C$504,0)),"항목매핑 없음"))</f>
        <v/>
      </c>
      <c r="E31" s="19">
        <f>IF($A31="","",$A31&amp;"|"&amp;$C31)</f>
        <v/>
      </c>
      <c r="F31" s="28">
        <f>IF($A31="","",SUMIFS(예산_원본!$W$5:$W$3004,예산_원본!$T$5:$T$3004,$E31,예산_원본!$B$5:$B$3004,설정!$C$8,예산_원본!$U$5:$U$3004,설정!$C$6))</f>
        <v/>
      </c>
      <c r="G31" s="28">
        <f>IF($A31="","",SUMIFS(실적_원본!$N$5:$N$100000,실적_원본!$O$5:$O$100000,$E31,실적_원본!$L$5:$L$100000,설정!$C$6,실적_원본!$M$5:$M$100000,설정!$C$7))</f>
        <v/>
      </c>
      <c r="H31" s="44">
        <f>IF($A31="","",G31-F31)</f>
        <v/>
      </c>
      <c r="I31" s="28">
        <f>IF($A31="","",SUMIFS(예산_원본!$X$5:$X$3004,예산_원본!$T$5:$T$3004,$E31,예산_원본!$B$5:$B$3004,설정!$C$8,예산_원본!$U$5:$U$3004,설정!$C$6))</f>
        <v/>
      </c>
      <c r="J31" s="28">
        <f>IF($A31="","",SUMIFS(실적_원본!$N$5:$N$100000,실적_원본!$O$5:$O$100000,$E31,실적_원본!$L$5:$L$100000,설정!$C$6,실적_원본!$M$5:$M$100000,"&lt;="&amp;설정!$C$7))</f>
        <v/>
      </c>
      <c r="K31" s="44">
        <f>IF($A31="","",J31-I31)</f>
        <v/>
      </c>
      <c r="L31" s="45">
        <f>IF($A31="","",IF(I31=0,0,J31/I31))</f>
        <v/>
      </c>
      <c r="M31" s="28">
        <f>IF($A31="","",SUMIFS(예산_원본!$V$5:$V$3004,예산_원본!$T$5:$T$3004,$E31,예산_원본!$B$5:$B$3004,설정!$C$8,예산_원본!$U$5:$U$3004,설정!$C$6))</f>
        <v/>
      </c>
      <c r="N31" s="44">
        <f>IF($A31="","",M31-J31)</f>
        <v/>
      </c>
      <c r="O31" s="45">
        <f>IF($A31="","",IF(M31=0,0,J31/M31))</f>
        <v/>
      </c>
      <c r="P31" s="28">
        <f>IF($A31="","",SUMIFS(실적_원본!$N$5:$N$100000,실적_원본!$O$5:$O$100000,$E31,실적_원본!$L$5:$L$100000,설정!$C$6-1,실적_원본!$M$5:$M$100000,"&lt;="&amp;설정!$C$7))</f>
        <v/>
      </c>
      <c r="Q31" s="44">
        <f>IF($A31="","",J31-P31)</f>
        <v/>
      </c>
      <c r="R31" s="45">
        <f>IF($A31="","",IF(P31=0,0,J31/P31-1))</f>
        <v/>
      </c>
      <c r="S31" s="40">
        <f>IF($A31="","",IF(AND(I31=0,J31&lt;&gt;0),"무예산집행",IF(ABS(K31)&lt;설정!$C$13,"정상",IF(L31&gt;1+설정!$C$12,"초과",IF(L31&lt;1-설정!$C$12,"과소","정상")))))</f>
        <v/>
      </c>
      <c r="T31" s="20">
        <f>IF($A31="","",IFERROR(INDEX(코멘트!$E$5:$E$2004,MATCH(설정!$C$6&amp;"|"&amp;설정!$C$7&amp;"|"&amp;$E31,코멘트!$H$5:$H$2004,0)),""))</f>
        <v/>
      </c>
      <c r="U31" s="55">
        <f>IF($A31="","",IF(S31="정상",-1,ABS(K31)+ROW()/1000000))</f>
        <v/>
      </c>
      <c r="V31" s="55">
        <f>IF($A31="",0,K31+ROW()/1000000)</f>
        <v/>
      </c>
    </row>
    <row r="32">
      <c r="A32" s="12" t="inlineStr">
        <is>
          <t>D500</t>
        </is>
      </c>
      <c r="B32" s="20">
        <f>IF($A32="","",IFERROR(INDEX(부서매핑!$D$5:$D$504,MATCH($A32,부서매핑!$C$5:$C$504,0)),"부서매핑 없음"))</f>
        <v/>
      </c>
      <c r="C32" s="12" t="inlineStr">
        <is>
          <t>B02</t>
        </is>
      </c>
      <c r="D32" s="20">
        <f>IF($A32="","",IFERROR(INDEX(계정매핑!$D$5:$D$504,MATCH($C32,계정매핑!$C$5:$C$504,0)),"항목매핑 없음"))</f>
        <v/>
      </c>
      <c r="E32" s="19">
        <f>IF($A32="","",$A32&amp;"|"&amp;$C32)</f>
        <v/>
      </c>
      <c r="F32" s="28">
        <f>IF($A32="","",SUMIFS(예산_원본!$W$5:$W$3004,예산_원본!$T$5:$T$3004,$E32,예산_원본!$B$5:$B$3004,설정!$C$8,예산_원본!$U$5:$U$3004,설정!$C$6))</f>
        <v/>
      </c>
      <c r="G32" s="28">
        <f>IF($A32="","",SUMIFS(실적_원본!$N$5:$N$100000,실적_원본!$O$5:$O$100000,$E32,실적_원본!$L$5:$L$100000,설정!$C$6,실적_원본!$M$5:$M$100000,설정!$C$7))</f>
        <v/>
      </c>
      <c r="H32" s="44">
        <f>IF($A32="","",G32-F32)</f>
        <v/>
      </c>
      <c r="I32" s="28">
        <f>IF($A32="","",SUMIFS(예산_원본!$X$5:$X$3004,예산_원본!$T$5:$T$3004,$E32,예산_원본!$B$5:$B$3004,설정!$C$8,예산_원본!$U$5:$U$3004,설정!$C$6))</f>
        <v/>
      </c>
      <c r="J32" s="28">
        <f>IF($A32="","",SUMIFS(실적_원본!$N$5:$N$100000,실적_원본!$O$5:$O$100000,$E32,실적_원본!$L$5:$L$100000,설정!$C$6,실적_원본!$M$5:$M$100000,"&lt;="&amp;설정!$C$7))</f>
        <v/>
      </c>
      <c r="K32" s="44">
        <f>IF($A32="","",J32-I32)</f>
        <v/>
      </c>
      <c r="L32" s="45">
        <f>IF($A32="","",IF(I32=0,0,J32/I32))</f>
        <v/>
      </c>
      <c r="M32" s="28">
        <f>IF($A32="","",SUMIFS(예산_원본!$V$5:$V$3004,예산_원본!$T$5:$T$3004,$E32,예산_원본!$B$5:$B$3004,설정!$C$8,예산_원본!$U$5:$U$3004,설정!$C$6))</f>
        <v/>
      </c>
      <c r="N32" s="44">
        <f>IF($A32="","",M32-J32)</f>
        <v/>
      </c>
      <c r="O32" s="45">
        <f>IF($A32="","",IF(M32=0,0,J32/M32))</f>
        <v/>
      </c>
      <c r="P32" s="28">
        <f>IF($A32="","",SUMIFS(실적_원본!$N$5:$N$100000,실적_원본!$O$5:$O$100000,$E32,실적_원본!$L$5:$L$100000,설정!$C$6-1,실적_원본!$M$5:$M$100000,"&lt;="&amp;설정!$C$7))</f>
        <v/>
      </c>
      <c r="Q32" s="44">
        <f>IF($A32="","",J32-P32)</f>
        <v/>
      </c>
      <c r="R32" s="45">
        <f>IF($A32="","",IF(P32=0,0,J32/P32-1))</f>
        <v/>
      </c>
      <c r="S32" s="40">
        <f>IF($A32="","",IF(AND(I32=0,J32&lt;&gt;0),"무예산집행",IF(ABS(K32)&lt;설정!$C$13,"정상",IF(L32&gt;1+설정!$C$12,"초과",IF(L32&lt;1-설정!$C$12,"과소","정상")))))</f>
        <v/>
      </c>
      <c r="T32" s="20">
        <f>IF($A32="","",IFERROR(INDEX(코멘트!$E$5:$E$2004,MATCH(설정!$C$6&amp;"|"&amp;설정!$C$7&amp;"|"&amp;$E32,코멘트!$H$5:$H$2004,0)),""))</f>
        <v/>
      </c>
      <c r="U32" s="55">
        <f>IF($A32="","",IF(S32="정상",-1,ABS(K32)+ROW()/1000000))</f>
        <v/>
      </c>
      <c r="V32" s="55">
        <f>IF($A32="",0,K32+ROW()/1000000)</f>
        <v/>
      </c>
    </row>
    <row r="33">
      <c r="A33" s="12" t="inlineStr">
        <is>
          <t>D500</t>
        </is>
      </c>
      <c r="B33" s="20">
        <f>IF($A33="","",IFERROR(INDEX(부서매핑!$D$5:$D$504,MATCH($A33,부서매핑!$C$5:$C$504,0)),"부서매핑 없음"))</f>
        <v/>
      </c>
      <c r="C33" s="12" t="inlineStr">
        <is>
          <t>B03</t>
        </is>
      </c>
      <c r="D33" s="20">
        <f>IF($A33="","",IFERROR(INDEX(계정매핑!$D$5:$D$504,MATCH($C33,계정매핑!$C$5:$C$504,0)),"항목매핑 없음"))</f>
        <v/>
      </c>
      <c r="E33" s="19">
        <f>IF($A33="","",$A33&amp;"|"&amp;$C33)</f>
        <v/>
      </c>
      <c r="F33" s="28">
        <f>IF($A33="","",SUMIFS(예산_원본!$W$5:$W$3004,예산_원본!$T$5:$T$3004,$E33,예산_원본!$B$5:$B$3004,설정!$C$8,예산_원본!$U$5:$U$3004,설정!$C$6))</f>
        <v/>
      </c>
      <c r="G33" s="28">
        <f>IF($A33="","",SUMIFS(실적_원본!$N$5:$N$100000,실적_원본!$O$5:$O$100000,$E33,실적_원본!$L$5:$L$100000,설정!$C$6,실적_원본!$M$5:$M$100000,설정!$C$7))</f>
        <v/>
      </c>
      <c r="H33" s="44">
        <f>IF($A33="","",G33-F33)</f>
        <v/>
      </c>
      <c r="I33" s="28">
        <f>IF($A33="","",SUMIFS(예산_원본!$X$5:$X$3004,예산_원본!$T$5:$T$3004,$E33,예산_원본!$B$5:$B$3004,설정!$C$8,예산_원본!$U$5:$U$3004,설정!$C$6))</f>
        <v/>
      </c>
      <c r="J33" s="28">
        <f>IF($A33="","",SUMIFS(실적_원본!$N$5:$N$100000,실적_원본!$O$5:$O$100000,$E33,실적_원본!$L$5:$L$100000,설정!$C$6,실적_원본!$M$5:$M$100000,"&lt;="&amp;설정!$C$7))</f>
        <v/>
      </c>
      <c r="K33" s="44">
        <f>IF($A33="","",J33-I33)</f>
        <v/>
      </c>
      <c r="L33" s="45">
        <f>IF($A33="","",IF(I33=0,0,J33/I33))</f>
        <v/>
      </c>
      <c r="M33" s="28">
        <f>IF($A33="","",SUMIFS(예산_원본!$V$5:$V$3004,예산_원본!$T$5:$T$3004,$E33,예산_원본!$B$5:$B$3004,설정!$C$8,예산_원본!$U$5:$U$3004,설정!$C$6))</f>
        <v/>
      </c>
      <c r="N33" s="44">
        <f>IF($A33="","",M33-J33)</f>
        <v/>
      </c>
      <c r="O33" s="45">
        <f>IF($A33="","",IF(M33=0,0,J33/M33))</f>
        <v/>
      </c>
      <c r="P33" s="28">
        <f>IF($A33="","",SUMIFS(실적_원본!$N$5:$N$100000,실적_원본!$O$5:$O$100000,$E33,실적_원본!$L$5:$L$100000,설정!$C$6-1,실적_원본!$M$5:$M$100000,"&lt;="&amp;설정!$C$7))</f>
        <v/>
      </c>
      <c r="Q33" s="44">
        <f>IF($A33="","",J33-P33)</f>
        <v/>
      </c>
      <c r="R33" s="45">
        <f>IF($A33="","",IF(P33=0,0,J33/P33-1))</f>
        <v/>
      </c>
      <c r="S33" s="40">
        <f>IF($A33="","",IF(AND(I33=0,J33&lt;&gt;0),"무예산집행",IF(ABS(K33)&lt;설정!$C$13,"정상",IF(L33&gt;1+설정!$C$12,"초과",IF(L33&lt;1-설정!$C$12,"과소","정상")))))</f>
        <v/>
      </c>
      <c r="T33" s="20">
        <f>IF($A33="","",IFERROR(INDEX(코멘트!$E$5:$E$2004,MATCH(설정!$C$6&amp;"|"&amp;설정!$C$7&amp;"|"&amp;$E33,코멘트!$H$5:$H$2004,0)),""))</f>
        <v/>
      </c>
      <c r="U33" s="55">
        <f>IF($A33="","",IF(S33="정상",-1,ABS(K33)+ROW()/1000000))</f>
        <v/>
      </c>
      <c r="V33" s="55">
        <f>IF($A33="",0,K33+ROW()/1000000)</f>
        <v/>
      </c>
    </row>
    <row r="34">
      <c r="A34" s="12" t="inlineStr">
        <is>
          <t>D500</t>
        </is>
      </c>
      <c r="B34" s="20">
        <f>IF($A34="","",IFERROR(INDEX(부서매핑!$D$5:$D$504,MATCH($A34,부서매핑!$C$5:$C$504,0)),"부서매핑 없음"))</f>
        <v/>
      </c>
      <c r="C34" s="12" t="inlineStr">
        <is>
          <t>B04</t>
        </is>
      </c>
      <c r="D34" s="20">
        <f>IF($A34="","",IFERROR(INDEX(계정매핑!$D$5:$D$504,MATCH($C34,계정매핑!$C$5:$C$504,0)),"항목매핑 없음"))</f>
        <v/>
      </c>
      <c r="E34" s="19">
        <f>IF($A34="","",$A34&amp;"|"&amp;$C34)</f>
        <v/>
      </c>
      <c r="F34" s="28">
        <f>IF($A34="","",SUMIFS(예산_원본!$W$5:$W$3004,예산_원본!$T$5:$T$3004,$E34,예산_원본!$B$5:$B$3004,설정!$C$8,예산_원본!$U$5:$U$3004,설정!$C$6))</f>
        <v/>
      </c>
      <c r="G34" s="28">
        <f>IF($A34="","",SUMIFS(실적_원본!$N$5:$N$100000,실적_원본!$O$5:$O$100000,$E34,실적_원본!$L$5:$L$100000,설정!$C$6,실적_원본!$M$5:$M$100000,설정!$C$7))</f>
        <v/>
      </c>
      <c r="H34" s="44">
        <f>IF($A34="","",G34-F34)</f>
        <v/>
      </c>
      <c r="I34" s="28">
        <f>IF($A34="","",SUMIFS(예산_원본!$X$5:$X$3004,예산_원본!$T$5:$T$3004,$E34,예산_원본!$B$5:$B$3004,설정!$C$8,예산_원본!$U$5:$U$3004,설정!$C$6))</f>
        <v/>
      </c>
      <c r="J34" s="28">
        <f>IF($A34="","",SUMIFS(실적_원본!$N$5:$N$100000,실적_원본!$O$5:$O$100000,$E34,실적_원본!$L$5:$L$100000,설정!$C$6,실적_원본!$M$5:$M$100000,"&lt;="&amp;설정!$C$7))</f>
        <v/>
      </c>
      <c r="K34" s="44">
        <f>IF($A34="","",J34-I34)</f>
        <v/>
      </c>
      <c r="L34" s="45">
        <f>IF($A34="","",IF(I34=0,0,J34/I34))</f>
        <v/>
      </c>
      <c r="M34" s="28">
        <f>IF($A34="","",SUMIFS(예산_원본!$V$5:$V$3004,예산_원본!$T$5:$T$3004,$E34,예산_원본!$B$5:$B$3004,설정!$C$8,예산_원본!$U$5:$U$3004,설정!$C$6))</f>
        <v/>
      </c>
      <c r="N34" s="44">
        <f>IF($A34="","",M34-J34)</f>
        <v/>
      </c>
      <c r="O34" s="45">
        <f>IF($A34="","",IF(M34=0,0,J34/M34))</f>
        <v/>
      </c>
      <c r="P34" s="28">
        <f>IF($A34="","",SUMIFS(실적_원본!$N$5:$N$100000,실적_원본!$O$5:$O$100000,$E34,실적_원본!$L$5:$L$100000,설정!$C$6-1,실적_원본!$M$5:$M$100000,"&lt;="&amp;설정!$C$7))</f>
        <v/>
      </c>
      <c r="Q34" s="44">
        <f>IF($A34="","",J34-P34)</f>
        <v/>
      </c>
      <c r="R34" s="45">
        <f>IF($A34="","",IF(P34=0,0,J34/P34-1))</f>
        <v/>
      </c>
      <c r="S34" s="40">
        <f>IF($A34="","",IF(AND(I34=0,J34&lt;&gt;0),"무예산집행",IF(ABS(K34)&lt;설정!$C$13,"정상",IF(L34&gt;1+설정!$C$12,"초과",IF(L34&lt;1-설정!$C$12,"과소","정상")))))</f>
        <v/>
      </c>
      <c r="T34" s="20">
        <f>IF($A34="","",IFERROR(INDEX(코멘트!$E$5:$E$2004,MATCH(설정!$C$6&amp;"|"&amp;설정!$C$7&amp;"|"&amp;$E34,코멘트!$H$5:$H$2004,0)),""))</f>
        <v/>
      </c>
      <c r="U34" s="55">
        <f>IF($A34="","",IF(S34="정상",-1,ABS(K34)+ROW()/1000000))</f>
        <v/>
      </c>
      <c r="V34" s="55">
        <f>IF($A34="",0,K34+ROW()/1000000)</f>
        <v/>
      </c>
    </row>
    <row r="35">
      <c r="A35" s="12" t="inlineStr">
        <is>
          <t>D500</t>
        </is>
      </c>
      <c r="B35" s="20">
        <f>IF($A35="","",IFERROR(INDEX(부서매핑!$D$5:$D$504,MATCH($A35,부서매핑!$C$5:$C$504,0)),"부서매핑 없음"))</f>
        <v/>
      </c>
      <c r="C35" s="12" t="inlineStr">
        <is>
          <t>B05</t>
        </is>
      </c>
      <c r="D35" s="20">
        <f>IF($A35="","",IFERROR(INDEX(계정매핑!$D$5:$D$504,MATCH($C35,계정매핑!$C$5:$C$504,0)),"항목매핑 없음"))</f>
        <v/>
      </c>
      <c r="E35" s="19">
        <f>IF($A35="","",$A35&amp;"|"&amp;$C35)</f>
        <v/>
      </c>
      <c r="F35" s="28">
        <f>IF($A35="","",SUMIFS(예산_원본!$W$5:$W$3004,예산_원본!$T$5:$T$3004,$E35,예산_원본!$B$5:$B$3004,설정!$C$8,예산_원본!$U$5:$U$3004,설정!$C$6))</f>
        <v/>
      </c>
      <c r="G35" s="28">
        <f>IF($A35="","",SUMIFS(실적_원본!$N$5:$N$100000,실적_원본!$O$5:$O$100000,$E35,실적_원본!$L$5:$L$100000,설정!$C$6,실적_원본!$M$5:$M$100000,설정!$C$7))</f>
        <v/>
      </c>
      <c r="H35" s="44">
        <f>IF($A35="","",G35-F35)</f>
        <v/>
      </c>
      <c r="I35" s="28">
        <f>IF($A35="","",SUMIFS(예산_원본!$X$5:$X$3004,예산_원본!$T$5:$T$3004,$E35,예산_원본!$B$5:$B$3004,설정!$C$8,예산_원본!$U$5:$U$3004,설정!$C$6))</f>
        <v/>
      </c>
      <c r="J35" s="28">
        <f>IF($A35="","",SUMIFS(실적_원본!$N$5:$N$100000,실적_원본!$O$5:$O$100000,$E35,실적_원본!$L$5:$L$100000,설정!$C$6,실적_원본!$M$5:$M$100000,"&lt;="&amp;설정!$C$7))</f>
        <v/>
      </c>
      <c r="K35" s="44">
        <f>IF($A35="","",J35-I35)</f>
        <v/>
      </c>
      <c r="L35" s="45">
        <f>IF($A35="","",IF(I35=0,0,J35/I35))</f>
        <v/>
      </c>
      <c r="M35" s="28">
        <f>IF($A35="","",SUMIFS(예산_원본!$V$5:$V$3004,예산_원본!$T$5:$T$3004,$E35,예산_원본!$B$5:$B$3004,설정!$C$8,예산_원본!$U$5:$U$3004,설정!$C$6))</f>
        <v/>
      </c>
      <c r="N35" s="44">
        <f>IF($A35="","",M35-J35)</f>
        <v/>
      </c>
      <c r="O35" s="45">
        <f>IF($A35="","",IF(M35=0,0,J35/M35))</f>
        <v/>
      </c>
      <c r="P35" s="28">
        <f>IF($A35="","",SUMIFS(실적_원본!$N$5:$N$100000,실적_원본!$O$5:$O$100000,$E35,실적_원본!$L$5:$L$100000,설정!$C$6-1,실적_원본!$M$5:$M$100000,"&lt;="&amp;설정!$C$7))</f>
        <v/>
      </c>
      <c r="Q35" s="44">
        <f>IF($A35="","",J35-P35)</f>
        <v/>
      </c>
      <c r="R35" s="45">
        <f>IF($A35="","",IF(P35=0,0,J35/P35-1))</f>
        <v/>
      </c>
      <c r="S35" s="40">
        <f>IF($A35="","",IF(AND(I35=0,J35&lt;&gt;0),"무예산집행",IF(ABS(K35)&lt;설정!$C$13,"정상",IF(L35&gt;1+설정!$C$12,"초과",IF(L35&lt;1-설정!$C$12,"과소","정상")))))</f>
        <v/>
      </c>
      <c r="T35" s="20">
        <f>IF($A35="","",IFERROR(INDEX(코멘트!$E$5:$E$2004,MATCH(설정!$C$6&amp;"|"&amp;설정!$C$7&amp;"|"&amp;$E35,코멘트!$H$5:$H$2004,0)),""))</f>
        <v/>
      </c>
      <c r="U35" s="55">
        <f>IF($A35="","",IF(S35="정상",-1,ABS(K35)+ROW()/1000000))</f>
        <v/>
      </c>
      <c r="V35" s="55">
        <f>IF($A35="",0,K35+ROW()/1000000)</f>
        <v/>
      </c>
    </row>
    <row r="36">
      <c r="A36" s="12" t="inlineStr">
        <is>
          <t>D500</t>
        </is>
      </c>
      <c r="B36" s="20">
        <f>IF($A36="","",IFERROR(INDEX(부서매핑!$D$5:$D$504,MATCH($A36,부서매핑!$C$5:$C$504,0)),"부서매핑 없음"))</f>
        <v/>
      </c>
      <c r="C36" s="12" t="inlineStr">
        <is>
          <t>B06</t>
        </is>
      </c>
      <c r="D36" s="20">
        <f>IF($A36="","",IFERROR(INDEX(계정매핑!$D$5:$D$504,MATCH($C36,계정매핑!$C$5:$C$504,0)),"항목매핑 없음"))</f>
        <v/>
      </c>
      <c r="E36" s="19">
        <f>IF($A36="","",$A36&amp;"|"&amp;$C36)</f>
        <v/>
      </c>
      <c r="F36" s="28">
        <f>IF($A36="","",SUMIFS(예산_원본!$W$5:$W$3004,예산_원본!$T$5:$T$3004,$E36,예산_원본!$B$5:$B$3004,설정!$C$8,예산_원본!$U$5:$U$3004,설정!$C$6))</f>
        <v/>
      </c>
      <c r="G36" s="28">
        <f>IF($A36="","",SUMIFS(실적_원본!$N$5:$N$100000,실적_원본!$O$5:$O$100000,$E36,실적_원본!$L$5:$L$100000,설정!$C$6,실적_원본!$M$5:$M$100000,설정!$C$7))</f>
        <v/>
      </c>
      <c r="H36" s="44">
        <f>IF($A36="","",G36-F36)</f>
        <v/>
      </c>
      <c r="I36" s="28">
        <f>IF($A36="","",SUMIFS(예산_원본!$X$5:$X$3004,예산_원본!$T$5:$T$3004,$E36,예산_원본!$B$5:$B$3004,설정!$C$8,예산_원본!$U$5:$U$3004,설정!$C$6))</f>
        <v/>
      </c>
      <c r="J36" s="28">
        <f>IF($A36="","",SUMIFS(실적_원본!$N$5:$N$100000,실적_원본!$O$5:$O$100000,$E36,실적_원본!$L$5:$L$100000,설정!$C$6,실적_원본!$M$5:$M$100000,"&lt;="&amp;설정!$C$7))</f>
        <v/>
      </c>
      <c r="K36" s="44">
        <f>IF($A36="","",J36-I36)</f>
        <v/>
      </c>
      <c r="L36" s="45">
        <f>IF($A36="","",IF(I36=0,0,J36/I36))</f>
        <v/>
      </c>
      <c r="M36" s="28">
        <f>IF($A36="","",SUMIFS(예산_원본!$V$5:$V$3004,예산_원본!$T$5:$T$3004,$E36,예산_원본!$B$5:$B$3004,설정!$C$8,예산_원본!$U$5:$U$3004,설정!$C$6))</f>
        <v/>
      </c>
      <c r="N36" s="44">
        <f>IF($A36="","",M36-J36)</f>
        <v/>
      </c>
      <c r="O36" s="45">
        <f>IF($A36="","",IF(M36=0,0,J36/M36))</f>
        <v/>
      </c>
      <c r="P36" s="28">
        <f>IF($A36="","",SUMIFS(실적_원본!$N$5:$N$100000,실적_원본!$O$5:$O$100000,$E36,실적_원본!$L$5:$L$100000,설정!$C$6-1,실적_원본!$M$5:$M$100000,"&lt;="&amp;설정!$C$7))</f>
        <v/>
      </c>
      <c r="Q36" s="44">
        <f>IF($A36="","",J36-P36)</f>
        <v/>
      </c>
      <c r="R36" s="45">
        <f>IF($A36="","",IF(P36=0,0,J36/P36-1))</f>
        <v/>
      </c>
      <c r="S36" s="40">
        <f>IF($A36="","",IF(AND(I36=0,J36&lt;&gt;0),"무예산집행",IF(ABS(K36)&lt;설정!$C$13,"정상",IF(L36&gt;1+설정!$C$12,"초과",IF(L36&lt;1-설정!$C$12,"과소","정상")))))</f>
        <v/>
      </c>
      <c r="T36" s="20">
        <f>IF($A36="","",IFERROR(INDEX(코멘트!$E$5:$E$2004,MATCH(설정!$C$6&amp;"|"&amp;설정!$C$7&amp;"|"&amp;$E36,코멘트!$H$5:$H$2004,0)),""))</f>
        <v/>
      </c>
      <c r="U36" s="55">
        <f>IF($A36="","",IF(S36="정상",-1,ABS(K36)+ROW()/1000000))</f>
        <v/>
      </c>
      <c r="V36" s="55">
        <f>IF($A36="",0,K36+ROW()/1000000)</f>
        <v/>
      </c>
    </row>
    <row r="37">
      <c r="A37" s="12" t="inlineStr">
        <is>
          <t>D500</t>
        </is>
      </c>
      <c r="B37" s="20">
        <f>IF($A37="","",IFERROR(INDEX(부서매핑!$D$5:$D$504,MATCH($A37,부서매핑!$C$5:$C$504,0)),"부서매핑 없음"))</f>
        <v/>
      </c>
      <c r="C37" s="12" t="inlineStr">
        <is>
          <t>B07</t>
        </is>
      </c>
      <c r="D37" s="20">
        <f>IF($A37="","",IFERROR(INDEX(계정매핑!$D$5:$D$504,MATCH($C37,계정매핑!$C$5:$C$504,0)),"항목매핑 없음"))</f>
        <v/>
      </c>
      <c r="E37" s="19">
        <f>IF($A37="","",$A37&amp;"|"&amp;$C37)</f>
        <v/>
      </c>
      <c r="F37" s="28">
        <f>IF($A37="","",SUMIFS(예산_원본!$W$5:$W$3004,예산_원본!$T$5:$T$3004,$E37,예산_원본!$B$5:$B$3004,설정!$C$8,예산_원본!$U$5:$U$3004,설정!$C$6))</f>
        <v/>
      </c>
      <c r="G37" s="28">
        <f>IF($A37="","",SUMIFS(실적_원본!$N$5:$N$100000,실적_원본!$O$5:$O$100000,$E37,실적_원본!$L$5:$L$100000,설정!$C$6,실적_원본!$M$5:$M$100000,설정!$C$7))</f>
        <v/>
      </c>
      <c r="H37" s="44">
        <f>IF($A37="","",G37-F37)</f>
        <v/>
      </c>
      <c r="I37" s="28">
        <f>IF($A37="","",SUMIFS(예산_원본!$X$5:$X$3004,예산_원본!$T$5:$T$3004,$E37,예산_원본!$B$5:$B$3004,설정!$C$8,예산_원본!$U$5:$U$3004,설정!$C$6))</f>
        <v/>
      </c>
      <c r="J37" s="28">
        <f>IF($A37="","",SUMIFS(실적_원본!$N$5:$N$100000,실적_원본!$O$5:$O$100000,$E37,실적_원본!$L$5:$L$100000,설정!$C$6,실적_원본!$M$5:$M$100000,"&lt;="&amp;설정!$C$7))</f>
        <v/>
      </c>
      <c r="K37" s="44">
        <f>IF($A37="","",J37-I37)</f>
        <v/>
      </c>
      <c r="L37" s="45">
        <f>IF($A37="","",IF(I37=0,0,J37/I37))</f>
        <v/>
      </c>
      <c r="M37" s="28">
        <f>IF($A37="","",SUMIFS(예산_원본!$V$5:$V$3004,예산_원본!$T$5:$T$3004,$E37,예산_원본!$B$5:$B$3004,설정!$C$8,예산_원본!$U$5:$U$3004,설정!$C$6))</f>
        <v/>
      </c>
      <c r="N37" s="44">
        <f>IF($A37="","",M37-J37)</f>
        <v/>
      </c>
      <c r="O37" s="45">
        <f>IF($A37="","",IF(M37=0,0,J37/M37))</f>
        <v/>
      </c>
      <c r="P37" s="28">
        <f>IF($A37="","",SUMIFS(실적_원본!$N$5:$N$100000,실적_원본!$O$5:$O$100000,$E37,실적_원본!$L$5:$L$100000,설정!$C$6-1,실적_원본!$M$5:$M$100000,"&lt;="&amp;설정!$C$7))</f>
        <v/>
      </c>
      <c r="Q37" s="44">
        <f>IF($A37="","",J37-P37)</f>
        <v/>
      </c>
      <c r="R37" s="45">
        <f>IF($A37="","",IF(P37=0,0,J37/P37-1))</f>
        <v/>
      </c>
      <c r="S37" s="40">
        <f>IF($A37="","",IF(AND(I37=0,J37&lt;&gt;0),"무예산집행",IF(ABS(K37)&lt;설정!$C$13,"정상",IF(L37&gt;1+설정!$C$12,"초과",IF(L37&lt;1-설정!$C$12,"과소","정상")))))</f>
        <v/>
      </c>
      <c r="T37" s="20">
        <f>IF($A37="","",IFERROR(INDEX(코멘트!$E$5:$E$2004,MATCH(설정!$C$6&amp;"|"&amp;설정!$C$7&amp;"|"&amp;$E37,코멘트!$H$5:$H$2004,0)),""))</f>
        <v/>
      </c>
      <c r="U37" s="55">
        <f>IF($A37="","",IF(S37="정상",-1,ABS(K37)+ROW()/1000000))</f>
        <v/>
      </c>
      <c r="V37" s="55">
        <f>IF($A37="",0,K37+ROW()/1000000)</f>
        <v/>
      </c>
    </row>
    <row r="38">
      <c r="A38" s="12" t="inlineStr">
        <is>
          <t>D600</t>
        </is>
      </c>
      <c r="B38" s="20">
        <f>IF($A38="","",IFERROR(INDEX(부서매핑!$D$5:$D$504,MATCH($A38,부서매핑!$C$5:$C$504,0)),"부서매핑 없음"))</f>
        <v/>
      </c>
      <c r="C38" s="12" t="inlineStr">
        <is>
          <t>B01</t>
        </is>
      </c>
      <c r="D38" s="20">
        <f>IF($A38="","",IFERROR(INDEX(계정매핑!$D$5:$D$504,MATCH($C38,계정매핑!$C$5:$C$504,0)),"항목매핑 없음"))</f>
        <v/>
      </c>
      <c r="E38" s="19">
        <f>IF($A38="","",$A38&amp;"|"&amp;$C38)</f>
        <v/>
      </c>
      <c r="F38" s="28">
        <f>IF($A38="","",SUMIFS(예산_원본!$W$5:$W$3004,예산_원본!$T$5:$T$3004,$E38,예산_원본!$B$5:$B$3004,설정!$C$8,예산_원본!$U$5:$U$3004,설정!$C$6))</f>
        <v/>
      </c>
      <c r="G38" s="28">
        <f>IF($A38="","",SUMIFS(실적_원본!$N$5:$N$100000,실적_원본!$O$5:$O$100000,$E38,실적_원본!$L$5:$L$100000,설정!$C$6,실적_원본!$M$5:$M$100000,설정!$C$7))</f>
        <v/>
      </c>
      <c r="H38" s="44">
        <f>IF($A38="","",G38-F38)</f>
        <v/>
      </c>
      <c r="I38" s="28">
        <f>IF($A38="","",SUMIFS(예산_원본!$X$5:$X$3004,예산_원본!$T$5:$T$3004,$E38,예산_원본!$B$5:$B$3004,설정!$C$8,예산_원본!$U$5:$U$3004,설정!$C$6))</f>
        <v/>
      </c>
      <c r="J38" s="28">
        <f>IF($A38="","",SUMIFS(실적_원본!$N$5:$N$100000,실적_원본!$O$5:$O$100000,$E38,실적_원본!$L$5:$L$100000,설정!$C$6,실적_원본!$M$5:$M$100000,"&lt;="&amp;설정!$C$7))</f>
        <v/>
      </c>
      <c r="K38" s="44">
        <f>IF($A38="","",J38-I38)</f>
        <v/>
      </c>
      <c r="L38" s="45">
        <f>IF($A38="","",IF(I38=0,0,J38/I38))</f>
        <v/>
      </c>
      <c r="M38" s="28">
        <f>IF($A38="","",SUMIFS(예산_원본!$V$5:$V$3004,예산_원본!$T$5:$T$3004,$E38,예산_원본!$B$5:$B$3004,설정!$C$8,예산_원본!$U$5:$U$3004,설정!$C$6))</f>
        <v/>
      </c>
      <c r="N38" s="44">
        <f>IF($A38="","",M38-J38)</f>
        <v/>
      </c>
      <c r="O38" s="45">
        <f>IF($A38="","",IF(M38=0,0,J38/M38))</f>
        <v/>
      </c>
      <c r="P38" s="28">
        <f>IF($A38="","",SUMIFS(실적_원본!$N$5:$N$100000,실적_원본!$O$5:$O$100000,$E38,실적_원본!$L$5:$L$100000,설정!$C$6-1,실적_원본!$M$5:$M$100000,"&lt;="&amp;설정!$C$7))</f>
        <v/>
      </c>
      <c r="Q38" s="44">
        <f>IF($A38="","",J38-P38)</f>
        <v/>
      </c>
      <c r="R38" s="45">
        <f>IF($A38="","",IF(P38=0,0,J38/P38-1))</f>
        <v/>
      </c>
      <c r="S38" s="40">
        <f>IF($A38="","",IF(AND(I38=0,J38&lt;&gt;0),"무예산집행",IF(ABS(K38)&lt;설정!$C$13,"정상",IF(L38&gt;1+설정!$C$12,"초과",IF(L38&lt;1-설정!$C$12,"과소","정상")))))</f>
        <v/>
      </c>
      <c r="T38" s="20">
        <f>IF($A38="","",IFERROR(INDEX(코멘트!$E$5:$E$2004,MATCH(설정!$C$6&amp;"|"&amp;설정!$C$7&amp;"|"&amp;$E38,코멘트!$H$5:$H$2004,0)),""))</f>
        <v/>
      </c>
      <c r="U38" s="55">
        <f>IF($A38="","",IF(S38="정상",-1,ABS(K38)+ROW()/1000000))</f>
        <v/>
      </c>
      <c r="V38" s="55">
        <f>IF($A38="",0,K38+ROW()/1000000)</f>
        <v/>
      </c>
    </row>
    <row r="39">
      <c r="A39" s="12" t="inlineStr">
        <is>
          <t>D600</t>
        </is>
      </c>
      <c r="B39" s="20">
        <f>IF($A39="","",IFERROR(INDEX(부서매핑!$D$5:$D$504,MATCH($A39,부서매핑!$C$5:$C$504,0)),"부서매핑 없음"))</f>
        <v/>
      </c>
      <c r="C39" s="12" t="inlineStr">
        <is>
          <t>B02</t>
        </is>
      </c>
      <c r="D39" s="20">
        <f>IF($A39="","",IFERROR(INDEX(계정매핑!$D$5:$D$504,MATCH($C39,계정매핑!$C$5:$C$504,0)),"항목매핑 없음"))</f>
        <v/>
      </c>
      <c r="E39" s="19">
        <f>IF($A39="","",$A39&amp;"|"&amp;$C39)</f>
        <v/>
      </c>
      <c r="F39" s="28">
        <f>IF($A39="","",SUMIFS(예산_원본!$W$5:$W$3004,예산_원본!$T$5:$T$3004,$E39,예산_원본!$B$5:$B$3004,설정!$C$8,예산_원본!$U$5:$U$3004,설정!$C$6))</f>
        <v/>
      </c>
      <c r="G39" s="28">
        <f>IF($A39="","",SUMIFS(실적_원본!$N$5:$N$100000,실적_원본!$O$5:$O$100000,$E39,실적_원본!$L$5:$L$100000,설정!$C$6,실적_원본!$M$5:$M$100000,설정!$C$7))</f>
        <v/>
      </c>
      <c r="H39" s="44">
        <f>IF($A39="","",G39-F39)</f>
        <v/>
      </c>
      <c r="I39" s="28">
        <f>IF($A39="","",SUMIFS(예산_원본!$X$5:$X$3004,예산_원본!$T$5:$T$3004,$E39,예산_원본!$B$5:$B$3004,설정!$C$8,예산_원본!$U$5:$U$3004,설정!$C$6))</f>
        <v/>
      </c>
      <c r="J39" s="28">
        <f>IF($A39="","",SUMIFS(실적_원본!$N$5:$N$100000,실적_원본!$O$5:$O$100000,$E39,실적_원본!$L$5:$L$100000,설정!$C$6,실적_원본!$M$5:$M$100000,"&lt;="&amp;설정!$C$7))</f>
        <v/>
      </c>
      <c r="K39" s="44">
        <f>IF($A39="","",J39-I39)</f>
        <v/>
      </c>
      <c r="L39" s="45">
        <f>IF($A39="","",IF(I39=0,0,J39/I39))</f>
        <v/>
      </c>
      <c r="M39" s="28">
        <f>IF($A39="","",SUMIFS(예산_원본!$V$5:$V$3004,예산_원본!$T$5:$T$3004,$E39,예산_원본!$B$5:$B$3004,설정!$C$8,예산_원본!$U$5:$U$3004,설정!$C$6))</f>
        <v/>
      </c>
      <c r="N39" s="44">
        <f>IF($A39="","",M39-J39)</f>
        <v/>
      </c>
      <c r="O39" s="45">
        <f>IF($A39="","",IF(M39=0,0,J39/M39))</f>
        <v/>
      </c>
      <c r="P39" s="28">
        <f>IF($A39="","",SUMIFS(실적_원본!$N$5:$N$100000,실적_원본!$O$5:$O$100000,$E39,실적_원본!$L$5:$L$100000,설정!$C$6-1,실적_원본!$M$5:$M$100000,"&lt;="&amp;설정!$C$7))</f>
        <v/>
      </c>
      <c r="Q39" s="44">
        <f>IF($A39="","",J39-P39)</f>
        <v/>
      </c>
      <c r="R39" s="45">
        <f>IF($A39="","",IF(P39=0,0,J39/P39-1))</f>
        <v/>
      </c>
      <c r="S39" s="40">
        <f>IF($A39="","",IF(AND(I39=0,J39&lt;&gt;0),"무예산집행",IF(ABS(K39)&lt;설정!$C$13,"정상",IF(L39&gt;1+설정!$C$12,"초과",IF(L39&lt;1-설정!$C$12,"과소","정상")))))</f>
        <v/>
      </c>
      <c r="T39" s="20">
        <f>IF($A39="","",IFERROR(INDEX(코멘트!$E$5:$E$2004,MATCH(설정!$C$6&amp;"|"&amp;설정!$C$7&amp;"|"&amp;$E39,코멘트!$H$5:$H$2004,0)),""))</f>
        <v/>
      </c>
      <c r="U39" s="55">
        <f>IF($A39="","",IF(S39="정상",-1,ABS(K39)+ROW()/1000000))</f>
        <v/>
      </c>
      <c r="V39" s="55">
        <f>IF($A39="",0,K39+ROW()/1000000)</f>
        <v/>
      </c>
    </row>
    <row r="40">
      <c r="A40" s="12" t="inlineStr">
        <is>
          <t>D600</t>
        </is>
      </c>
      <c r="B40" s="20">
        <f>IF($A40="","",IFERROR(INDEX(부서매핑!$D$5:$D$504,MATCH($A40,부서매핑!$C$5:$C$504,0)),"부서매핑 없음"))</f>
        <v/>
      </c>
      <c r="C40" s="12" t="inlineStr">
        <is>
          <t>B03</t>
        </is>
      </c>
      <c r="D40" s="20">
        <f>IF($A40="","",IFERROR(INDEX(계정매핑!$D$5:$D$504,MATCH($C40,계정매핑!$C$5:$C$504,0)),"항목매핑 없음"))</f>
        <v/>
      </c>
      <c r="E40" s="19">
        <f>IF($A40="","",$A40&amp;"|"&amp;$C40)</f>
        <v/>
      </c>
      <c r="F40" s="28">
        <f>IF($A40="","",SUMIFS(예산_원본!$W$5:$W$3004,예산_원본!$T$5:$T$3004,$E40,예산_원본!$B$5:$B$3004,설정!$C$8,예산_원본!$U$5:$U$3004,설정!$C$6))</f>
        <v/>
      </c>
      <c r="G40" s="28">
        <f>IF($A40="","",SUMIFS(실적_원본!$N$5:$N$100000,실적_원본!$O$5:$O$100000,$E40,실적_원본!$L$5:$L$100000,설정!$C$6,실적_원본!$M$5:$M$100000,설정!$C$7))</f>
        <v/>
      </c>
      <c r="H40" s="44">
        <f>IF($A40="","",G40-F40)</f>
        <v/>
      </c>
      <c r="I40" s="28">
        <f>IF($A40="","",SUMIFS(예산_원본!$X$5:$X$3004,예산_원본!$T$5:$T$3004,$E40,예산_원본!$B$5:$B$3004,설정!$C$8,예산_원본!$U$5:$U$3004,설정!$C$6))</f>
        <v/>
      </c>
      <c r="J40" s="28">
        <f>IF($A40="","",SUMIFS(실적_원본!$N$5:$N$100000,실적_원본!$O$5:$O$100000,$E40,실적_원본!$L$5:$L$100000,설정!$C$6,실적_원본!$M$5:$M$100000,"&lt;="&amp;설정!$C$7))</f>
        <v/>
      </c>
      <c r="K40" s="44">
        <f>IF($A40="","",J40-I40)</f>
        <v/>
      </c>
      <c r="L40" s="45">
        <f>IF($A40="","",IF(I40=0,0,J40/I40))</f>
        <v/>
      </c>
      <c r="M40" s="28">
        <f>IF($A40="","",SUMIFS(예산_원본!$V$5:$V$3004,예산_원본!$T$5:$T$3004,$E40,예산_원본!$B$5:$B$3004,설정!$C$8,예산_원본!$U$5:$U$3004,설정!$C$6))</f>
        <v/>
      </c>
      <c r="N40" s="44">
        <f>IF($A40="","",M40-J40)</f>
        <v/>
      </c>
      <c r="O40" s="45">
        <f>IF($A40="","",IF(M40=0,0,J40/M40))</f>
        <v/>
      </c>
      <c r="P40" s="28">
        <f>IF($A40="","",SUMIFS(실적_원본!$N$5:$N$100000,실적_원본!$O$5:$O$100000,$E40,실적_원본!$L$5:$L$100000,설정!$C$6-1,실적_원본!$M$5:$M$100000,"&lt;="&amp;설정!$C$7))</f>
        <v/>
      </c>
      <c r="Q40" s="44">
        <f>IF($A40="","",J40-P40)</f>
        <v/>
      </c>
      <c r="R40" s="45">
        <f>IF($A40="","",IF(P40=0,0,J40/P40-1))</f>
        <v/>
      </c>
      <c r="S40" s="40">
        <f>IF($A40="","",IF(AND(I40=0,J40&lt;&gt;0),"무예산집행",IF(ABS(K40)&lt;설정!$C$13,"정상",IF(L40&gt;1+설정!$C$12,"초과",IF(L40&lt;1-설정!$C$12,"과소","정상")))))</f>
        <v/>
      </c>
      <c r="T40" s="20">
        <f>IF($A40="","",IFERROR(INDEX(코멘트!$E$5:$E$2004,MATCH(설정!$C$6&amp;"|"&amp;설정!$C$7&amp;"|"&amp;$E40,코멘트!$H$5:$H$2004,0)),""))</f>
        <v/>
      </c>
      <c r="U40" s="55">
        <f>IF($A40="","",IF(S40="정상",-1,ABS(K40)+ROW()/1000000))</f>
        <v/>
      </c>
      <c r="V40" s="55">
        <f>IF($A40="",0,K40+ROW()/1000000)</f>
        <v/>
      </c>
    </row>
    <row r="41">
      <c r="A41" s="12" t="inlineStr">
        <is>
          <t>D600</t>
        </is>
      </c>
      <c r="B41" s="20">
        <f>IF($A41="","",IFERROR(INDEX(부서매핑!$D$5:$D$504,MATCH($A41,부서매핑!$C$5:$C$504,0)),"부서매핑 없음"))</f>
        <v/>
      </c>
      <c r="C41" s="12" t="inlineStr">
        <is>
          <t>B05</t>
        </is>
      </c>
      <c r="D41" s="20">
        <f>IF($A41="","",IFERROR(INDEX(계정매핑!$D$5:$D$504,MATCH($C41,계정매핑!$C$5:$C$504,0)),"항목매핑 없음"))</f>
        <v/>
      </c>
      <c r="E41" s="19">
        <f>IF($A41="","",$A41&amp;"|"&amp;$C41)</f>
        <v/>
      </c>
      <c r="F41" s="28">
        <f>IF($A41="","",SUMIFS(예산_원본!$W$5:$W$3004,예산_원본!$T$5:$T$3004,$E41,예산_원본!$B$5:$B$3004,설정!$C$8,예산_원본!$U$5:$U$3004,설정!$C$6))</f>
        <v/>
      </c>
      <c r="G41" s="28">
        <f>IF($A41="","",SUMIFS(실적_원본!$N$5:$N$100000,실적_원본!$O$5:$O$100000,$E41,실적_원본!$L$5:$L$100000,설정!$C$6,실적_원본!$M$5:$M$100000,설정!$C$7))</f>
        <v/>
      </c>
      <c r="H41" s="44">
        <f>IF($A41="","",G41-F41)</f>
        <v/>
      </c>
      <c r="I41" s="28">
        <f>IF($A41="","",SUMIFS(예산_원본!$X$5:$X$3004,예산_원본!$T$5:$T$3004,$E41,예산_원본!$B$5:$B$3004,설정!$C$8,예산_원본!$U$5:$U$3004,설정!$C$6))</f>
        <v/>
      </c>
      <c r="J41" s="28">
        <f>IF($A41="","",SUMIFS(실적_원본!$N$5:$N$100000,실적_원본!$O$5:$O$100000,$E41,실적_원본!$L$5:$L$100000,설정!$C$6,실적_원본!$M$5:$M$100000,"&lt;="&amp;설정!$C$7))</f>
        <v/>
      </c>
      <c r="K41" s="44">
        <f>IF($A41="","",J41-I41)</f>
        <v/>
      </c>
      <c r="L41" s="45">
        <f>IF($A41="","",IF(I41=0,0,J41/I41))</f>
        <v/>
      </c>
      <c r="M41" s="28">
        <f>IF($A41="","",SUMIFS(예산_원본!$V$5:$V$3004,예산_원본!$T$5:$T$3004,$E41,예산_원본!$B$5:$B$3004,설정!$C$8,예산_원본!$U$5:$U$3004,설정!$C$6))</f>
        <v/>
      </c>
      <c r="N41" s="44">
        <f>IF($A41="","",M41-J41)</f>
        <v/>
      </c>
      <c r="O41" s="45">
        <f>IF($A41="","",IF(M41=0,0,J41/M41))</f>
        <v/>
      </c>
      <c r="P41" s="28">
        <f>IF($A41="","",SUMIFS(실적_원본!$N$5:$N$100000,실적_원본!$O$5:$O$100000,$E41,실적_원본!$L$5:$L$100000,설정!$C$6-1,실적_원본!$M$5:$M$100000,"&lt;="&amp;설정!$C$7))</f>
        <v/>
      </c>
      <c r="Q41" s="44">
        <f>IF($A41="","",J41-P41)</f>
        <v/>
      </c>
      <c r="R41" s="45">
        <f>IF($A41="","",IF(P41=0,0,J41/P41-1))</f>
        <v/>
      </c>
      <c r="S41" s="40">
        <f>IF($A41="","",IF(AND(I41=0,J41&lt;&gt;0),"무예산집행",IF(ABS(K41)&lt;설정!$C$13,"정상",IF(L41&gt;1+설정!$C$12,"초과",IF(L41&lt;1-설정!$C$12,"과소","정상")))))</f>
        <v/>
      </c>
      <c r="T41" s="20">
        <f>IF($A41="","",IFERROR(INDEX(코멘트!$E$5:$E$2004,MATCH(설정!$C$6&amp;"|"&amp;설정!$C$7&amp;"|"&amp;$E41,코멘트!$H$5:$H$2004,0)),""))</f>
        <v/>
      </c>
      <c r="U41" s="55">
        <f>IF($A41="","",IF(S41="정상",-1,ABS(K41)+ROW()/1000000))</f>
        <v/>
      </c>
      <c r="V41" s="55">
        <f>IF($A41="",0,K41+ROW()/1000000)</f>
        <v/>
      </c>
    </row>
    <row r="42">
      <c r="A42" s="12" t="inlineStr">
        <is>
          <t>D600</t>
        </is>
      </c>
      <c r="B42" s="20">
        <f>IF($A42="","",IFERROR(INDEX(부서매핑!$D$5:$D$504,MATCH($A42,부서매핑!$C$5:$C$504,0)),"부서매핑 없음"))</f>
        <v/>
      </c>
      <c r="C42" s="12" t="inlineStr">
        <is>
          <t>B06</t>
        </is>
      </c>
      <c r="D42" s="20">
        <f>IF($A42="","",IFERROR(INDEX(계정매핑!$D$5:$D$504,MATCH($C42,계정매핑!$C$5:$C$504,0)),"항목매핑 없음"))</f>
        <v/>
      </c>
      <c r="E42" s="19">
        <f>IF($A42="","",$A42&amp;"|"&amp;$C42)</f>
        <v/>
      </c>
      <c r="F42" s="28">
        <f>IF($A42="","",SUMIFS(예산_원본!$W$5:$W$3004,예산_원본!$T$5:$T$3004,$E42,예산_원본!$B$5:$B$3004,설정!$C$8,예산_원본!$U$5:$U$3004,설정!$C$6))</f>
        <v/>
      </c>
      <c r="G42" s="28">
        <f>IF($A42="","",SUMIFS(실적_원본!$N$5:$N$100000,실적_원본!$O$5:$O$100000,$E42,실적_원본!$L$5:$L$100000,설정!$C$6,실적_원본!$M$5:$M$100000,설정!$C$7))</f>
        <v/>
      </c>
      <c r="H42" s="44">
        <f>IF($A42="","",G42-F42)</f>
        <v/>
      </c>
      <c r="I42" s="28">
        <f>IF($A42="","",SUMIFS(예산_원본!$X$5:$X$3004,예산_원본!$T$5:$T$3004,$E42,예산_원본!$B$5:$B$3004,설정!$C$8,예산_원본!$U$5:$U$3004,설정!$C$6))</f>
        <v/>
      </c>
      <c r="J42" s="28">
        <f>IF($A42="","",SUMIFS(실적_원본!$N$5:$N$100000,실적_원본!$O$5:$O$100000,$E42,실적_원본!$L$5:$L$100000,설정!$C$6,실적_원본!$M$5:$M$100000,"&lt;="&amp;설정!$C$7))</f>
        <v/>
      </c>
      <c r="K42" s="44">
        <f>IF($A42="","",J42-I42)</f>
        <v/>
      </c>
      <c r="L42" s="45">
        <f>IF($A42="","",IF(I42=0,0,J42/I42))</f>
        <v/>
      </c>
      <c r="M42" s="28">
        <f>IF($A42="","",SUMIFS(예산_원본!$V$5:$V$3004,예산_원본!$T$5:$T$3004,$E42,예산_원본!$B$5:$B$3004,설정!$C$8,예산_원본!$U$5:$U$3004,설정!$C$6))</f>
        <v/>
      </c>
      <c r="N42" s="44">
        <f>IF($A42="","",M42-J42)</f>
        <v/>
      </c>
      <c r="O42" s="45">
        <f>IF($A42="","",IF(M42=0,0,J42/M42))</f>
        <v/>
      </c>
      <c r="P42" s="28">
        <f>IF($A42="","",SUMIFS(실적_원본!$N$5:$N$100000,실적_원본!$O$5:$O$100000,$E42,실적_원본!$L$5:$L$100000,설정!$C$6-1,실적_원본!$M$5:$M$100000,"&lt;="&amp;설정!$C$7))</f>
        <v/>
      </c>
      <c r="Q42" s="44">
        <f>IF($A42="","",J42-P42)</f>
        <v/>
      </c>
      <c r="R42" s="45">
        <f>IF($A42="","",IF(P42=0,0,J42/P42-1))</f>
        <v/>
      </c>
      <c r="S42" s="40">
        <f>IF($A42="","",IF(AND(I42=0,J42&lt;&gt;0),"무예산집행",IF(ABS(K42)&lt;설정!$C$13,"정상",IF(L42&gt;1+설정!$C$12,"초과",IF(L42&lt;1-설정!$C$12,"과소","정상")))))</f>
        <v/>
      </c>
      <c r="T42" s="20">
        <f>IF($A42="","",IFERROR(INDEX(코멘트!$E$5:$E$2004,MATCH(설정!$C$6&amp;"|"&amp;설정!$C$7&amp;"|"&amp;$E42,코멘트!$H$5:$H$2004,0)),""))</f>
        <v/>
      </c>
      <c r="U42" s="55">
        <f>IF($A42="","",IF(S42="정상",-1,ABS(K42)+ROW()/1000000))</f>
        <v/>
      </c>
      <c r="V42" s="55">
        <f>IF($A42="",0,K42+ROW()/1000000)</f>
        <v/>
      </c>
    </row>
    <row r="43">
      <c r="A43" s="12" t="inlineStr">
        <is>
          <t>D600</t>
        </is>
      </c>
      <c r="B43" s="20">
        <f>IF($A43="","",IFERROR(INDEX(부서매핑!$D$5:$D$504,MATCH($A43,부서매핑!$C$5:$C$504,0)),"부서매핑 없음"))</f>
        <v/>
      </c>
      <c r="C43" s="12" t="inlineStr">
        <is>
          <t>B11</t>
        </is>
      </c>
      <c r="D43" s="20">
        <f>IF($A43="","",IFERROR(INDEX(계정매핑!$D$5:$D$504,MATCH($C43,계정매핑!$C$5:$C$504,0)),"항목매핑 없음"))</f>
        <v/>
      </c>
      <c r="E43" s="19">
        <f>IF($A43="","",$A43&amp;"|"&amp;$C43)</f>
        <v/>
      </c>
      <c r="F43" s="28">
        <f>IF($A43="","",SUMIFS(예산_원본!$W$5:$W$3004,예산_원본!$T$5:$T$3004,$E43,예산_원본!$B$5:$B$3004,설정!$C$8,예산_원본!$U$5:$U$3004,설정!$C$6))</f>
        <v/>
      </c>
      <c r="G43" s="28">
        <f>IF($A43="","",SUMIFS(실적_원본!$N$5:$N$100000,실적_원본!$O$5:$O$100000,$E43,실적_원본!$L$5:$L$100000,설정!$C$6,실적_원본!$M$5:$M$100000,설정!$C$7))</f>
        <v/>
      </c>
      <c r="H43" s="44">
        <f>IF($A43="","",G43-F43)</f>
        <v/>
      </c>
      <c r="I43" s="28">
        <f>IF($A43="","",SUMIFS(예산_원본!$X$5:$X$3004,예산_원본!$T$5:$T$3004,$E43,예산_원본!$B$5:$B$3004,설정!$C$8,예산_원본!$U$5:$U$3004,설정!$C$6))</f>
        <v/>
      </c>
      <c r="J43" s="28">
        <f>IF($A43="","",SUMIFS(실적_원본!$N$5:$N$100000,실적_원본!$O$5:$O$100000,$E43,실적_원본!$L$5:$L$100000,설정!$C$6,실적_원본!$M$5:$M$100000,"&lt;="&amp;설정!$C$7))</f>
        <v/>
      </c>
      <c r="K43" s="44">
        <f>IF($A43="","",J43-I43)</f>
        <v/>
      </c>
      <c r="L43" s="45">
        <f>IF($A43="","",IF(I43=0,0,J43/I43))</f>
        <v/>
      </c>
      <c r="M43" s="28">
        <f>IF($A43="","",SUMIFS(예산_원본!$V$5:$V$3004,예산_원본!$T$5:$T$3004,$E43,예산_원본!$B$5:$B$3004,설정!$C$8,예산_원본!$U$5:$U$3004,설정!$C$6))</f>
        <v/>
      </c>
      <c r="N43" s="44">
        <f>IF($A43="","",M43-J43)</f>
        <v/>
      </c>
      <c r="O43" s="45">
        <f>IF($A43="","",IF(M43=0,0,J43/M43))</f>
        <v/>
      </c>
      <c r="P43" s="28">
        <f>IF($A43="","",SUMIFS(실적_원본!$N$5:$N$100000,실적_원본!$O$5:$O$100000,$E43,실적_원본!$L$5:$L$100000,설정!$C$6-1,실적_원본!$M$5:$M$100000,"&lt;="&amp;설정!$C$7))</f>
        <v/>
      </c>
      <c r="Q43" s="44">
        <f>IF($A43="","",J43-P43)</f>
        <v/>
      </c>
      <c r="R43" s="45">
        <f>IF($A43="","",IF(P43=0,0,J43/P43-1))</f>
        <v/>
      </c>
      <c r="S43" s="40">
        <f>IF($A43="","",IF(AND(I43=0,J43&lt;&gt;0),"무예산집행",IF(ABS(K43)&lt;설정!$C$13,"정상",IF(L43&gt;1+설정!$C$12,"초과",IF(L43&lt;1-설정!$C$12,"과소","정상")))))</f>
        <v/>
      </c>
      <c r="T43" s="20">
        <f>IF($A43="","",IFERROR(INDEX(코멘트!$E$5:$E$2004,MATCH(설정!$C$6&amp;"|"&amp;설정!$C$7&amp;"|"&amp;$E43,코멘트!$H$5:$H$2004,0)),""))</f>
        <v/>
      </c>
      <c r="U43" s="55">
        <f>IF($A43="","",IF(S43="정상",-1,ABS(K43)+ROW()/1000000))</f>
        <v/>
      </c>
      <c r="V43" s="55">
        <f>IF($A43="",0,K43+ROW()/1000000)</f>
        <v/>
      </c>
    </row>
    <row r="44">
      <c r="A44" s="12" t="inlineStr">
        <is>
          <t>D600</t>
        </is>
      </c>
      <c r="B44" s="20">
        <f>IF($A44="","",IFERROR(INDEX(부서매핑!$D$5:$D$504,MATCH($A44,부서매핑!$C$5:$C$504,0)),"부서매핑 없음"))</f>
        <v/>
      </c>
      <c r="C44" s="12" t="inlineStr">
        <is>
          <t>B12</t>
        </is>
      </c>
      <c r="D44" s="20">
        <f>IF($A44="","",IFERROR(INDEX(계정매핑!$D$5:$D$504,MATCH($C44,계정매핑!$C$5:$C$504,0)),"항목매핑 없음"))</f>
        <v/>
      </c>
      <c r="E44" s="19">
        <f>IF($A44="","",$A44&amp;"|"&amp;$C44)</f>
        <v/>
      </c>
      <c r="F44" s="28">
        <f>IF($A44="","",SUMIFS(예산_원본!$W$5:$W$3004,예산_원본!$T$5:$T$3004,$E44,예산_원본!$B$5:$B$3004,설정!$C$8,예산_원본!$U$5:$U$3004,설정!$C$6))</f>
        <v/>
      </c>
      <c r="G44" s="28">
        <f>IF($A44="","",SUMIFS(실적_원본!$N$5:$N$100000,실적_원본!$O$5:$O$100000,$E44,실적_원본!$L$5:$L$100000,설정!$C$6,실적_원본!$M$5:$M$100000,설정!$C$7))</f>
        <v/>
      </c>
      <c r="H44" s="44">
        <f>IF($A44="","",G44-F44)</f>
        <v/>
      </c>
      <c r="I44" s="28">
        <f>IF($A44="","",SUMIFS(예산_원본!$X$5:$X$3004,예산_원본!$T$5:$T$3004,$E44,예산_원본!$B$5:$B$3004,설정!$C$8,예산_원본!$U$5:$U$3004,설정!$C$6))</f>
        <v/>
      </c>
      <c r="J44" s="28">
        <f>IF($A44="","",SUMIFS(실적_원본!$N$5:$N$100000,실적_원본!$O$5:$O$100000,$E44,실적_원본!$L$5:$L$100000,설정!$C$6,실적_원본!$M$5:$M$100000,"&lt;="&amp;설정!$C$7))</f>
        <v/>
      </c>
      <c r="K44" s="44">
        <f>IF($A44="","",J44-I44)</f>
        <v/>
      </c>
      <c r="L44" s="45">
        <f>IF($A44="","",IF(I44=0,0,J44/I44))</f>
        <v/>
      </c>
      <c r="M44" s="28">
        <f>IF($A44="","",SUMIFS(예산_원본!$V$5:$V$3004,예산_원본!$T$5:$T$3004,$E44,예산_원본!$B$5:$B$3004,설정!$C$8,예산_원본!$U$5:$U$3004,설정!$C$6))</f>
        <v/>
      </c>
      <c r="N44" s="44">
        <f>IF($A44="","",M44-J44)</f>
        <v/>
      </c>
      <c r="O44" s="45">
        <f>IF($A44="","",IF(M44=0,0,J44/M44))</f>
        <v/>
      </c>
      <c r="P44" s="28">
        <f>IF($A44="","",SUMIFS(실적_원본!$N$5:$N$100000,실적_원본!$O$5:$O$100000,$E44,실적_원본!$L$5:$L$100000,설정!$C$6-1,실적_원본!$M$5:$M$100000,"&lt;="&amp;설정!$C$7))</f>
        <v/>
      </c>
      <c r="Q44" s="44">
        <f>IF($A44="","",J44-P44)</f>
        <v/>
      </c>
      <c r="R44" s="45">
        <f>IF($A44="","",IF(P44=0,0,J44/P44-1))</f>
        <v/>
      </c>
      <c r="S44" s="40">
        <f>IF($A44="","",IF(AND(I44=0,J44&lt;&gt;0),"무예산집행",IF(ABS(K44)&lt;설정!$C$13,"정상",IF(L44&gt;1+설정!$C$12,"초과",IF(L44&lt;1-설정!$C$12,"과소","정상")))))</f>
        <v/>
      </c>
      <c r="T44" s="20">
        <f>IF($A44="","",IFERROR(INDEX(코멘트!$E$5:$E$2004,MATCH(설정!$C$6&amp;"|"&amp;설정!$C$7&amp;"|"&amp;$E44,코멘트!$H$5:$H$2004,0)),""))</f>
        <v/>
      </c>
      <c r="U44" s="55">
        <f>IF($A44="","",IF(S44="정상",-1,ABS(K44)+ROW()/1000000))</f>
        <v/>
      </c>
      <c r="V44" s="55">
        <f>IF($A44="",0,K44+ROW()/1000000)</f>
        <v/>
      </c>
    </row>
    <row r="45">
      <c r="A45" s="12" t="inlineStr">
        <is>
          <t>D700</t>
        </is>
      </c>
      <c r="B45" s="20">
        <f>IF($A45="","",IFERROR(INDEX(부서매핑!$D$5:$D$504,MATCH($A45,부서매핑!$C$5:$C$504,0)),"부서매핑 없음"))</f>
        <v/>
      </c>
      <c r="C45" s="12" t="inlineStr">
        <is>
          <t>B01</t>
        </is>
      </c>
      <c r="D45" s="20">
        <f>IF($A45="","",IFERROR(INDEX(계정매핑!$D$5:$D$504,MATCH($C45,계정매핑!$C$5:$C$504,0)),"항목매핑 없음"))</f>
        <v/>
      </c>
      <c r="E45" s="19">
        <f>IF($A45="","",$A45&amp;"|"&amp;$C45)</f>
        <v/>
      </c>
      <c r="F45" s="28">
        <f>IF($A45="","",SUMIFS(예산_원본!$W$5:$W$3004,예산_원본!$T$5:$T$3004,$E45,예산_원본!$B$5:$B$3004,설정!$C$8,예산_원본!$U$5:$U$3004,설정!$C$6))</f>
        <v/>
      </c>
      <c r="G45" s="28">
        <f>IF($A45="","",SUMIFS(실적_원본!$N$5:$N$100000,실적_원본!$O$5:$O$100000,$E45,실적_원본!$L$5:$L$100000,설정!$C$6,실적_원본!$M$5:$M$100000,설정!$C$7))</f>
        <v/>
      </c>
      <c r="H45" s="44">
        <f>IF($A45="","",G45-F45)</f>
        <v/>
      </c>
      <c r="I45" s="28">
        <f>IF($A45="","",SUMIFS(예산_원본!$X$5:$X$3004,예산_원본!$T$5:$T$3004,$E45,예산_원본!$B$5:$B$3004,설정!$C$8,예산_원본!$U$5:$U$3004,설정!$C$6))</f>
        <v/>
      </c>
      <c r="J45" s="28">
        <f>IF($A45="","",SUMIFS(실적_원본!$N$5:$N$100000,실적_원본!$O$5:$O$100000,$E45,실적_원본!$L$5:$L$100000,설정!$C$6,실적_원본!$M$5:$M$100000,"&lt;="&amp;설정!$C$7))</f>
        <v/>
      </c>
      <c r="K45" s="44">
        <f>IF($A45="","",J45-I45)</f>
        <v/>
      </c>
      <c r="L45" s="45">
        <f>IF($A45="","",IF(I45=0,0,J45/I45))</f>
        <v/>
      </c>
      <c r="M45" s="28">
        <f>IF($A45="","",SUMIFS(예산_원본!$V$5:$V$3004,예산_원본!$T$5:$T$3004,$E45,예산_원본!$B$5:$B$3004,설정!$C$8,예산_원본!$U$5:$U$3004,설정!$C$6))</f>
        <v/>
      </c>
      <c r="N45" s="44">
        <f>IF($A45="","",M45-J45)</f>
        <v/>
      </c>
      <c r="O45" s="45">
        <f>IF($A45="","",IF(M45=0,0,J45/M45))</f>
        <v/>
      </c>
      <c r="P45" s="28">
        <f>IF($A45="","",SUMIFS(실적_원본!$N$5:$N$100000,실적_원본!$O$5:$O$100000,$E45,실적_원본!$L$5:$L$100000,설정!$C$6-1,실적_원본!$M$5:$M$100000,"&lt;="&amp;설정!$C$7))</f>
        <v/>
      </c>
      <c r="Q45" s="44">
        <f>IF($A45="","",J45-P45)</f>
        <v/>
      </c>
      <c r="R45" s="45">
        <f>IF($A45="","",IF(P45=0,0,J45/P45-1))</f>
        <v/>
      </c>
      <c r="S45" s="40">
        <f>IF($A45="","",IF(AND(I45=0,J45&lt;&gt;0),"무예산집행",IF(ABS(K45)&lt;설정!$C$13,"정상",IF(L45&gt;1+설정!$C$12,"초과",IF(L45&lt;1-설정!$C$12,"과소","정상")))))</f>
        <v/>
      </c>
      <c r="T45" s="20">
        <f>IF($A45="","",IFERROR(INDEX(코멘트!$E$5:$E$2004,MATCH(설정!$C$6&amp;"|"&amp;설정!$C$7&amp;"|"&amp;$E45,코멘트!$H$5:$H$2004,0)),""))</f>
        <v/>
      </c>
      <c r="U45" s="55">
        <f>IF($A45="","",IF(S45="정상",-1,ABS(K45)+ROW()/1000000))</f>
        <v/>
      </c>
      <c r="V45" s="55">
        <f>IF($A45="",0,K45+ROW()/1000000)</f>
        <v/>
      </c>
    </row>
    <row r="46">
      <c r="A46" s="12" t="inlineStr">
        <is>
          <t>D700</t>
        </is>
      </c>
      <c r="B46" s="20">
        <f>IF($A46="","",IFERROR(INDEX(부서매핑!$D$5:$D$504,MATCH($A46,부서매핑!$C$5:$C$504,0)),"부서매핑 없음"))</f>
        <v/>
      </c>
      <c r="C46" s="12" t="inlineStr">
        <is>
          <t>B02</t>
        </is>
      </c>
      <c r="D46" s="20">
        <f>IF($A46="","",IFERROR(INDEX(계정매핑!$D$5:$D$504,MATCH($C46,계정매핑!$C$5:$C$504,0)),"항목매핑 없음"))</f>
        <v/>
      </c>
      <c r="E46" s="19">
        <f>IF($A46="","",$A46&amp;"|"&amp;$C46)</f>
        <v/>
      </c>
      <c r="F46" s="28">
        <f>IF($A46="","",SUMIFS(예산_원본!$W$5:$W$3004,예산_원본!$T$5:$T$3004,$E46,예산_원본!$B$5:$B$3004,설정!$C$8,예산_원본!$U$5:$U$3004,설정!$C$6))</f>
        <v/>
      </c>
      <c r="G46" s="28">
        <f>IF($A46="","",SUMIFS(실적_원본!$N$5:$N$100000,실적_원본!$O$5:$O$100000,$E46,실적_원본!$L$5:$L$100000,설정!$C$6,실적_원본!$M$5:$M$100000,설정!$C$7))</f>
        <v/>
      </c>
      <c r="H46" s="44">
        <f>IF($A46="","",G46-F46)</f>
        <v/>
      </c>
      <c r="I46" s="28">
        <f>IF($A46="","",SUMIFS(예산_원본!$X$5:$X$3004,예산_원본!$T$5:$T$3004,$E46,예산_원본!$B$5:$B$3004,설정!$C$8,예산_원본!$U$5:$U$3004,설정!$C$6))</f>
        <v/>
      </c>
      <c r="J46" s="28">
        <f>IF($A46="","",SUMIFS(실적_원본!$N$5:$N$100000,실적_원본!$O$5:$O$100000,$E46,실적_원본!$L$5:$L$100000,설정!$C$6,실적_원본!$M$5:$M$100000,"&lt;="&amp;설정!$C$7))</f>
        <v/>
      </c>
      <c r="K46" s="44">
        <f>IF($A46="","",J46-I46)</f>
        <v/>
      </c>
      <c r="L46" s="45">
        <f>IF($A46="","",IF(I46=0,0,J46/I46))</f>
        <v/>
      </c>
      <c r="M46" s="28">
        <f>IF($A46="","",SUMIFS(예산_원본!$V$5:$V$3004,예산_원본!$T$5:$T$3004,$E46,예산_원본!$B$5:$B$3004,설정!$C$8,예산_원본!$U$5:$U$3004,설정!$C$6))</f>
        <v/>
      </c>
      <c r="N46" s="44">
        <f>IF($A46="","",M46-J46)</f>
        <v/>
      </c>
      <c r="O46" s="45">
        <f>IF($A46="","",IF(M46=0,0,J46/M46))</f>
        <v/>
      </c>
      <c r="P46" s="28">
        <f>IF($A46="","",SUMIFS(실적_원본!$N$5:$N$100000,실적_원본!$O$5:$O$100000,$E46,실적_원본!$L$5:$L$100000,설정!$C$6-1,실적_원본!$M$5:$M$100000,"&lt;="&amp;설정!$C$7))</f>
        <v/>
      </c>
      <c r="Q46" s="44">
        <f>IF($A46="","",J46-P46)</f>
        <v/>
      </c>
      <c r="R46" s="45">
        <f>IF($A46="","",IF(P46=0,0,J46/P46-1))</f>
        <v/>
      </c>
      <c r="S46" s="40">
        <f>IF($A46="","",IF(AND(I46=0,J46&lt;&gt;0),"무예산집행",IF(ABS(K46)&lt;설정!$C$13,"정상",IF(L46&gt;1+설정!$C$12,"초과",IF(L46&lt;1-설정!$C$12,"과소","정상")))))</f>
        <v/>
      </c>
      <c r="T46" s="20">
        <f>IF($A46="","",IFERROR(INDEX(코멘트!$E$5:$E$2004,MATCH(설정!$C$6&amp;"|"&amp;설정!$C$7&amp;"|"&amp;$E46,코멘트!$H$5:$H$2004,0)),""))</f>
        <v/>
      </c>
      <c r="U46" s="55">
        <f>IF($A46="","",IF(S46="정상",-1,ABS(K46)+ROW()/1000000))</f>
        <v/>
      </c>
      <c r="V46" s="55">
        <f>IF($A46="",0,K46+ROW()/1000000)</f>
        <v/>
      </c>
    </row>
    <row r="47">
      <c r="A47" s="12" t="inlineStr">
        <is>
          <t>D700</t>
        </is>
      </c>
      <c r="B47" s="20">
        <f>IF($A47="","",IFERROR(INDEX(부서매핑!$D$5:$D$504,MATCH($A47,부서매핑!$C$5:$C$504,0)),"부서매핑 없음"))</f>
        <v/>
      </c>
      <c r="C47" s="12" t="inlineStr">
        <is>
          <t>B03</t>
        </is>
      </c>
      <c r="D47" s="20">
        <f>IF($A47="","",IFERROR(INDEX(계정매핑!$D$5:$D$504,MATCH($C47,계정매핑!$C$5:$C$504,0)),"항목매핑 없음"))</f>
        <v/>
      </c>
      <c r="E47" s="19">
        <f>IF($A47="","",$A47&amp;"|"&amp;$C47)</f>
        <v/>
      </c>
      <c r="F47" s="28">
        <f>IF($A47="","",SUMIFS(예산_원본!$W$5:$W$3004,예산_원본!$T$5:$T$3004,$E47,예산_원본!$B$5:$B$3004,설정!$C$8,예산_원본!$U$5:$U$3004,설정!$C$6))</f>
        <v/>
      </c>
      <c r="G47" s="28">
        <f>IF($A47="","",SUMIFS(실적_원본!$N$5:$N$100000,실적_원본!$O$5:$O$100000,$E47,실적_원본!$L$5:$L$100000,설정!$C$6,실적_원본!$M$5:$M$100000,설정!$C$7))</f>
        <v/>
      </c>
      <c r="H47" s="44">
        <f>IF($A47="","",G47-F47)</f>
        <v/>
      </c>
      <c r="I47" s="28">
        <f>IF($A47="","",SUMIFS(예산_원본!$X$5:$X$3004,예산_원본!$T$5:$T$3004,$E47,예산_원본!$B$5:$B$3004,설정!$C$8,예산_원본!$U$5:$U$3004,설정!$C$6))</f>
        <v/>
      </c>
      <c r="J47" s="28">
        <f>IF($A47="","",SUMIFS(실적_원본!$N$5:$N$100000,실적_원본!$O$5:$O$100000,$E47,실적_원본!$L$5:$L$100000,설정!$C$6,실적_원본!$M$5:$M$100000,"&lt;="&amp;설정!$C$7))</f>
        <v/>
      </c>
      <c r="K47" s="44">
        <f>IF($A47="","",J47-I47)</f>
        <v/>
      </c>
      <c r="L47" s="45">
        <f>IF($A47="","",IF(I47=0,0,J47/I47))</f>
        <v/>
      </c>
      <c r="M47" s="28">
        <f>IF($A47="","",SUMIFS(예산_원본!$V$5:$V$3004,예산_원본!$T$5:$T$3004,$E47,예산_원본!$B$5:$B$3004,설정!$C$8,예산_원본!$U$5:$U$3004,설정!$C$6))</f>
        <v/>
      </c>
      <c r="N47" s="44">
        <f>IF($A47="","",M47-J47)</f>
        <v/>
      </c>
      <c r="O47" s="45">
        <f>IF($A47="","",IF(M47=0,0,J47/M47))</f>
        <v/>
      </c>
      <c r="P47" s="28">
        <f>IF($A47="","",SUMIFS(실적_원본!$N$5:$N$100000,실적_원본!$O$5:$O$100000,$E47,실적_원본!$L$5:$L$100000,설정!$C$6-1,실적_원본!$M$5:$M$100000,"&lt;="&amp;설정!$C$7))</f>
        <v/>
      </c>
      <c r="Q47" s="44">
        <f>IF($A47="","",J47-P47)</f>
        <v/>
      </c>
      <c r="R47" s="45">
        <f>IF($A47="","",IF(P47=0,0,J47/P47-1))</f>
        <v/>
      </c>
      <c r="S47" s="40">
        <f>IF($A47="","",IF(AND(I47=0,J47&lt;&gt;0),"무예산집행",IF(ABS(K47)&lt;설정!$C$13,"정상",IF(L47&gt;1+설정!$C$12,"초과",IF(L47&lt;1-설정!$C$12,"과소","정상")))))</f>
        <v/>
      </c>
      <c r="T47" s="20">
        <f>IF($A47="","",IFERROR(INDEX(코멘트!$E$5:$E$2004,MATCH(설정!$C$6&amp;"|"&amp;설정!$C$7&amp;"|"&amp;$E47,코멘트!$H$5:$H$2004,0)),""))</f>
        <v/>
      </c>
      <c r="U47" s="55">
        <f>IF($A47="","",IF(S47="정상",-1,ABS(K47)+ROW()/1000000))</f>
        <v/>
      </c>
      <c r="V47" s="55">
        <f>IF($A47="",0,K47+ROW()/1000000)</f>
        <v/>
      </c>
    </row>
    <row r="48">
      <c r="A48" s="12" t="inlineStr">
        <is>
          <t>D700</t>
        </is>
      </c>
      <c r="B48" s="20">
        <f>IF($A48="","",IFERROR(INDEX(부서매핑!$D$5:$D$504,MATCH($A48,부서매핑!$C$5:$C$504,0)),"부서매핑 없음"))</f>
        <v/>
      </c>
      <c r="C48" s="12" t="inlineStr">
        <is>
          <t>B05</t>
        </is>
      </c>
      <c r="D48" s="20">
        <f>IF($A48="","",IFERROR(INDEX(계정매핑!$D$5:$D$504,MATCH($C48,계정매핑!$C$5:$C$504,0)),"항목매핑 없음"))</f>
        <v/>
      </c>
      <c r="E48" s="19">
        <f>IF($A48="","",$A48&amp;"|"&amp;$C48)</f>
        <v/>
      </c>
      <c r="F48" s="28">
        <f>IF($A48="","",SUMIFS(예산_원본!$W$5:$W$3004,예산_원본!$T$5:$T$3004,$E48,예산_원본!$B$5:$B$3004,설정!$C$8,예산_원본!$U$5:$U$3004,설정!$C$6))</f>
        <v/>
      </c>
      <c r="G48" s="28">
        <f>IF($A48="","",SUMIFS(실적_원본!$N$5:$N$100000,실적_원본!$O$5:$O$100000,$E48,실적_원본!$L$5:$L$100000,설정!$C$6,실적_원본!$M$5:$M$100000,설정!$C$7))</f>
        <v/>
      </c>
      <c r="H48" s="44">
        <f>IF($A48="","",G48-F48)</f>
        <v/>
      </c>
      <c r="I48" s="28">
        <f>IF($A48="","",SUMIFS(예산_원본!$X$5:$X$3004,예산_원본!$T$5:$T$3004,$E48,예산_원본!$B$5:$B$3004,설정!$C$8,예산_원본!$U$5:$U$3004,설정!$C$6))</f>
        <v/>
      </c>
      <c r="J48" s="28">
        <f>IF($A48="","",SUMIFS(실적_원본!$N$5:$N$100000,실적_원본!$O$5:$O$100000,$E48,실적_원본!$L$5:$L$100000,설정!$C$6,실적_원본!$M$5:$M$100000,"&lt;="&amp;설정!$C$7))</f>
        <v/>
      </c>
      <c r="K48" s="44">
        <f>IF($A48="","",J48-I48)</f>
        <v/>
      </c>
      <c r="L48" s="45">
        <f>IF($A48="","",IF(I48=0,0,J48/I48))</f>
        <v/>
      </c>
      <c r="M48" s="28">
        <f>IF($A48="","",SUMIFS(예산_원본!$V$5:$V$3004,예산_원본!$T$5:$T$3004,$E48,예산_원본!$B$5:$B$3004,설정!$C$8,예산_원본!$U$5:$U$3004,설정!$C$6))</f>
        <v/>
      </c>
      <c r="N48" s="44">
        <f>IF($A48="","",M48-J48)</f>
        <v/>
      </c>
      <c r="O48" s="45">
        <f>IF($A48="","",IF(M48=0,0,J48/M48))</f>
        <v/>
      </c>
      <c r="P48" s="28">
        <f>IF($A48="","",SUMIFS(실적_원본!$N$5:$N$100000,실적_원본!$O$5:$O$100000,$E48,실적_원본!$L$5:$L$100000,설정!$C$6-1,실적_원본!$M$5:$M$100000,"&lt;="&amp;설정!$C$7))</f>
        <v/>
      </c>
      <c r="Q48" s="44">
        <f>IF($A48="","",J48-P48)</f>
        <v/>
      </c>
      <c r="R48" s="45">
        <f>IF($A48="","",IF(P48=0,0,J48/P48-1))</f>
        <v/>
      </c>
      <c r="S48" s="40">
        <f>IF($A48="","",IF(AND(I48=0,J48&lt;&gt;0),"무예산집행",IF(ABS(K48)&lt;설정!$C$13,"정상",IF(L48&gt;1+설정!$C$12,"초과",IF(L48&lt;1-설정!$C$12,"과소","정상")))))</f>
        <v/>
      </c>
      <c r="T48" s="20">
        <f>IF($A48="","",IFERROR(INDEX(코멘트!$E$5:$E$2004,MATCH(설정!$C$6&amp;"|"&amp;설정!$C$7&amp;"|"&amp;$E48,코멘트!$H$5:$H$2004,0)),""))</f>
        <v/>
      </c>
      <c r="U48" s="55">
        <f>IF($A48="","",IF(S48="정상",-1,ABS(K48)+ROW()/1000000))</f>
        <v/>
      </c>
      <c r="V48" s="55">
        <f>IF($A48="",0,K48+ROW()/1000000)</f>
        <v/>
      </c>
    </row>
    <row r="49">
      <c r="A49" s="12" t="inlineStr">
        <is>
          <t>D700</t>
        </is>
      </c>
      <c r="B49" s="20">
        <f>IF($A49="","",IFERROR(INDEX(부서매핑!$D$5:$D$504,MATCH($A49,부서매핑!$C$5:$C$504,0)),"부서매핑 없음"))</f>
        <v/>
      </c>
      <c r="C49" s="12" t="inlineStr">
        <is>
          <t>B10</t>
        </is>
      </c>
      <c r="D49" s="20">
        <f>IF($A49="","",IFERROR(INDEX(계정매핑!$D$5:$D$504,MATCH($C49,계정매핑!$C$5:$C$504,0)),"항목매핑 없음"))</f>
        <v/>
      </c>
      <c r="E49" s="19">
        <f>IF($A49="","",$A49&amp;"|"&amp;$C49)</f>
        <v/>
      </c>
      <c r="F49" s="28">
        <f>IF($A49="","",SUMIFS(예산_원본!$W$5:$W$3004,예산_원본!$T$5:$T$3004,$E49,예산_원본!$B$5:$B$3004,설정!$C$8,예산_원본!$U$5:$U$3004,설정!$C$6))</f>
        <v/>
      </c>
      <c r="G49" s="28">
        <f>IF($A49="","",SUMIFS(실적_원본!$N$5:$N$100000,실적_원본!$O$5:$O$100000,$E49,실적_원본!$L$5:$L$100000,설정!$C$6,실적_원본!$M$5:$M$100000,설정!$C$7))</f>
        <v/>
      </c>
      <c r="H49" s="44">
        <f>IF($A49="","",G49-F49)</f>
        <v/>
      </c>
      <c r="I49" s="28">
        <f>IF($A49="","",SUMIFS(예산_원본!$X$5:$X$3004,예산_원본!$T$5:$T$3004,$E49,예산_원본!$B$5:$B$3004,설정!$C$8,예산_원본!$U$5:$U$3004,설정!$C$6))</f>
        <v/>
      </c>
      <c r="J49" s="28">
        <f>IF($A49="","",SUMIFS(실적_원본!$N$5:$N$100000,실적_원본!$O$5:$O$100000,$E49,실적_원본!$L$5:$L$100000,설정!$C$6,실적_원본!$M$5:$M$100000,"&lt;="&amp;설정!$C$7))</f>
        <v/>
      </c>
      <c r="K49" s="44">
        <f>IF($A49="","",J49-I49)</f>
        <v/>
      </c>
      <c r="L49" s="45">
        <f>IF($A49="","",IF(I49=0,0,J49/I49))</f>
        <v/>
      </c>
      <c r="M49" s="28">
        <f>IF($A49="","",SUMIFS(예산_원본!$V$5:$V$3004,예산_원본!$T$5:$T$3004,$E49,예산_원본!$B$5:$B$3004,설정!$C$8,예산_원본!$U$5:$U$3004,설정!$C$6))</f>
        <v/>
      </c>
      <c r="N49" s="44">
        <f>IF($A49="","",M49-J49)</f>
        <v/>
      </c>
      <c r="O49" s="45">
        <f>IF($A49="","",IF(M49=0,0,J49/M49))</f>
        <v/>
      </c>
      <c r="P49" s="28">
        <f>IF($A49="","",SUMIFS(실적_원본!$N$5:$N$100000,실적_원본!$O$5:$O$100000,$E49,실적_원본!$L$5:$L$100000,설정!$C$6-1,실적_원본!$M$5:$M$100000,"&lt;="&amp;설정!$C$7))</f>
        <v/>
      </c>
      <c r="Q49" s="44">
        <f>IF($A49="","",J49-P49)</f>
        <v/>
      </c>
      <c r="R49" s="45">
        <f>IF($A49="","",IF(P49=0,0,J49/P49-1))</f>
        <v/>
      </c>
      <c r="S49" s="40">
        <f>IF($A49="","",IF(AND(I49=0,J49&lt;&gt;0),"무예산집행",IF(ABS(K49)&lt;설정!$C$13,"정상",IF(L49&gt;1+설정!$C$12,"초과",IF(L49&lt;1-설정!$C$12,"과소","정상")))))</f>
        <v/>
      </c>
      <c r="T49" s="20">
        <f>IF($A49="","",IFERROR(INDEX(코멘트!$E$5:$E$2004,MATCH(설정!$C$6&amp;"|"&amp;설정!$C$7&amp;"|"&amp;$E49,코멘트!$H$5:$H$2004,0)),""))</f>
        <v/>
      </c>
      <c r="U49" s="55">
        <f>IF($A49="","",IF(S49="정상",-1,ABS(K49)+ROW()/1000000))</f>
        <v/>
      </c>
      <c r="V49" s="55">
        <f>IF($A49="",0,K49+ROW()/1000000)</f>
        <v/>
      </c>
    </row>
    <row r="50">
      <c r="A50" s="12" t="inlineStr">
        <is>
          <t>D800</t>
        </is>
      </c>
      <c r="B50" s="20">
        <f>IF($A50="","",IFERROR(INDEX(부서매핑!$D$5:$D$504,MATCH($A50,부서매핑!$C$5:$C$504,0)),"부서매핑 없음"))</f>
        <v/>
      </c>
      <c r="C50" s="12" t="inlineStr">
        <is>
          <t>B01</t>
        </is>
      </c>
      <c r="D50" s="20">
        <f>IF($A50="","",IFERROR(INDEX(계정매핑!$D$5:$D$504,MATCH($C50,계정매핑!$C$5:$C$504,0)),"항목매핑 없음"))</f>
        <v/>
      </c>
      <c r="E50" s="19">
        <f>IF($A50="","",$A50&amp;"|"&amp;$C50)</f>
        <v/>
      </c>
      <c r="F50" s="28">
        <f>IF($A50="","",SUMIFS(예산_원본!$W$5:$W$3004,예산_원본!$T$5:$T$3004,$E50,예산_원본!$B$5:$B$3004,설정!$C$8,예산_원본!$U$5:$U$3004,설정!$C$6))</f>
        <v/>
      </c>
      <c r="G50" s="28">
        <f>IF($A50="","",SUMIFS(실적_원본!$N$5:$N$100000,실적_원본!$O$5:$O$100000,$E50,실적_원본!$L$5:$L$100000,설정!$C$6,실적_원본!$M$5:$M$100000,설정!$C$7))</f>
        <v/>
      </c>
      <c r="H50" s="44">
        <f>IF($A50="","",G50-F50)</f>
        <v/>
      </c>
      <c r="I50" s="28">
        <f>IF($A50="","",SUMIFS(예산_원본!$X$5:$X$3004,예산_원본!$T$5:$T$3004,$E50,예산_원본!$B$5:$B$3004,설정!$C$8,예산_원본!$U$5:$U$3004,설정!$C$6))</f>
        <v/>
      </c>
      <c r="J50" s="28">
        <f>IF($A50="","",SUMIFS(실적_원본!$N$5:$N$100000,실적_원본!$O$5:$O$100000,$E50,실적_원본!$L$5:$L$100000,설정!$C$6,실적_원본!$M$5:$M$100000,"&lt;="&amp;설정!$C$7))</f>
        <v/>
      </c>
      <c r="K50" s="44">
        <f>IF($A50="","",J50-I50)</f>
        <v/>
      </c>
      <c r="L50" s="45">
        <f>IF($A50="","",IF(I50=0,0,J50/I50))</f>
        <v/>
      </c>
      <c r="M50" s="28">
        <f>IF($A50="","",SUMIFS(예산_원본!$V$5:$V$3004,예산_원본!$T$5:$T$3004,$E50,예산_원본!$B$5:$B$3004,설정!$C$8,예산_원본!$U$5:$U$3004,설정!$C$6))</f>
        <v/>
      </c>
      <c r="N50" s="44">
        <f>IF($A50="","",M50-J50)</f>
        <v/>
      </c>
      <c r="O50" s="45">
        <f>IF($A50="","",IF(M50=0,0,J50/M50))</f>
        <v/>
      </c>
      <c r="P50" s="28">
        <f>IF($A50="","",SUMIFS(실적_원본!$N$5:$N$100000,실적_원본!$O$5:$O$100000,$E50,실적_원본!$L$5:$L$100000,설정!$C$6-1,실적_원본!$M$5:$M$100000,"&lt;="&amp;설정!$C$7))</f>
        <v/>
      </c>
      <c r="Q50" s="44">
        <f>IF($A50="","",J50-P50)</f>
        <v/>
      </c>
      <c r="R50" s="45">
        <f>IF($A50="","",IF(P50=0,0,J50/P50-1))</f>
        <v/>
      </c>
      <c r="S50" s="40">
        <f>IF($A50="","",IF(AND(I50=0,J50&lt;&gt;0),"무예산집행",IF(ABS(K50)&lt;설정!$C$13,"정상",IF(L50&gt;1+설정!$C$12,"초과",IF(L50&lt;1-설정!$C$12,"과소","정상")))))</f>
        <v/>
      </c>
      <c r="T50" s="20">
        <f>IF($A50="","",IFERROR(INDEX(코멘트!$E$5:$E$2004,MATCH(설정!$C$6&amp;"|"&amp;설정!$C$7&amp;"|"&amp;$E50,코멘트!$H$5:$H$2004,0)),""))</f>
        <v/>
      </c>
      <c r="U50" s="55">
        <f>IF($A50="","",IF(S50="정상",-1,ABS(K50)+ROW()/1000000))</f>
        <v/>
      </c>
      <c r="V50" s="55">
        <f>IF($A50="",0,K50+ROW()/1000000)</f>
        <v/>
      </c>
    </row>
    <row r="51">
      <c r="A51" s="12" t="inlineStr">
        <is>
          <t>D800</t>
        </is>
      </c>
      <c r="B51" s="20">
        <f>IF($A51="","",IFERROR(INDEX(부서매핑!$D$5:$D$504,MATCH($A51,부서매핑!$C$5:$C$504,0)),"부서매핑 없음"))</f>
        <v/>
      </c>
      <c r="C51" s="12" t="inlineStr">
        <is>
          <t>B02</t>
        </is>
      </c>
      <c r="D51" s="20">
        <f>IF($A51="","",IFERROR(INDEX(계정매핑!$D$5:$D$504,MATCH($C51,계정매핑!$C$5:$C$504,0)),"항목매핑 없음"))</f>
        <v/>
      </c>
      <c r="E51" s="19">
        <f>IF($A51="","",$A51&amp;"|"&amp;$C51)</f>
        <v/>
      </c>
      <c r="F51" s="28">
        <f>IF($A51="","",SUMIFS(예산_원본!$W$5:$W$3004,예산_원본!$T$5:$T$3004,$E51,예산_원본!$B$5:$B$3004,설정!$C$8,예산_원본!$U$5:$U$3004,설정!$C$6))</f>
        <v/>
      </c>
      <c r="G51" s="28">
        <f>IF($A51="","",SUMIFS(실적_원본!$N$5:$N$100000,실적_원본!$O$5:$O$100000,$E51,실적_원본!$L$5:$L$100000,설정!$C$6,실적_원본!$M$5:$M$100000,설정!$C$7))</f>
        <v/>
      </c>
      <c r="H51" s="44">
        <f>IF($A51="","",G51-F51)</f>
        <v/>
      </c>
      <c r="I51" s="28">
        <f>IF($A51="","",SUMIFS(예산_원본!$X$5:$X$3004,예산_원본!$T$5:$T$3004,$E51,예산_원본!$B$5:$B$3004,설정!$C$8,예산_원본!$U$5:$U$3004,설정!$C$6))</f>
        <v/>
      </c>
      <c r="J51" s="28">
        <f>IF($A51="","",SUMIFS(실적_원본!$N$5:$N$100000,실적_원본!$O$5:$O$100000,$E51,실적_원본!$L$5:$L$100000,설정!$C$6,실적_원본!$M$5:$M$100000,"&lt;="&amp;설정!$C$7))</f>
        <v/>
      </c>
      <c r="K51" s="44">
        <f>IF($A51="","",J51-I51)</f>
        <v/>
      </c>
      <c r="L51" s="45">
        <f>IF($A51="","",IF(I51=0,0,J51/I51))</f>
        <v/>
      </c>
      <c r="M51" s="28">
        <f>IF($A51="","",SUMIFS(예산_원본!$V$5:$V$3004,예산_원본!$T$5:$T$3004,$E51,예산_원본!$B$5:$B$3004,설정!$C$8,예산_원본!$U$5:$U$3004,설정!$C$6))</f>
        <v/>
      </c>
      <c r="N51" s="44">
        <f>IF($A51="","",M51-J51)</f>
        <v/>
      </c>
      <c r="O51" s="45">
        <f>IF($A51="","",IF(M51=0,0,J51/M51))</f>
        <v/>
      </c>
      <c r="P51" s="28">
        <f>IF($A51="","",SUMIFS(실적_원본!$N$5:$N$100000,실적_원본!$O$5:$O$100000,$E51,실적_원본!$L$5:$L$100000,설정!$C$6-1,실적_원본!$M$5:$M$100000,"&lt;="&amp;설정!$C$7))</f>
        <v/>
      </c>
      <c r="Q51" s="44">
        <f>IF($A51="","",J51-P51)</f>
        <v/>
      </c>
      <c r="R51" s="45">
        <f>IF($A51="","",IF(P51=0,0,J51/P51-1))</f>
        <v/>
      </c>
      <c r="S51" s="40">
        <f>IF($A51="","",IF(AND(I51=0,J51&lt;&gt;0),"무예산집행",IF(ABS(K51)&lt;설정!$C$13,"정상",IF(L51&gt;1+설정!$C$12,"초과",IF(L51&lt;1-설정!$C$12,"과소","정상")))))</f>
        <v/>
      </c>
      <c r="T51" s="20">
        <f>IF($A51="","",IFERROR(INDEX(코멘트!$E$5:$E$2004,MATCH(설정!$C$6&amp;"|"&amp;설정!$C$7&amp;"|"&amp;$E51,코멘트!$H$5:$H$2004,0)),""))</f>
        <v/>
      </c>
      <c r="U51" s="55">
        <f>IF($A51="","",IF(S51="정상",-1,ABS(K51)+ROW()/1000000))</f>
        <v/>
      </c>
      <c r="V51" s="55">
        <f>IF($A51="",0,K51+ROW()/1000000)</f>
        <v/>
      </c>
    </row>
    <row r="52">
      <c r="A52" s="12" t="inlineStr">
        <is>
          <t>D800</t>
        </is>
      </c>
      <c r="B52" s="20">
        <f>IF($A52="","",IFERROR(INDEX(부서매핑!$D$5:$D$504,MATCH($A52,부서매핑!$C$5:$C$504,0)),"부서매핑 없음"))</f>
        <v/>
      </c>
      <c r="C52" s="12" t="inlineStr">
        <is>
          <t>B03</t>
        </is>
      </c>
      <c r="D52" s="20">
        <f>IF($A52="","",IFERROR(INDEX(계정매핑!$D$5:$D$504,MATCH($C52,계정매핑!$C$5:$C$504,0)),"항목매핑 없음"))</f>
        <v/>
      </c>
      <c r="E52" s="19">
        <f>IF($A52="","",$A52&amp;"|"&amp;$C52)</f>
        <v/>
      </c>
      <c r="F52" s="28">
        <f>IF($A52="","",SUMIFS(예산_원본!$W$5:$W$3004,예산_원본!$T$5:$T$3004,$E52,예산_원본!$B$5:$B$3004,설정!$C$8,예산_원본!$U$5:$U$3004,설정!$C$6))</f>
        <v/>
      </c>
      <c r="G52" s="28">
        <f>IF($A52="","",SUMIFS(실적_원본!$N$5:$N$100000,실적_원본!$O$5:$O$100000,$E52,실적_원본!$L$5:$L$100000,설정!$C$6,실적_원본!$M$5:$M$100000,설정!$C$7))</f>
        <v/>
      </c>
      <c r="H52" s="44">
        <f>IF($A52="","",G52-F52)</f>
        <v/>
      </c>
      <c r="I52" s="28">
        <f>IF($A52="","",SUMIFS(예산_원본!$X$5:$X$3004,예산_원본!$T$5:$T$3004,$E52,예산_원본!$B$5:$B$3004,설정!$C$8,예산_원본!$U$5:$U$3004,설정!$C$6))</f>
        <v/>
      </c>
      <c r="J52" s="28">
        <f>IF($A52="","",SUMIFS(실적_원본!$N$5:$N$100000,실적_원본!$O$5:$O$100000,$E52,실적_원본!$L$5:$L$100000,설정!$C$6,실적_원본!$M$5:$M$100000,"&lt;="&amp;설정!$C$7))</f>
        <v/>
      </c>
      <c r="K52" s="44">
        <f>IF($A52="","",J52-I52)</f>
        <v/>
      </c>
      <c r="L52" s="45">
        <f>IF($A52="","",IF(I52=0,0,J52/I52))</f>
        <v/>
      </c>
      <c r="M52" s="28">
        <f>IF($A52="","",SUMIFS(예산_원본!$V$5:$V$3004,예산_원본!$T$5:$T$3004,$E52,예산_원본!$B$5:$B$3004,설정!$C$8,예산_원본!$U$5:$U$3004,설정!$C$6))</f>
        <v/>
      </c>
      <c r="N52" s="44">
        <f>IF($A52="","",M52-J52)</f>
        <v/>
      </c>
      <c r="O52" s="45">
        <f>IF($A52="","",IF(M52=0,0,J52/M52))</f>
        <v/>
      </c>
      <c r="P52" s="28">
        <f>IF($A52="","",SUMIFS(실적_원본!$N$5:$N$100000,실적_원본!$O$5:$O$100000,$E52,실적_원본!$L$5:$L$100000,설정!$C$6-1,실적_원본!$M$5:$M$100000,"&lt;="&amp;설정!$C$7))</f>
        <v/>
      </c>
      <c r="Q52" s="44">
        <f>IF($A52="","",J52-P52)</f>
        <v/>
      </c>
      <c r="R52" s="45">
        <f>IF($A52="","",IF(P52=0,0,J52/P52-1))</f>
        <v/>
      </c>
      <c r="S52" s="40">
        <f>IF($A52="","",IF(AND(I52=0,J52&lt;&gt;0),"무예산집행",IF(ABS(K52)&lt;설정!$C$13,"정상",IF(L52&gt;1+설정!$C$12,"초과",IF(L52&lt;1-설정!$C$12,"과소","정상")))))</f>
        <v/>
      </c>
      <c r="T52" s="20">
        <f>IF($A52="","",IFERROR(INDEX(코멘트!$E$5:$E$2004,MATCH(설정!$C$6&amp;"|"&amp;설정!$C$7&amp;"|"&amp;$E52,코멘트!$H$5:$H$2004,0)),""))</f>
        <v/>
      </c>
      <c r="U52" s="55">
        <f>IF($A52="","",IF(S52="정상",-1,ABS(K52)+ROW()/1000000))</f>
        <v/>
      </c>
      <c r="V52" s="55">
        <f>IF($A52="",0,K52+ROW()/1000000)</f>
        <v/>
      </c>
    </row>
    <row r="53">
      <c r="A53" s="12" t="inlineStr">
        <is>
          <t>D800</t>
        </is>
      </c>
      <c r="B53" s="20">
        <f>IF($A53="","",IFERROR(INDEX(부서매핑!$D$5:$D$504,MATCH($A53,부서매핑!$C$5:$C$504,0)),"부서매핑 없음"))</f>
        <v/>
      </c>
      <c r="C53" s="12" t="inlineStr">
        <is>
          <t>B04</t>
        </is>
      </c>
      <c r="D53" s="20">
        <f>IF($A53="","",IFERROR(INDEX(계정매핑!$D$5:$D$504,MATCH($C53,계정매핑!$C$5:$C$504,0)),"항목매핑 없음"))</f>
        <v/>
      </c>
      <c r="E53" s="19">
        <f>IF($A53="","",$A53&amp;"|"&amp;$C53)</f>
        <v/>
      </c>
      <c r="F53" s="28">
        <f>IF($A53="","",SUMIFS(예산_원본!$W$5:$W$3004,예산_원본!$T$5:$T$3004,$E53,예산_원본!$B$5:$B$3004,설정!$C$8,예산_원본!$U$5:$U$3004,설정!$C$6))</f>
        <v/>
      </c>
      <c r="G53" s="28">
        <f>IF($A53="","",SUMIFS(실적_원본!$N$5:$N$100000,실적_원본!$O$5:$O$100000,$E53,실적_원본!$L$5:$L$100000,설정!$C$6,실적_원본!$M$5:$M$100000,설정!$C$7))</f>
        <v/>
      </c>
      <c r="H53" s="44">
        <f>IF($A53="","",G53-F53)</f>
        <v/>
      </c>
      <c r="I53" s="28">
        <f>IF($A53="","",SUMIFS(예산_원본!$X$5:$X$3004,예산_원본!$T$5:$T$3004,$E53,예산_원본!$B$5:$B$3004,설정!$C$8,예산_원본!$U$5:$U$3004,설정!$C$6))</f>
        <v/>
      </c>
      <c r="J53" s="28">
        <f>IF($A53="","",SUMIFS(실적_원본!$N$5:$N$100000,실적_원본!$O$5:$O$100000,$E53,실적_원본!$L$5:$L$100000,설정!$C$6,실적_원본!$M$5:$M$100000,"&lt;="&amp;설정!$C$7))</f>
        <v/>
      </c>
      <c r="K53" s="44">
        <f>IF($A53="","",J53-I53)</f>
        <v/>
      </c>
      <c r="L53" s="45">
        <f>IF($A53="","",IF(I53=0,0,J53/I53))</f>
        <v/>
      </c>
      <c r="M53" s="28">
        <f>IF($A53="","",SUMIFS(예산_원본!$V$5:$V$3004,예산_원본!$T$5:$T$3004,$E53,예산_원본!$B$5:$B$3004,설정!$C$8,예산_원본!$U$5:$U$3004,설정!$C$6))</f>
        <v/>
      </c>
      <c r="N53" s="44">
        <f>IF($A53="","",M53-J53)</f>
        <v/>
      </c>
      <c r="O53" s="45">
        <f>IF($A53="","",IF(M53=0,0,J53/M53))</f>
        <v/>
      </c>
      <c r="P53" s="28">
        <f>IF($A53="","",SUMIFS(실적_원본!$N$5:$N$100000,실적_원본!$O$5:$O$100000,$E53,실적_원본!$L$5:$L$100000,설정!$C$6-1,실적_원본!$M$5:$M$100000,"&lt;="&amp;설정!$C$7))</f>
        <v/>
      </c>
      <c r="Q53" s="44">
        <f>IF($A53="","",J53-P53)</f>
        <v/>
      </c>
      <c r="R53" s="45">
        <f>IF($A53="","",IF(P53=0,0,J53/P53-1))</f>
        <v/>
      </c>
      <c r="S53" s="40">
        <f>IF($A53="","",IF(AND(I53=0,J53&lt;&gt;0),"무예산집행",IF(ABS(K53)&lt;설정!$C$13,"정상",IF(L53&gt;1+설정!$C$12,"초과",IF(L53&lt;1-설정!$C$12,"과소","정상")))))</f>
        <v/>
      </c>
      <c r="T53" s="20">
        <f>IF($A53="","",IFERROR(INDEX(코멘트!$E$5:$E$2004,MATCH(설정!$C$6&amp;"|"&amp;설정!$C$7&amp;"|"&amp;$E53,코멘트!$H$5:$H$2004,0)),""))</f>
        <v/>
      </c>
      <c r="U53" s="55">
        <f>IF($A53="","",IF(S53="정상",-1,ABS(K53)+ROW()/1000000))</f>
        <v/>
      </c>
      <c r="V53" s="55">
        <f>IF($A53="",0,K53+ROW()/1000000)</f>
        <v/>
      </c>
    </row>
    <row r="54">
      <c r="A54" s="12" t="inlineStr">
        <is>
          <t>D800</t>
        </is>
      </c>
      <c r="B54" s="20">
        <f>IF($A54="","",IFERROR(INDEX(부서매핑!$D$5:$D$504,MATCH($A54,부서매핑!$C$5:$C$504,0)),"부서매핑 없음"))</f>
        <v/>
      </c>
      <c r="C54" s="12" t="inlineStr">
        <is>
          <t>B05</t>
        </is>
      </c>
      <c r="D54" s="20">
        <f>IF($A54="","",IFERROR(INDEX(계정매핑!$D$5:$D$504,MATCH($C54,계정매핑!$C$5:$C$504,0)),"항목매핑 없음"))</f>
        <v/>
      </c>
      <c r="E54" s="19">
        <f>IF($A54="","",$A54&amp;"|"&amp;$C54)</f>
        <v/>
      </c>
      <c r="F54" s="28">
        <f>IF($A54="","",SUMIFS(예산_원본!$W$5:$W$3004,예산_원본!$T$5:$T$3004,$E54,예산_원본!$B$5:$B$3004,설정!$C$8,예산_원본!$U$5:$U$3004,설정!$C$6))</f>
        <v/>
      </c>
      <c r="G54" s="28">
        <f>IF($A54="","",SUMIFS(실적_원본!$N$5:$N$100000,실적_원본!$O$5:$O$100000,$E54,실적_원본!$L$5:$L$100000,설정!$C$6,실적_원본!$M$5:$M$100000,설정!$C$7))</f>
        <v/>
      </c>
      <c r="H54" s="44">
        <f>IF($A54="","",G54-F54)</f>
        <v/>
      </c>
      <c r="I54" s="28">
        <f>IF($A54="","",SUMIFS(예산_원본!$X$5:$X$3004,예산_원본!$T$5:$T$3004,$E54,예산_원본!$B$5:$B$3004,설정!$C$8,예산_원본!$U$5:$U$3004,설정!$C$6))</f>
        <v/>
      </c>
      <c r="J54" s="28">
        <f>IF($A54="","",SUMIFS(실적_원본!$N$5:$N$100000,실적_원본!$O$5:$O$100000,$E54,실적_원본!$L$5:$L$100000,설정!$C$6,실적_원본!$M$5:$M$100000,"&lt;="&amp;설정!$C$7))</f>
        <v/>
      </c>
      <c r="K54" s="44">
        <f>IF($A54="","",J54-I54)</f>
        <v/>
      </c>
      <c r="L54" s="45">
        <f>IF($A54="","",IF(I54=0,0,J54/I54))</f>
        <v/>
      </c>
      <c r="M54" s="28">
        <f>IF($A54="","",SUMIFS(예산_원본!$V$5:$V$3004,예산_원본!$T$5:$T$3004,$E54,예산_원본!$B$5:$B$3004,설정!$C$8,예산_원본!$U$5:$U$3004,설정!$C$6))</f>
        <v/>
      </c>
      <c r="N54" s="44">
        <f>IF($A54="","",M54-J54)</f>
        <v/>
      </c>
      <c r="O54" s="45">
        <f>IF($A54="","",IF(M54=0,0,J54/M54))</f>
        <v/>
      </c>
      <c r="P54" s="28">
        <f>IF($A54="","",SUMIFS(실적_원본!$N$5:$N$100000,실적_원본!$O$5:$O$100000,$E54,실적_원본!$L$5:$L$100000,설정!$C$6-1,실적_원본!$M$5:$M$100000,"&lt;="&amp;설정!$C$7))</f>
        <v/>
      </c>
      <c r="Q54" s="44">
        <f>IF($A54="","",J54-P54)</f>
        <v/>
      </c>
      <c r="R54" s="45">
        <f>IF($A54="","",IF(P54=0,0,J54/P54-1))</f>
        <v/>
      </c>
      <c r="S54" s="40">
        <f>IF($A54="","",IF(AND(I54=0,J54&lt;&gt;0),"무예산집행",IF(ABS(K54)&lt;설정!$C$13,"정상",IF(L54&gt;1+설정!$C$12,"초과",IF(L54&lt;1-설정!$C$12,"과소","정상")))))</f>
        <v/>
      </c>
      <c r="T54" s="20">
        <f>IF($A54="","",IFERROR(INDEX(코멘트!$E$5:$E$2004,MATCH(설정!$C$6&amp;"|"&amp;설정!$C$7&amp;"|"&amp;$E54,코멘트!$H$5:$H$2004,0)),""))</f>
        <v/>
      </c>
      <c r="U54" s="55">
        <f>IF($A54="","",IF(S54="정상",-1,ABS(K54)+ROW()/1000000))</f>
        <v/>
      </c>
      <c r="V54" s="55">
        <f>IF($A54="",0,K54+ROW()/1000000)</f>
        <v/>
      </c>
    </row>
    <row r="55">
      <c r="A55" s="12" t="inlineStr">
        <is>
          <t>D800</t>
        </is>
      </c>
      <c r="B55" s="20">
        <f>IF($A55="","",IFERROR(INDEX(부서매핑!$D$5:$D$504,MATCH($A55,부서매핑!$C$5:$C$504,0)),"부서매핑 없음"))</f>
        <v/>
      </c>
      <c r="C55" s="12" t="inlineStr">
        <is>
          <t>B09</t>
        </is>
      </c>
      <c r="D55" s="20">
        <f>IF($A55="","",IFERROR(INDEX(계정매핑!$D$5:$D$504,MATCH($C55,계정매핑!$C$5:$C$504,0)),"항목매핑 없음"))</f>
        <v/>
      </c>
      <c r="E55" s="19">
        <f>IF($A55="","",$A55&amp;"|"&amp;$C55)</f>
        <v/>
      </c>
      <c r="F55" s="28">
        <f>IF($A55="","",SUMIFS(예산_원본!$W$5:$W$3004,예산_원본!$T$5:$T$3004,$E55,예산_원본!$B$5:$B$3004,설정!$C$8,예산_원본!$U$5:$U$3004,설정!$C$6))</f>
        <v/>
      </c>
      <c r="G55" s="28">
        <f>IF($A55="","",SUMIFS(실적_원본!$N$5:$N$100000,실적_원본!$O$5:$O$100000,$E55,실적_원본!$L$5:$L$100000,설정!$C$6,실적_원본!$M$5:$M$100000,설정!$C$7))</f>
        <v/>
      </c>
      <c r="H55" s="44">
        <f>IF($A55="","",G55-F55)</f>
        <v/>
      </c>
      <c r="I55" s="28">
        <f>IF($A55="","",SUMIFS(예산_원본!$X$5:$X$3004,예산_원본!$T$5:$T$3004,$E55,예산_원본!$B$5:$B$3004,설정!$C$8,예산_원본!$U$5:$U$3004,설정!$C$6))</f>
        <v/>
      </c>
      <c r="J55" s="28">
        <f>IF($A55="","",SUMIFS(실적_원본!$N$5:$N$100000,실적_원본!$O$5:$O$100000,$E55,실적_원본!$L$5:$L$100000,설정!$C$6,실적_원본!$M$5:$M$100000,"&lt;="&amp;설정!$C$7))</f>
        <v/>
      </c>
      <c r="K55" s="44">
        <f>IF($A55="","",J55-I55)</f>
        <v/>
      </c>
      <c r="L55" s="45">
        <f>IF($A55="","",IF(I55=0,0,J55/I55))</f>
        <v/>
      </c>
      <c r="M55" s="28">
        <f>IF($A55="","",SUMIFS(예산_원본!$V$5:$V$3004,예산_원본!$T$5:$T$3004,$E55,예산_원본!$B$5:$B$3004,설정!$C$8,예산_원본!$U$5:$U$3004,설정!$C$6))</f>
        <v/>
      </c>
      <c r="N55" s="44">
        <f>IF($A55="","",M55-J55)</f>
        <v/>
      </c>
      <c r="O55" s="45">
        <f>IF($A55="","",IF(M55=0,0,J55/M55))</f>
        <v/>
      </c>
      <c r="P55" s="28">
        <f>IF($A55="","",SUMIFS(실적_원본!$N$5:$N$100000,실적_원본!$O$5:$O$100000,$E55,실적_원본!$L$5:$L$100000,설정!$C$6-1,실적_원본!$M$5:$M$100000,"&lt;="&amp;설정!$C$7))</f>
        <v/>
      </c>
      <c r="Q55" s="44">
        <f>IF($A55="","",J55-P55)</f>
        <v/>
      </c>
      <c r="R55" s="45">
        <f>IF($A55="","",IF(P55=0,0,J55/P55-1))</f>
        <v/>
      </c>
      <c r="S55" s="40">
        <f>IF($A55="","",IF(AND(I55=0,J55&lt;&gt;0),"무예산집행",IF(ABS(K55)&lt;설정!$C$13,"정상",IF(L55&gt;1+설정!$C$12,"초과",IF(L55&lt;1-설정!$C$12,"과소","정상")))))</f>
        <v/>
      </c>
      <c r="T55" s="20">
        <f>IF($A55="","",IFERROR(INDEX(코멘트!$E$5:$E$2004,MATCH(설정!$C$6&amp;"|"&amp;설정!$C$7&amp;"|"&amp;$E55,코멘트!$H$5:$H$2004,0)),""))</f>
        <v/>
      </c>
      <c r="U55" s="55">
        <f>IF($A55="","",IF(S55="정상",-1,ABS(K55)+ROW()/1000000))</f>
        <v/>
      </c>
      <c r="V55" s="55">
        <f>IF($A55="",0,K55+ROW()/1000000)</f>
        <v/>
      </c>
    </row>
    <row r="56">
      <c r="A56" s="12" t="n"/>
      <c r="B56" s="20">
        <f>IF($A56="","",IFERROR(INDEX(부서매핑!$D$5:$D$504,MATCH($A56,부서매핑!$C$5:$C$504,0)),"부서매핑 없음"))</f>
        <v/>
      </c>
      <c r="C56" s="12" t="n"/>
      <c r="D56" s="20">
        <f>IF($A56="","",IFERROR(INDEX(계정매핑!$D$5:$D$504,MATCH($C56,계정매핑!$C$5:$C$504,0)),"항목매핑 없음"))</f>
        <v/>
      </c>
      <c r="E56" s="19">
        <f>IF($A56="","",$A56&amp;"|"&amp;$C56)</f>
        <v/>
      </c>
      <c r="F56" s="28">
        <f>IF($A56="","",SUMIFS(예산_원본!$W$5:$W$3004,예산_원본!$T$5:$T$3004,$E56,예산_원본!$B$5:$B$3004,설정!$C$8,예산_원본!$U$5:$U$3004,설정!$C$6))</f>
        <v/>
      </c>
      <c r="G56" s="28">
        <f>IF($A56="","",SUMIFS(실적_원본!$N$5:$N$100000,실적_원본!$O$5:$O$100000,$E56,실적_원본!$L$5:$L$100000,설정!$C$6,실적_원본!$M$5:$M$100000,설정!$C$7))</f>
        <v/>
      </c>
      <c r="H56" s="44">
        <f>IF($A56="","",G56-F56)</f>
        <v/>
      </c>
      <c r="I56" s="28">
        <f>IF($A56="","",SUMIFS(예산_원본!$X$5:$X$3004,예산_원본!$T$5:$T$3004,$E56,예산_원본!$B$5:$B$3004,설정!$C$8,예산_원본!$U$5:$U$3004,설정!$C$6))</f>
        <v/>
      </c>
      <c r="J56" s="28">
        <f>IF($A56="","",SUMIFS(실적_원본!$N$5:$N$100000,실적_원본!$O$5:$O$100000,$E56,실적_원본!$L$5:$L$100000,설정!$C$6,실적_원본!$M$5:$M$100000,"&lt;="&amp;설정!$C$7))</f>
        <v/>
      </c>
      <c r="K56" s="44">
        <f>IF($A56="","",J56-I56)</f>
        <v/>
      </c>
      <c r="L56" s="45">
        <f>IF($A56="","",IF(I56=0,0,J56/I56))</f>
        <v/>
      </c>
      <c r="M56" s="28">
        <f>IF($A56="","",SUMIFS(예산_원본!$V$5:$V$3004,예산_원본!$T$5:$T$3004,$E56,예산_원본!$B$5:$B$3004,설정!$C$8,예산_원본!$U$5:$U$3004,설정!$C$6))</f>
        <v/>
      </c>
      <c r="N56" s="44">
        <f>IF($A56="","",M56-J56)</f>
        <v/>
      </c>
      <c r="O56" s="45">
        <f>IF($A56="","",IF(M56=0,0,J56/M56))</f>
        <v/>
      </c>
      <c r="P56" s="28">
        <f>IF($A56="","",SUMIFS(실적_원본!$N$5:$N$100000,실적_원본!$O$5:$O$100000,$E56,실적_원본!$L$5:$L$100000,설정!$C$6-1,실적_원본!$M$5:$M$100000,"&lt;="&amp;설정!$C$7))</f>
        <v/>
      </c>
      <c r="Q56" s="44">
        <f>IF($A56="","",J56-P56)</f>
        <v/>
      </c>
      <c r="R56" s="45">
        <f>IF($A56="","",IF(P56=0,0,J56/P56-1))</f>
        <v/>
      </c>
      <c r="S56" s="40">
        <f>IF($A56="","",IF(AND(I56=0,J56&lt;&gt;0),"무예산집행",IF(ABS(K56)&lt;설정!$C$13,"정상",IF(L56&gt;1+설정!$C$12,"초과",IF(L56&lt;1-설정!$C$12,"과소","정상")))))</f>
        <v/>
      </c>
      <c r="T56" s="20">
        <f>IF($A56="","",IFERROR(INDEX(코멘트!$E$5:$E$2004,MATCH(설정!$C$6&amp;"|"&amp;설정!$C$7&amp;"|"&amp;$E56,코멘트!$H$5:$H$2004,0)),""))</f>
        <v/>
      </c>
      <c r="U56" s="55">
        <f>IF($A56="","",IF(S56="정상",-1,ABS(K56)+ROW()/1000000))</f>
        <v/>
      </c>
      <c r="V56" s="55">
        <f>IF($A56="",0,K56+ROW()/1000000)</f>
        <v/>
      </c>
    </row>
    <row r="57">
      <c r="A57" s="12" t="n"/>
      <c r="B57" s="20">
        <f>IF($A57="","",IFERROR(INDEX(부서매핑!$D$5:$D$504,MATCH($A57,부서매핑!$C$5:$C$504,0)),"부서매핑 없음"))</f>
        <v/>
      </c>
      <c r="C57" s="12" t="n"/>
      <c r="D57" s="20">
        <f>IF($A57="","",IFERROR(INDEX(계정매핑!$D$5:$D$504,MATCH($C57,계정매핑!$C$5:$C$504,0)),"항목매핑 없음"))</f>
        <v/>
      </c>
      <c r="E57" s="19">
        <f>IF($A57="","",$A57&amp;"|"&amp;$C57)</f>
        <v/>
      </c>
      <c r="F57" s="28">
        <f>IF($A57="","",SUMIFS(예산_원본!$W$5:$W$3004,예산_원본!$T$5:$T$3004,$E57,예산_원본!$B$5:$B$3004,설정!$C$8,예산_원본!$U$5:$U$3004,설정!$C$6))</f>
        <v/>
      </c>
      <c r="G57" s="28">
        <f>IF($A57="","",SUMIFS(실적_원본!$N$5:$N$100000,실적_원본!$O$5:$O$100000,$E57,실적_원본!$L$5:$L$100000,설정!$C$6,실적_원본!$M$5:$M$100000,설정!$C$7))</f>
        <v/>
      </c>
      <c r="H57" s="44">
        <f>IF($A57="","",G57-F57)</f>
        <v/>
      </c>
      <c r="I57" s="28">
        <f>IF($A57="","",SUMIFS(예산_원본!$X$5:$X$3004,예산_원본!$T$5:$T$3004,$E57,예산_원본!$B$5:$B$3004,설정!$C$8,예산_원본!$U$5:$U$3004,설정!$C$6))</f>
        <v/>
      </c>
      <c r="J57" s="28">
        <f>IF($A57="","",SUMIFS(실적_원본!$N$5:$N$100000,실적_원본!$O$5:$O$100000,$E57,실적_원본!$L$5:$L$100000,설정!$C$6,실적_원본!$M$5:$M$100000,"&lt;="&amp;설정!$C$7))</f>
        <v/>
      </c>
      <c r="K57" s="44">
        <f>IF($A57="","",J57-I57)</f>
        <v/>
      </c>
      <c r="L57" s="45">
        <f>IF($A57="","",IF(I57=0,0,J57/I57))</f>
        <v/>
      </c>
      <c r="M57" s="28">
        <f>IF($A57="","",SUMIFS(예산_원본!$V$5:$V$3004,예산_원본!$T$5:$T$3004,$E57,예산_원본!$B$5:$B$3004,설정!$C$8,예산_원본!$U$5:$U$3004,설정!$C$6))</f>
        <v/>
      </c>
      <c r="N57" s="44">
        <f>IF($A57="","",M57-J57)</f>
        <v/>
      </c>
      <c r="O57" s="45">
        <f>IF($A57="","",IF(M57=0,0,J57/M57))</f>
        <v/>
      </c>
      <c r="P57" s="28">
        <f>IF($A57="","",SUMIFS(실적_원본!$N$5:$N$100000,실적_원본!$O$5:$O$100000,$E57,실적_원본!$L$5:$L$100000,설정!$C$6-1,실적_원본!$M$5:$M$100000,"&lt;="&amp;설정!$C$7))</f>
        <v/>
      </c>
      <c r="Q57" s="44">
        <f>IF($A57="","",J57-P57)</f>
        <v/>
      </c>
      <c r="R57" s="45">
        <f>IF($A57="","",IF(P57=0,0,J57/P57-1))</f>
        <v/>
      </c>
      <c r="S57" s="40">
        <f>IF($A57="","",IF(AND(I57=0,J57&lt;&gt;0),"무예산집행",IF(ABS(K57)&lt;설정!$C$13,"정상",IF(L57&gt;1+설정!$C$12,"초과",IF(L57&lt;1-설정!$C$12,"과소","정상")))))</f>
        <v/>
      </c>
      <c r="T57" s="20">
        <f>IF($A57="","",IFERROR(INDEX(코멘트!$E$5:$E$2004,MATCH(설정!$C$6&amp;"|"&amp;설정!$C$7&amp;"|"&amp;$E57,코멘트!$H$5:$H$2004,0)),""))</f>
        <v/>
      </c>
      <c r="U57" s="55">
        <f>IF($A57="","",IF(S57="정상",-1,ABS(K57)+ROW()/1000000))</f>
        <v/>
      </c>
      <c r="V57" s="55">
        <f>IF($A57="",0,K57+ROW()/1000000)</f>
        <v/>
      </c>
    </row>
    <row r="58">
      <c r="A58" s="12" t="n"/>
      <c r="B58" s="20">
        <f>IF($A58="","",IFERROR(INDEX(부서매핑!$D$5:$D$504,MATCH($A58,부서매핑!$C$5:$C$504,0)),"부서매핑 없음"))</f>
        <v/>
      </c>
      <c r="C58" s="12" t="n"/>
      <c r="D58" s="20">
        <f>IF($A58="","",IFERROR(INDEX(계정매핑!$D$5:$D$504,MATCH($C58,계정매핑!$C$5:$C$504,0)),"항목매핑 없음"))</f>
        <v/>
      </c>
      <c r="E58" s="19">
        <f>IF($A58="","",$A58&amp;"|"&amp;$C58)</f>
        <v/>
      </c>
      <c r="F58" s="28">
        <f>IF($A58="","",SUMIFS(예산_원본!$W$5:$W$3004,예산_원본!$T$5:$T$3004,$E58,예산_원본!$B$5:$B$3004,설정!$C$8,예산_원본!$U$5:$U$3004,설정!$C$6))</f>
        <v/>
      </c>
      <c r="G58" s="28">
        <f>IF($A58="","",SUMIFS(실적_원본!$N$5:$N$100000,실적_원본!$O$5:$O$100000,$E58,실적_원본!$L$5:$L$100000,설정!$C$6,실적_원본!$M$5:$M$100000,설정!$C$7))</f>
        <v/>
      </c>
      <c r="H58" s="44">
        <f>IF($A58="","",G58-F58)</f>
        <v/>
      </c>
      <c r="I58" s="28">
        <f>IF($A58="","",SUMIFS(예산_원본!$X$5:$X$3004,예산_원본!$T$5:$T$3004,$E58,예산_원본!$B$5:$B$3004,설정!$C$8,예산_원본!$U$5:$U$3004,설정!$C$6))</f>
        <v/>
      </c>
      <c r="J58" s="28">
        <f>IF($A58="","",SUMIFS(실적_원본!$N$5:$N$100000,실적_원본!$O$5:$O$100000,$E58,실적_원본!$L$5:$L$100000,설정!$C$6,실적_원본!$M$5:$M$100000,"&lt;="&amp;설정!$C$7))</f>
        <v/>
      </c>
      <c r="K58" s="44">
        <f>IF($A58="","",J58-I58)</f>
        <v/>
      </c>
      <c r="L58" s="45">
        <f>IF($A58="","",IF(I58=0,0,J58/I58))</f>
        <v/>
      </c>
      <c r="M58" s="28">
        <f>IF($A58="","",SUMIFS(예산_원본!$V$5:$V$3004,예산_원본!$T$5:$T$3004,$E58,예산_원본!$B$5:$B$3004,설정!$C$8,예산_원본!$U$5:$U$3004,설정!$C$6))</f>
        <v/>
      </c>
      <c r="N58" s="44">
        <f>IF($A58="","",M58-J58)</f>
        <v/>
      </c>
      <c r="O58" s="45">
        <f>IF($A58="","",IF(M58=0,0,J58/M58))</f>
        <v/>
      </c>
      <c r="P58" s="28">
        <f>IF($A58="","",SUMIFS(실적_원본!$N$5:$N$100000,실적_원본!$O$5:$O$100000,$E58,실적_원본!$L$5:$L$100000,설정!$C$6-1,실적_원본!$M$5:$M$100000,"&lt;="&amp;설정!$C$7))</f>
        <v/>
      </c>
      <c r="Q58" s="44">
        <f>IF($A58="","",J58-P58)</f>
        <v/>
      </c>
      <c r="R58" s="45">
        <f>IF($A58="","",IF(P58=0,0,J58/P58-1))</f>
        <v/>
      </c>
      <c r="S58" s="40">
        <f>IF($A58="","",IF(AND(I58=0,J58&lt;&gt;0),"무예산집행",IF(ABS(K58)&lt;설정!$C$13,"정상",IF(L58&gt;1+설정!$C$12,"초과",IF(L58&lt;1-설정!$C$12,"과소","정상")))))</f>
        <v/>
      </c>
      <c r="T58" s="20">
        <f>IF($A58="","",IFERROR(INDEX(코멘트!$E$5:$E$2004,MATCH(설정!$C$6&amp;"|"&amp;설정!$C$7&amp;"|"&amp;$E58,코멘트!$H$5:$H$2004,0)),""))</f>
        <v/>
      </c>
      <c r="U58" s="55">
        <f>IF($A58="","",IF(S58="정상",-1,ABS(K58)+ROW()/1000000))</f>
        <v/>
      </c>
      <c r="V58" s="55">
        <f>IF($A58="",0,K58+ROW()/1000000)</f>
        <v/>
      </c>
    </row>
    <row r="59">
      <c r="A59" s="12" t="n"/>
      <c r="B59" s="20">
        <f>IF($A59="","",IFERROR(INDEX(부서매핑!$D$5:$D$504,MATCH($A59,부서매핑!$C$5:$C$504,0)),"부서매핑 없음"))</f>
        <v/>
      </c>
      <c r="C59" s="12" t="n"/>
      <c r="D59" s="20">
        <f>IF($A59="","",IFERROR(INDEX(계정매핑!$D$5:$D$504,MATCH($C59,계정매핑!$C$5:$C$504,0)),"항목매핑 없음"))</f>
        <v/>
      </c>
      <c r="E59" s="19">
        <f>IF($A59="","",$A59&amp;"|"&amp;$C59)</f>
        <v/>
      </c>
      <c r="F59" s="28">
        <f>IF($A59="","",SUMIFS(예산_원본!$W$5:$W$3004,예산_원본!$T$5:$T$3004,$E59,예산_원본!$B$5:$B$3004,설정!$C$8,예산_원본!$U$5:$U$3004,설정!$C$6))</f>
        <v/>
      </c>
      <c r="G59" s="28">
        <f>IF($A59="","",SUMIFS(실적_원본!$N$5:$N$100000,실적_원본!$O$5:$O$100000,$E59,실적_원본!$L$5:$L$100000,설정!$C$6,실적_원본!$M$5:$M$100000,설정!$C$7))</f>
        <v/>
      </c>
      <c r="H59" s="44">
        <f>IF($A59="","",G59-F59)</f>
        <v/>
      </c>
      <c r="I59" s="28">
        <f>IF($A59="","",SUMIFS(예산_원본!$X$5:$X$3004,예산_원본!$T$5:$T$3004,$E59,예산_원본!$B$5:$B$3004,설정!$C$8,예산_원본!$U$5:$U$3004,설정!$C$6))</f>
        <v/>
      </c>
      <c r="J59" s="28">
        <f>IF($A59="","",SUMIFS(실적_원본!$N$5:$N$100000,실적_원본!$O$5:$O$100000,$E59,실적_원본!$L$5:$L$100000,설정!$C$6,실적_원본!$M$5:$M$100000,"&lt;="&amp;설정!$C$7))</f>
        <v/>
      </c>
      <c r="K59" s="44">
        <f>IF($A59="","",J59-I59)</f>
        <v/>
      </c>
      <c r="L59" s="45">
        <f>IF($A59="","",IF(I59=0,0,J59/I59))</f>
        <v/>
      </c>
      <c r="M59" s="28">
        <f>IF($A59="","",SUMIFS(예산_원본!$V$5:$V$3004,예산_원본!$T$5:$T$3004,$E59,예산_원본!$B$5:$B$3004,설정!$C$8,예산_원본!$U$5:$U$3004,설정!$C$6))</f>
        <v/>
      </c>
      <c r="N59" s="44">
        <f>IF($A59="","",M59-J59)</f>
        <v/>
      </c>
      <c r="O59" s="45">
        <f>IF($A59="","",IF(M59=0,0,J59/M59))</f>
        <v/>
      </c>
      <c r="P59" s="28">
        <f>IF($A59="","",SUMIFS(실적_원본!$N$5:$N$100000,실적_원본!$O$5:$O$100000,$E59,실적_원본!$L$5:$L$100000,설정!$C$6-1,실적_원본!$M$5:$M$100000,"&lt;="&amp;설정!$C$7))</f>
        <v/>
      </c>
      <c r="Q59" s="44">
        <f>IF($A59="","",J59-P59)</f>
        <v/>
      </c>
      <c r="R59" s="45">
        <f>IF($A59="","",IF(P59=0,0,J59/P59-1))</f>
        <v/>
      </c>
      <c r="S59" s="40">
        <f>IF($A59="","",IF(AND(I59=0,J59&lt;&gt;0),"무예산집행",IF(ABS(K59)&lt;설정!$C$13,"정상",IF(L59&gt;1+설정!$C$12,"초과",IF(L59&lt;1-설정!$C$12,"과소","정상")))))</f>
        <v/>
      </c>
      <c r="T59" s="20">
        <f>IF($A59="","",IFERROR(INDEX(코멘트!$E$5:$E$2004,MATCH(설정!$C$6&amp;"|"&amp;설정!$C$7&amp;"|"&amp;$E59,코멘트!$H$5:$H$2004,0)),""))</f>
        <v/>
      </c>
      <c r="U59" s="55">
        <f>IF($A59="","",IF(S59="정상",-1,ABS(K59)+ROW()/1000000))</f>
        <v/>
      </c>
      <c r="V59" s="55">
        <f>IF($A59="",0,K59+ROW()/1000000)</f>
        <v/>
      </c>
    </row>
    <row r="60">
      <c r="A60" s="12" t="n"/>
      <c r="B60" s="20">
        <f>IF($A60="","",IFERROR(INDEX(부서매핑!$D$5:$D$504,MATCH($A60,부서매핑!$C$5:$C$504,0)),"부서매핑 없음"))</f>
        <v/>
      </c>
      <c r="C60" s="12" t="n"/>
      <c r="D60" s="20">
        <f>IF($A60="","",IFERROR(INDEX(계정매핑!$D$5:$D$504,MATCH($C60,계정매핑!$C$5:$C$504,0)),"항목매핑 없음"))</f>
        <v/>
      </c>
      <c r="E60" s="19">
        <f>IF($A60="","",$A60&amp;"|"&amp;$C60)</f>
        <v/>
      </c>
      <c r="F60" s="28">
        <f>IF($A60="","",SUMIFS(예산_원본!$W$5:$W$3004,예산_원본!$T$5:$T$3004,$E60,예산_원본!$B$5:$B$3004,설정!$C$8,예산_원본!$U$5:$U$3004,설정!$C$6))</f>
        <v/>
      </c>
      <c r="G60" s="28">
        <f>IF($A60="","",SUMIFS(실적_원본!$N$5:$N$100000,실적_원본!$O$5:$O$100000,$E60,실적_원본!$L$5:$L$100000,설정!$C$6,실적_원본!$M$5:$M$100000,설정!$C$7))</f>
        <v/>
      </c>
      <c r="H60" s="44">
        <f>IF($A60="","",G60-F60)</f>
        <v/>
      </c>
      <c r="I60" s="28">
        <f>IF($A60="","",SUMIFS(예산_원본!$X$5:$X$3004,예산_원본!$T$5:$T$3004,$E60,예산_원본!$B$5:$B$3004,설정!$C$8,예산_원본!$U$5:$U$3004,설정!$C$6))</f>
        <v/>
      </c>
      <c r="J60" s="28">
        <f>IF($A60="","",SUMIFS(실적_원본!$N$5:$N$100000,실적_원본!$O$5:$O$100000,$E60,실적_원본!$L$5:$L$100000,설정!$C$6,실적_원본!$M$5:$M$100000,"&lt;="&amp;설정!$C$7))</f>
        <v/>
      </c>
      <c r="K60" s="44">
        <f>IF($A60="","",J60-I60)</f>
        <v/>
      </c>
      <c r="L60" s="45">
        <f>IF($A60="","",IF(I60=0,0,J60/I60))</f>
        <v/>
      </c>
      <c r="M60" s="28">
        <f>IF($A60="","",SUMIFS(예산_원본!$V$5:$V$3004,예산_원본!$T$5:$T$3004,$E60,예산_원본!$B$5:$B$3004,설정!$C$8,예산_원본!$U$5:$U$3004,설정!$C$6))</f>
        <v/>
      </c>
      <c r="N60" s="44">
        <f>IF($A60="","",M60-J60)</f>
        <v/>
      </c>
      <c r="O60" s="45">
        <f>IF($A60="","",IF(M60=0,0,J60/M60))</f>
        <v/>
      </c>
      <c r="P60" s="28">
        <f>IF($A60="","",SUMIFS(실적_원본!$N$5:$N$100000,실적_원본!$O$5:$O$100000,$E60,실적_원본!$L$5:$L$100000,설정!$C$6-1,실적_원본!$M$5:$M$100000,"&lt;="&amp;설정!$C$7))</f>
        <v/>
      </c>
      <c r="Q60" s="44">
        <f>IF($A60="","",J60-P60)</f>
        <v/>
      </c>
      <c r="R60" s="45">
        <f>IF($A60="","",IF(P60=0,0,J60/P60-1))</f>
        <v/>
      </c>
      <c r="S60" s="40">
        <f>IF($A60="","",IF(AND(I60=0,J60&lt;&gt;0),"무예산집행",IF(ABS(K60)&lt;설정!$C$13,"정상",IF(L60&gt;1+설정!$C$12,"초과",IF(L60&lt;1-설정!$C$12,"과소","정상")))))</f>
        <v/>
      </c>
      <c r="T60" s="20">
        <f>IF($A60="","",IFERROR(INDEX(코멘트!$E$5:$E$2004,MATCH(설정!$C$6&amp;"|"&amp;설정!$C$7&amp;"|"&amp;$E60,코멘트!$H$5:$H$2004,0)),""))</f>
        <v/>
      </c>
      <c r="U60" s="55">
        <f>IF($A60="","",IF(S60="정상",-1,ABS(K60)+ROW()/1000000))</f>
        <v/>
      </c>
      <c r="V60" s="55">
        <f>IF($A60="",0,K60+ROW()/1000000)</f>
        <v/>
      </c>
    </row>
    <row r="61">
      <c r="A61" s="12" t="n"/>
      <c r="B61" s="20">
        <f>IF($A61="","",IFERROR(INDEX(부서매핑!$D$5:$D$504,MATCH($A61,부서매핑!$C$5:$C$504,0)),"부서매핑 없음"))</f>
        <v/>
      </c>
      <c r="C61" s="12" t="n"/>
      <c r="D61" s="20">
        <f>IF($A61="","",IFERROR(INDEX(계정매핑!$D$5:$D$504,MATCH($C61,계정매핑!$C$5:$C$504,0)),"항목매핑 없음"))</f>
        <v/>
      </c>
      <c r="E61" s="19">
        <f>IF($A61="","",$A61&amp;"|"&amp;$C61)</f>
        <v/>
      </c>
      <c r="F61" s="28">
        <f>IF($A61="","",SUMIFS(예산_원본!$W$5:$W$3004,예산_원본!$T$5:$T$3004,$E61,예산_원본!$B$5:$B$3004,설정!$C$8,예산_원본!$U$5:$U$3004,설정!$C$6))</f>
        <v/>
      </c>
      <c r="G61" s="28">
        <f>IF($A61="","",SUMIFS(실적_원본!$N$5:$N$100000,실적_원본!$O$5:$O$100000,$E61,실적_원본!$L$5:$L$100000,설정!$C$6,실적_원본!$M$5:$M$100000,설정!$C$7))</f>
        <v/>
      </c>
      <c r="H61" s="44">
        <f>IF($A61="","",G61-F61)</f>
        <v/>
      </c>
      <c r="I61" s="28">
        <f>IF($A61="","",SUMIFS(예산_원본!$X$5:$X$3004,예산_원본!$T$5:$T$3004,$E61,예산_원본!$B$5:$B$3004,설정!$C$8,예산_원본!$U$5:$U$3004,설정!$C$6))</f>
        <v/>
      </c>
      <c r="J61" s="28">
        <f>IF($A61="","",SUMIFS(실적_원본!$N$5:$N$100000,실적_원본!$O$5:$O$100000,$E61,실적_원본!$L$5:$L$100000,설정!$C$6,실적_원본!$M$5:$M$100000,"&lt;="&amp;설정!$C$7))</f>
        <v/>
      </c>
      <c r="K61" s="44">
        <f>IF($A61="","",J61-I61)</f>
        <v/>
      </c>
      <c r="L61" s="45">
        <f>IF($A61="","",IF(I61=0,0,J61/I61))</f>
        <v/>
      </c>
      <c r="M61" s="28">
        <f>IF($A61="","",SUMIFS(예산_원본!$V$5:$V$3004,예산_원본!$T$5:$T$3004,$E61,예산_원본!$B$5:$B$3004,설정!$C$8,예산_원본!$U$5:$U$3004,설정!$C$6))</f>
        <v/>
      </c>
      <c r="N61" s="44">
        <f>IF($A61="","",M61-J61)</f>
        <v/>
      </c>
      <c r="O61" s="45">
        <f>IF($A61="","",IF(M61=0,0,J61/M61))</f>
        <v/>
      </c>
      <c r="P61" s="28">
        <f>IF($A61="","",SUMIFS(실적_원본!$N$5:$N$100000,실적_원본!$O$5:$O$100000,$E61,실적_원본!$L$5:$L$100000,설정!$C$6-1,실적_원본!$M$5:$M$100000,"&lt;="&amp;설정!$C$7))</f>
        <v/>
      </c>
      <c r="Q61" s="44">
        <f>IF($A61="","",J61-P61)</f>
        <v/>
      </c>
      <c r="R61" s="45">
        <f>IF($A61="","",IF(P61=0,0,J61/P61-1))</f>
        <v/>
      </c>
      <c r="S61" s="40">
        <f>IF($A61="","",IF(AND(I61=0,J61&lt;&gt;0),"무예산집행",IF(ABS(K61)&lt;설정!$C$13,"정상",IF(L61&gt;1+설정!$C$12,"초과",IF(L61&lt;1-설정!$C$12,"과소","정상")))))</f>
        <v/>
      </c>
      <c r="T61" s="20">
        <f>IF($A61="","",IFERROR(INDEX(코멘트!$E$5:$E$2004,MATCH(설정!$C$6&amp;"|"&amp;설정!$C$7&amp;"|"&amp;$E61,코멘트!$H$5:$H$2004,0)),""))</f>
        <v/>
      </c>
      <c r="U61" s="55">
        <f>IF($A61="","",IF(S61="정상",-1,ABS(K61)+ROW()/1000000))</f>
        <v/>
      </c>
      <c r="V61" s="55">
        <f>IF($A61="",0,K61+ROW()/1000000)</f>
        <v/>
      </c>
    </row>
    <row r="62">
      <c r="A62" s="12" t="n"/>
      <c r="B62" s="20">
        <f>IF($A62="","",IFERROR(INDEX(부서매핑!$D$5:$D$504,MATCH($A62,부서매핑!$C$5:$C$504,0)),"부서매핑 없음"))</f>
        <v/>
      </c>
      <c r="C62" s="12" t="n"/>
      <c r="D62" s="20">
        <f>IF($A62="","",IFERROR(INDEX(계정매핑!$D$5:$D$504,MATCH($C62,계정매핑!$C$5:$C$504,0)),"항목매핑 없음"))</f>
        <v/>
      </c>
      <c r="E62" s="19">
        <f>IF($A62="","",$A62&amp;"|"&amp;$C62)</f>
        <v/>
      </c>
      <c r="F62" s="28">
        <f>IF($A62="","",SUMIFS(예산_원본!$W$5:$W$3004,예산_원본!$T$5:$T$3004,$E62,예산_원본!$B$5:$B$3004,설정!$C$8,예산_원본!$U$5:$U$3004,설정!$C$6))</f>
        <v/>
      </c>
      <c r="G62" s="28">
        <f>IF($A62="","",SUMIFS(실적_원본!$N$5:$N$100000,실적_원본!$O$5:$O$100000,$E62,실적_원본!$L$5:$L$100000,설정!$C$6,실적_원본!$M$5:$M$100000,설정!$C$7))</f>
        <v/>
      </c>
      <c r="H62" s="44">
        <f>IF($A62="","",G62-F62)</f>
        <v/>
      </c>
      <c r="I62" s="28">
        <f>IF($A62="","",SUMIFS(예산_원본!$X$5:$X$3004,예산_원본!$T$5:$T$3004,$E62,예산_원본!$B$5:$B$3004,설정!$C$8,예산_원본!$U$5:$U$3004,설정!$C$6))</f>
        <v/>
      </c>
      <c r="J62" s="28">
        <f>IF($A62="","",SUMIFS(실적_원본!$N$5:$N$100000,실적_원본!$O$5:$O$100000,$E62,실적_원본!$L$5:$L$100000,설정!$C$6,실적_원본!$M$5:$M$100000,"&lt;="&amp;설정!$C$7))</f>
        <v/>
      </c>
      <c r="K62" s="44">
        <f>IF($A62="","",J62-I62)</f>
        <v/>
      </c>
      <c r="L62" s="45">
        <f>IF($A62="","",IF(I62=0,0,J62/I62))</f>
        <v/>
      </c>
      <c r="M62" s="28">
        <f>IF($A62="","",SUMIFS(예산_원본!$V$5:$V$3004,예산_원본!$T$5:$T$3004,$E62,예산_원본!$B$5:$B$3004,설정!$C$8,예산_원본!$U$5:$U$3004,설정!$C$6))</f>
        <v/>
      </c>
      <c r="N62" s="44">
        <f>IF($A62="","",M62-J62)</f>
        <v/>
      </c>
      <c r="O62" s="45">
        <f>IF($A62="","",IF(M62=0,0,J62/M62))</f>
        <v/>
      </c>
      <c r="P62" s="28">
        <f>IF($A62="","",SUMIFS(실적_원본!$N$5:$N$100000,실적_원본!$O$5:$O$100000,$E62,실적_원본!$L$5:$L$100000,설정!$C$6-1,실적_원본!$M$5:$M$100000,"&lt;="&amp;설정!$C$7))</f>
        <v/>
      </c>
      <c r="Q62" s="44">
        <f>IF($A62="","",J62-P62)</f>
        <v/>
      </c>
      <c r="R62" s="45">
        <f>IF($A62="","",IF(P62=0,0,J62/P62-1))</f>
        <v/>
      </c>
      <c r="S62" s="40">
        <f>IF($A62="","",IF(AND(I62=0,J62&lt;&gt;0),"무예산집행",IF(ABS(K62)&lt;설정!$C$13,"정상",IF(L62&gt;1+설정!$C$12,"초과",IF(L62&lt;1-설정!$C$12,"과소","정상")))))</f>
        <v/>
      </c>
      <c r="T62" s="20">
        <f>IF($A62="","",IFERROR(INDEX(코멘트!$E$5:$E$2004,MATCH(설정!$C$6&amp;"|"&amp;설정!$C$7&amp;"|"&amp;$E62,코멘트!$H$5:$H$2004,0)),""))</f>
        <v/>
      </c>
      <c r="U62" s="55">
        <f>IF($A62="","",IF(S62="정상",-1,ABS(K62)+ROW()/1000000))</f>
        <v/>
      </c>
      <c r="V62" s="55">
        <f>IF($A62="",0,K62+ROW()/1000000)</f>
        <v/>
      </c>
    </row>
    <row r="63">
      <c r="A63" s="12" t="n"/>
      <c r="B63" s="20">
        <f>IF($A63="","",IFERROR(INDEX(부서매핑!$D$5:$D$504,MATCH($A63,부서매핑!$C$5:$C$504,0)),"부서매핑 없음"))</f>
        <v/>
      </c>
      <c r="C63" s="12" t="n"/>
      <c r="D63" s="20">
        <f>IF($A63="","",IFERROR(INDEX(계정매핑!$D$5:$D$504,MATCH($C63,계정매핑!$C$5:$C$504,0)),"항목매핑 없음"))</f>
        <v/>
      </c>
      <c r="E63" s="19">
        <f>IF($A63="","",$A63&amp;"|"&amp;$C63)</f>
        <v/>
      </c>
      <c r="F63" s="28">
        <f>IF($A63="","",SUMIFS(예산_원본!$W$5:$W$3004,예산_원본!$T$5:$T$3004,$E63,예산_원본!$B$5:$B$3004,설정!$C$8,예산_원본!$U$5:$U$3004,설정!$C$6))</f>
        <v/>
      </c>
      <c r="G63" s="28">
        <f>IF($A63="","",SUMIFS(실적_원본!$N$5:$N$100000,실적_원본!$O$5:$O$100000,$E63,실적_원본!$L$5:$L$100000,설정!$C$6,실적_원본!$M$5:$M$100000,설정!$C$7))</f>
        <v/>
      </c>
      <c r="H63" s="44">
        <f>IF($A63="","",G63-F63)</f>
        <v/>
      </c>
      <c r="I63" s="28">
        <f>IF($A63="","",SUMIFS(예산_원본!$X$5:$X$3004,예산_원본!$T$5:$T$3004,$E63,예산_원본!$B$5:$B$3004,설정!$C$8,예산_원본!$U$5:$U$3004,설정!$C$6))</f>
        <v/>
      </c>
      <c r="J63" s="28">
        <f>IF($A63="","",SUMIFS(실적_원본!$N$5:$N$100000,실적_원본!$O$5:$O$100000,$E63,실적_원본!$L$5:$L$100000,설정!$C$6,실적_원본!$M$5:$M$100000,"&lt;="&amp;설정!$C$7))</f>
        <v/>
      </c>
      <c r="K63" s="44">
        <f>IF($A63="","",J63-I63)</f>
        <v/>
      </c>
      <c r="L63" s="45">
        <f>IF($A63="","",IF(I63=0,0,J63/I63))</f>
        <v/>
      </c>
      <c r="M63" s="28">
        <f>IF($A63="","",SUMIFS(예산_원본!$V$5:$V$3004,예산_원본!$T$5:$T$3004,$E63,예산_원본!$B$5:$B$3004,설정!$C$8,예산_원본!$U$5:$U$3004,설정!$C$6))</f>
        <v/>
      </c>
      <c r="N63" s="44">
        <f>IF($A63="","",M63-J63)</f>
        <v/>
      </c>
      <c r="O63" s="45">
        <f>IF($A63="","",IF(M63=0,0,J63/M63))</f>
        <v/>
      </c>
      <c r="P63" s="28">
        <f>IF($A63="","",SUMIFS(실적_원본!$N$5:$N$100000,실적_원본!$O$5:$O$100000,$E63,실적_원본!$L$5:$L$100000,설정!$C$6-1,실적_원본!$M$5:$M$100000,"&lt;="&amp;설정!$C$7))</f>
        <v/>
      </c>
      <c r="Q63" s="44">
        <f>IF($A63="","",J63-P63)</f>
        <v/>
      </c>
      <c r="R63" s="45">
        <f>IF($A63="","",IF(P63=0,0,J63/P63-1))</f>
        <v/>
      </c>
      <c r="S63" s="40">
        <f>IF($A63="","",IF(AND(I63=0,J63&lt;&gt;0),"무예산집행",IF(ABS(K63)&lt;설정!$C$13,"정상",IF(L63&gt;1+설정!$C$12,"초과",IF(L63&lt;1-설정!$C$12,"과소","정상")))))</f>
        <v/>
      </c>
      <c r="T63" s="20">
        <f>IF($A63="","",IFERROR(INDEX(코멘트!$E$5:$E$2004,MATCH(설정!$C$6&amp;"|"&amp;설정!$C$7&amp;"|"&amp;$E63,코멘트!$H$5:$H$2004,0)),""))</f>
        <v/>
      </c>
      <c r="U63" s="55">
        <f>IF($A63="","",IF(S63="정상",-1,ABS(K63)+ROW()/1000000))</f>
        <v/>
      </c>
      <c r="V63" s="55">
        <f>IF($A63="",0,K63+ROW()/1000000)</f>
        <v/>
      </c>
    </row>
    <row r="64">
      <c r="A64" s="12" t="n"/>
      <c r="B64" s="20">
        <f>IF($A64="","",IFERROR(INDEX(부서매핑!$D$5:$D$504,MATCH($A64,부서매핑!$C$5:$C$504,0)),"부서매핑 없음"))</f>
        <v/>
      </c>
      <c r="C64" s="12" t="n"/>
      <c r="D64" s="20">
        <f>IF($A64="","",IFERROR(INDEX(계정매핑!$D$5:$D$504,MATCH($C64,계정매핑!$C$5:$C$504,0)),"항목매핑 없음"))</f>
        <v/>
      </c>
      <c r="E64" s="19">
        <f>IF($A64="","",$A64&amp;"|"&amp;$C64)</f>
        <v/>
      </c>
      <c r="F64" s="28">
        <f>IF($A64="","",SUMIFS(예산_원본!$W$5:$W$3004,예산_원본!$T$5:$T$3004,$E64,예산_원본!$B$5:$B$3004,설정!$C$8,예산_원본!$U$5:$U$3004,설정!$C$6))</f>
        <v/>
      </c>
      <c r="G64" s="28">
        <f>IF($A64="","",SUMIFS(실적_원본!$N$5:$N$100000,실적_원본!$O$5:$O$100000,$E64,실적_원본!$L$5:$L$100000,설정!$C$6,실적_원본!$M$5:$M$100000,설정!$C$7))</f>
        <v/>
      </c>
      <c r="H64" s="44">
        <f>IF($A64="","",G64-F64)</f>
        <v/>
      </c>
      <c r="I64" s="28">
        <f>IF($A64="","",SUMIFS(예산_원본!$X$5:$X$3004,예산_원본!$T$5:$T$3004,$E64,예산_원본!$B$5:$B$3004,설정!$C$8,예산_원본!$U$5:$U$3004,설정!$C$6))</f>
        <v/>
      </c>
      <c r="J64" s="28">
        <f>IF($A64="","",SUMIFS(실적_원본!$N$5:$N$100000,실적_원본!$O$5:$O$100000,$E64,실적_원본!$L$5:$L$100000,설정!$C$6,실적_원본!$M$5:$M$100000,"&lt;="&amp;설정!$C$7))</f>
        <v/>
      </c>
      <c r="K64" s="44">
        <f>IF($A64="","",J64-I64)</f>
        <v/>
      </c>
      <c r="L64" s="45">
        <f>IF($A64="","",IF(I64=0,0,J64/I64))</f>
        <v/>
      </c>
      <c r="M64" s="28">
        <f>IF($A64="","",SUMIFS(예산_원본!$V$5:$V$3004,예산_원본!$T$5:$T$3004,$E64,예산_원본!$B$5:$B$3004,설정!$C$8,예산_원본!$U$5:$U$3004,설정!$C$6))</f>
        <v/>
      </c>
      <c r="N64" s="44">
        <f>IF($A64="","",M64-J64)</f>
        <v/>
      </c>
      <c r="O64" s="45">
        <f>IF($A64="","",IF(M64=0,0,J64/M64))</f>
        <v/>
      </c>
      <c r="P64" s="28">
        <f>IF($A64="","",SUMIFS(실적_원본!$N$5:$N$100000,실적_원본!$O$5:$O$100000,$E64,실적_원본!$L$5:$L$100000,설정!$C$6-1,실적_원본!$M$5:$M$100000,"&lt;="&amp;설정!$C$7))</f>
        <v/>
      </c>
      <c r="Q64" s="44">
        <f>IF($A64="","",J64-P64)</f>
        <v/>
      </c>
      <c r="R64" s="45">
        <f>IF($A64="","",IF(P64=0,0,J64/P64-1))</f>
        <v/>
      </c>
      <c r="S64" s="40">
        <f>IF($A64="","",IF(AND(I64=0,J64&lt;&gt;0),"무예산집행",IF(ABS(K64)&lt;설정!$C$13,"정상",IF(L64&gt;1+설정!$C$12,"초과",IF(L64&lt;1-설정!$C$12,"과소","정상")))))</f>
        <v/>
      </c>
      <c r="T64" s="20">
        <f>IF($A64="","",IFERROR(INDEX(코멘트!$E$5:$E$2004,MATCH(설정!$C$6&amp;"|"&amp;설정!$C$7&amp;"|"&amp;$E64,코멘트!$H$5:$H$2004,0)),""))</f>
        <v/>
      </c>
      <c r="U64" s="55">
        <f>IF($A64="","",IF(S64="정상",-1,ABS(K64)+ROW()/1000000))</f>
        <v/>
      </c>
      <c r="V64" s="55">
        <f>IF($A64="",0,K64+ROW()/1000000)</f>
        <v/>
      </c>
    </row>
    <row r="65">
      <c r="A65" s="12" t="n"/>
      <c r="B65" s="20">
        <f>IF($A65="","",IFERROR(INDEX(부서매핑!$D$5:$D$504,MATCH($A65,부서매핑!$C$5:$C$504,0)),"부서매핑 없음"))</f>
        <v/>
      </c>
      <c r="C65" s="12" t="n"/>
      <c r="D65" s="20">
        <f>IF($A65="","",IFERROR(INDEX(계정매핑!$D$5:$D$504,MATCH($C65,계정매핑!$C$5:$C$504,0)),"항목매핑 없음"))</f>
        <v/>
      </c>
      <c r="E65" s="19">
        <f>IF($A65="","",$A65&amp;"|"&amp;$C65)</f>
        <v/>
      </c>
      <c r="F65" s="28">
        <f>IF($A65="","",SUMIFS(예산_원본!$W$5:$W$3004,예산_원본!$T$5:$T$3004,$E65,예산_원본!$B$5:$B$3004,설정!$C$8,예산_원본!$U$5:$U$3004,설정!$C$6))</f>
        <v/>
      </c>
      <c r="G65" s="28">
        <f>IF($A65="","",SUMIFS(실적_원본!$N$5:$N$100000,실적_원본!$O$5:$O$100000,$E65,실적_원본!$L$5:$L$100000,설정!$C$6,실적_원본!$M$5:$M$100000,설정!$C$7))</f>
        <v/>
      </c>
      <c r="H65" s="44">
        <f>IF($A65="","",G65-F65)</f>
        <v/>
      </c>
      <c r="I65" s="28">
        <f>IF($A65="","",SUMIFS(예산_원본!$X$5:$X$3004,예산_원본!$T$5:$T$3004,$E65,예산_원본!$B$5:$B$3004,설정!$C$8,예산_원본!$U$5:$U$3004,설정!$C$6))</f>
        <v/>
      </c>
      <c r="J65" s="28">
        <f>IF($A65="","",SUMIFS(실적_원본!$N$5:$N$100000,실적_원본!$O$5:$O$100000,$E65,실적_원본!$L$5:$L$100000,설정!$C$6,실적_원본!$M$5:$M$100000,"&lt;="&amp;설정!$C$7))</f>
        <v/>
      </c>
      <c r="K65" s="44">
        <f>IF($A65="","",J65-I65)</f>
        <v/>
      </c>
      <c r="L65" s="45">
        <f>IF($A65="","",IF(I65=0,0,J65/I65))</f>
        <v/>
      </c>
      <c r="M65" s="28">
        <f>IF($A65="","",SUMIFS(예산_원본!$V$5:$V$3004,예산_원본!$T$5:$T$3004,$E65,예산_원본!$B$5:$B$3004,설정!$C$8,예산_원본!$U$5:$U$3004,설정!$C$6))</f>
        <v/>
      </c>
      <c r="N65" s="44">
        <f>IF($A65="","",M65-J65)</f>
        <v/>
      </c>
      <c r="O65" s="45">
        <f>IF($A65="","",IF(M65=0,0,J65/M65))</f>
        <v/>
      </c>
      <c r="P65" s="28">
        <f>IF($A65="","",SUMIFS(실적_원본!$N$5:$N$100000,실적_원본!$O$5:$O$100000,$E65,실적_원본!$L$5:$L$100000,설정!$C$6-1,실적_원본!$M$5:$M$100000,"&lt;="&amp;설정!$C$7))</f>
        <v/>
      </c>
      <c r="Q65" s="44">
        <f>IF($A65="","",J65-P65)</f>
        <v/>
      </c>
      <c r="R65" s="45">
        <f>IF($A65="","",IF(P65=0,0,J65/P65-1))</f>
        <v/>
      </c>
      <c r="S65" s="40">
        <f>IF($A65="","",IF(AND(I65=0,J65&lt;&gt;0),"무예산집행",IF(ABS(K65)&lt;설정!$C$13,"정상",IF(L65&gt;1+설정!$C$12,"초과",IF(L65&lt;1-설정!$C$12,"과소","정상")))))</f>
        <v/>
      </c>
      <c r="T65" s="20">
        <f>IF($A65="","",IFERROR(INDEX(코멘트!$E$5:$E$2004,MATCH(설정!$C$6&amp;"|"&amp;설정!$C$7&amp;"|"&amp;$E65,코멘트!$H$5:$H$2004,0)),""))</f>
        <v/>
      </c>
      <c r="U65" s="55">
        <f>IF($A65="","",IF(S65="정상",-1,ABS(K65)+ROW()/1000000))</f>
        <v/>
      </c>
      <c r="V65" s="55">
        <f>IF($A65="",0,K65+ROW()/1000000)</f>
        <v/>
      </c>
    </row>
    <row r="66">
      <c r="A66" s="12" t="n"/>
      <c r="B66" s="20">
        <f>IF($A66="","",IFERROR(INDEX(부서매핑!$D$5:$D$504,MATCH($A66,부서매핑!$C$5:$C$504,0)),"부서매핑 없음"))</f>
        <v/>
      </c>
      <c r="C66" s="12" t="n"/>
      <c r="D66" s="20">
        <f>IF($A66="","",IFERROR(INDEX(계정매핑!$D$5:$D$504,MATCH($C66,계정매핑!$C$5:$C$504,0)),"항목매핑 없음"))</f>
        <v/>
      </c>
      <c r="E66" s="19">
        <f>IF($A66="","",$A66&amp;"|"&amp;$C66)</f>
        <v/>
      </c>
      <c r="F66" s="28">
        <f>IF($A66="","",SUMIFS(예산_원본!$W$5:$W$3004,예산_원본!$T$5:$T$3004,$E66,예산_원본!$B$5:$B$3004,설정!$C$8,예산_원본!$U$5:$U$3004,설정!$C$6))</f>
        <v/>
      </c>
      <c r="G66" s="28">
        <f>IF($A66="","",SUMIFS(실적_원본!$N$5:$N$100000,실적_원본!$O$5:$O$100000,$E66,실적_원본!$L$5:$L$100000,설정!$C$6,실적_원본!$M$5:$M$100000,설정!$C$7))</f>
        <v/>
      </c>
      <c r="H66" s="44">
        <f>IF($A66="","",G66-F66)</f>
        <v/>
      </c>
      <c r="I66" s="28">
        <f>IF($A66="","",SUMIFS(예산_원본!$X$5:$X$3004,예산_원본!$T$5:$T$3004,$E66,예산_원본!$B$5:$B$3004,설정!$C$8,예산_원본!$U$5:$U$3004,설정!$C$6))</f>
        <v/>
      </c>
      <c r="J66" s="28">
        <f>IF($A66="","",SUMIFS(실적_원본!$N$5:$N$100000,실적_원본!$O$5:$O$100000,$E66,실적_원본!$L$5:$L$100000,설정!$C$6,실적_원본!$M$5:$M$100000,"&lt;="&amp;설정!$C$7))</f>
        <v/>
      </c>
      <c r="K66" s="44">
        <f>IF($A66="","",J66-I66)</f>
        <v/>
      </c>
      <c r="L66" s="45">
        <f>IF($A66="","",IF(I66=0,0,J66/I66))</f>
        <v/>
      </c>
      <c r="M66" s="28">
        <f>IF($A66="","",SUMIFS(예산_원본!$V$5:$V$3004,예산_원본!$T$5:$T$3004,$E66,예산_원본!$B$5:$B$3004,설정!$C$8,예산_원본!$U$5:$U$3004,설정!$C$6))</f>
        <v/>
      </c>
      <c r="N66" s="44">
        <f>IF($A66="","",M66-J66)</f>
        <v/>
      </c>
      <c r="O66" s="45">
        <f>IF($A66="","",IF(M66=0,0,J66/M66))</f>
        <v/>
      </c>
      <c r="P66" s="28">
        <f>IF($A66="","",SUMIFS(실적_원본!$N$5:$N$100000,실적_원본!$O$5:$O$100000,$E66,실적_원본!$L$5:$L$100000,설정!$C$6-1,실적_원본!$M$5:$M$100000,"&lt;="&amp;설정!$C$7))</f>
        <v/>
      </c>
      <c r="Q66" s="44">
        <f>IF($A66="","",J66-P66)</f>
        <v/>
      </c>
      <c r="R66" s="45">
        <f>IF($A66="","",IF(P66=0,0,J66/P66-1))</f>
        <v/>
      </c>
      <c r="S66" s="40">
        <f>IF($A66="","",IF(AND(I66=0,J66&lt;&gt;0),"무예산집행",IF(ABS(K66)&lt;설정!$C$13,"정상",IF(L66&gt;1+설정!$C$12,"초과",IF(L66&lt;1-설정!$C$12,"과소","정상")))))</f>
        <v/>
      </c>
      <c r="T66" s="20">
        <f>IF($A66="","",IFERROR(INDEX(코멘트!$E$5:$E$2004,MATCH(설정!$C$6&amp;"|"&amp;설정!$C$7&amp;"|"&amp;$E66,코멘트!$H$5:$H$2004,0)),""))</f>
        <v/>
      </c>
      <c r="U66" s="55">
        <f>IF($A66="","",IF(S66="정상",-1,ABS(K66)+ROW()/1000000))</f>
        <v/>
      </c>
      <c r="V66" s="55">
        <f>IF($A66="",0,K66+ROW()/1000000)</f>
        <v/>
      </c>
    </row>
    <row r="67">
      <c r="A67" s="12" t="n"/>
      <c r="B67" s="20">
        <f>IF($A67="","",IFERROR(INDEX(부서매핑!$D$5:$D$504,MATCH($A67,부서매핑!$C$5:$C$504,0)),"부서매핑 없음"))</f>
        <v/>
      </c>
      <c r="C67" s="12" t="n"/>
      <c r="D67" s="20">
        <f>IF($A67="","",IFERROR(INDEX(계정매핑!$D$5:$D$504,MATCH($C67,계정매핑!$C$5:$C$504,0)),"항목매핑 없음"))</f>
        <v/>
      </c>
      <c r="E67" s="19">
        <f>IF($A67="","",$A67&amp;"|"&amp;$C67)</f>
        <v/>
      </c>
      <c r="F67" s="28">
        <f>IF($A67="","",SUMIFS(예산_원본!$W$5:$W$3004,예산_원본!$T$5:$T$3004,$E67,예산_원본!$B$5:$B$3004,설정!$C$8,예산_원본!$U$5:$U$3004,설정!$C$6))</f>
        <v/>
      </c>
      <c r="G67" s="28">
        <f>IF($A67="","",SUMIFS(실적_원본!$N$5:$N$100000,실적_원본!$O$5:$O$100000,$E67,실적_원본!$L$5:$L$100000,설정!$C$6,실적_원본!$M$5:$M$100000,설정!$C$7))</f>
        <v/>
      </c>
      <c r="H67" s="44">
        <f>IF($A67="","",G67-F67)</f>
        <v/>
      </c>
      <c r="I67" s="28">
        <f>IF($A67="","",SUMIFS(예산_원본!$X$5:$X$3004,예산_원본!$T$5:$T$3004,$E67,예산_원본!$B$5:$B$3004,설정!$C$8,예산_원본!$U$5:$U$3004,설정!$C$6))</f>
        <v/>
      </c>
      <c r="J67" s="28">
        <f>IF($A67="","",SUMIFS(실적_원본!$N$5:$N$100000,실적_원본!$O$5:$O$100000,$E67,실적_원본!$L$5:$L$100000,설정!$C$6,실적_원본!$M$5:$M$100000,"&lt;="&amp;설정!$C$7))</f>
        <v/>
      </c>
      <c r="K67" s="44">
        <f>IF($A67="","",J67-I67)</f>
        <v/>
      </c>
      <c r="L67" s="45">
        <f>IF($A67="","",IF(I67=0,0,J67/I67))</f>
        <v/>
      </c>
      <c r="M67" s="28">
        <f>IF($A67="","",SUMIFS(예산_원본!$V$5:$V$3004,예산_원본!$T$5:$T$3004,$E67,예산_원본!$B$5:$B$3004,설정!$C$8,예산_원본!$U$5:$U$3004,설정!$C$6))</f>
        <v/>
      </c>
      <c r="N67" s="44">
        <f>IF($A67="","",M67-J67)</f>
        <v/>
      </c>
      <c r="O67" s="45">
        <f>IF($A67="","",IF(M67=0,0,J67/M67))</f>
        <v/>
      </c>
      <c r="P67" s="28">
        <f>IF($A67="","",SUMIFS(실적_원본!$N$5:$N$100000,실적_원본!$O$5:$O$100000,$E67,실적_원본!$L$5:$L$100000,설정!$C$6-1,실적_원본!$M$5:$M$100000,"&lt;="&amp;설정!$C$7))</f>
        <v/>
      </c>
      <c r="Q67" s="44">
        <f>IF($A67="","",J67-P67)</f>
        <v/>
      </c>
      <c r="R67" s="45">
        <f>IF($A67="","",IF(P67=0,0,J67/P67-1))</f>
        <v/>
      </c>
      <c r="S67" s="40">
        <f>IF($A67="","",IF(AND(I67=0,J67&lt;&gt;0),"무예산집행",IF(ABS(K67)&lt;설정!$C$13,"정상",IF(L67&gt;1+설정!$C$12,"초과",IF(L67&lt;1-설정!$C$12,"과소","정상")))))</f>
        <v/>
      </c>
      <c r="T67" s="20">
        <f>IF($A67="","",IFERROR(INDEX(코멘트!$E$5:$E$2004,MATCH(설정!$C$6&amp;"|"&amp;설정!$C$7&amp;"|"&amp;$E67,코멘트!$H$5:$H$2004,0)),""))</f>
        <v/>
      </c>
      <c r="U67" s="55">
        <f>IF($A67="","",IF(S67="정상",-1,ABS(K67)+ROW()/1000000))</f>
        <v/>
      </c>
      <c r="V67" s="55">
        <f>IF($A67="",0,K67+ROW()/1000000)</f>
        <v/>
      </c>
    </row>
    <row r="68">
      <c r="A68" s="12" t="n"/>
      <c r="B68" s="20">
        <f>IF($A68="","",IFERROR(INDEX(부서매핑!$D$5:$D$504,MATCH($A68,부서매핑!$C$5:$C$504,0)),"부서매핑 없음"))</f>
        <v/>
      </c>
      <c r="C68" s="12" t="n"/>
      <c r="D68" s="20">
        <f>IF($A68="","",IFERROR(INDEX(계정매핑!$D$5:$D$504,MATCH($C68,계정매핑!$C$5:$C$504,0)),"항목매핑 없음"))</f>
        <v/>
      </c>
      <c r="E68" s="19">
        <f>IF($A68="","",$A68&amp;"|"&amp;$C68)</f>
        <v/>
      </c>
      <c r="F68" s="28">
        <f>IF($A68="","",SUMIFS(예산_원본!$W$5:$W$3004,예산_원본!$T$5:$T$3004,$E68,예산_원본!$B$5:$B$3004,설정!$C$8,예산_원본!$U$5:$U$3004,설정!$C$6))</f>
        <v/>
      </c>
      <c r="G68" s="28">
        <f>IF($A68="","",SUMIFS(실적_원본!$N$5:$N$100000,실적_원본!$O$5:$O$100000,$E68,실적_원본!$L$5:$L$100000,설정!$C$6,실적_원본!$M$5:$M$100000,설정!$C$7))</f>
        <v/>
      </c>
      <c r="H68" s="44">
        <f>IF($A68="","",G68-F68)</f>
        <v/>
      </c>
      <c r="I68" s="28">
        <f>IF($A68="","",SUMIFS(예산_원본!$X$5:$X$3004,예산_원본!$T$5:$T$3004,$E68,예산_원본!$B$5:$B$3004,설정!$C$8,예산_원본!$U$5:$U$3004,설정!$C$6))</f>
        <v/>
      </c>
      <c r="J68" s="28">
        <f>IF($A68="","",SUMIFS(실적_원본!$N$5:$N$100000,실적_원본!$O$5:$O$100000,$E68,실적_원본!$L$5:$L$100000,설정!$C$6,실적_원본!$M$5:$M$100000,"&lt;="&amp;설정!$C$7))</f>
        <v/>
      </c>
      <c r="K68" s="44">
        <f>IF($A68="","",J68-I68)</f>
        <v/>
      </c>
      <c r="L68" s="45">
        <f>IF($A68="","",IF(I68=0,0,J68/I68))</f>
        <v/>
      </c>
      <c r="M68" s="28">
        <f>IF($A68="","",SUMIFS(예산_원본!$V$5:$V$3004,예산_원본!$T$5:$T$3004,$E68,예산_원본!$B$5:$B$3004,설정!$C$8,예산_원본!$U$5:$U$3004,설정!$C$6))</f>
        <v/>
      </c>
      <c r="N68" s="44">
        <f>IF($A68="","",M68-J68)</f>
        <v/>
      </c>
      <c r="O68" s="45">
        <f>IF($A68="","",IF(M68=0,0,J68/M68))</f>
        <v/>
      </c>
      <c r="P68" s="28">
        <f>IF($A68="","",SUMIFS(실적_원본!$N$5:$N$100000,실적_원본!$O$5:$O$100000,$E68,실적_원본!$L$5:$L$100000,설정!$C$6-1,실적_원본!$M$5:$M$100000,"&lt;="&amp;설정!$C$7))</f>
        <v/>
      </c>
      <c r="Q68" s="44">
        <f>IF($A68="","",J68-P68)</f>
        <v/>
      </c>
      <c r="R68" s="45">
        <f>IF($A68="","",IF(P68=0,0,J68/P68-1))</f>
        <v/>
      </c>
      <c r="S68" s="40">
        <f>IF($A68="","",IF(AND(I68=0,J68&lt;&gt;0),"무예산집행",IF(ABS(K68)&lt;설정!$C$13,"정상",IF(L68&gt;1+설정!$C$12,"초과",IF(L68&lt;1-설정!$C$12,"과소","정상")))))</f>
        <v/>
      </c>
      <c r="T68" s="20">
        <f>IF($A68="","",IFERROR(INDEX(코멘트!$E$5:$E$2004,MATCH(설정!$C$6&amp;"|"&amp;설정!$C$7&amp;"|"&amp;$E68,코멘트!$H$5:$H$2004,0)),""))</f>
        <v/>
      </c>
      <c r="U68" s="55">
        <f>IF($A68="","",IF(S68="정상",-1,ABS(K68)+ROW()/1000000))</f>
        <v/>
      </c>
      <c r="V68" s="55">
        <f>IF($A68="",0,K68+ROW()/1000000)</f>
        <v/>
      </c>
    </row>
    <row r="69">
      <c r="A69" s="12" t="n"/>
      <c r="B69" s="20">
        <f>IF($A69="","",IFERROR(INDEX(부서매핑!$D$5:$D$504,MATCH($A69,부서매핑!$C$5:$C$504,0)),"부서매핑 없음"))</f>
        <v/>
      </c>
      <c r="C69" s="12" t="n"/>
      <c r="D69" s="20">
        <f>IF($A69="","",IFERROR(INDEX(계정매핑!$D$5:$D$504,MATCH($C69,계정매핑!$C$5:$C$504,0)),"항목매핑 없음"))</f>
        <v/>
      </c>
      <c r="E69" s="19">
        <f>IF($A69="","",$A69&amp;"|"&amp;$C69)</f>
        <v/>
      </c>
      <c r="F69" s="28">
        <f>IF($A69="","",SUMIFS(예산_원본!$W$5:$W$3004,예산_원본!$T$5:$T$3004,$E69,예산_원본!$B$5:$B$3004,설정!$C$8,예산_원본!$U$5:$U$3004,설정!$C$6))</f>
        <v/>
      </c>
      <c r="G69" s="28">
        <f>IF($A69="","",SUMIFS(실적_원본!$N$5:$N$100000,실적_원본!$O$5:$O$100000,$E69,실적_원본!$L$5:$L$100000,설정!$C$6,실적_원본!$M$5:$M$100000,설정!$C$7))</f>
        <v/>
      </c>
      <c r="H69" s="44">
        <f>IF($A69="","",G69-F69)</f>
        <v/>
      </c>
      <c r="I69" s="28">
        <f>IF($A69="","",SUMIFS(예산_원본!$X$5:$X$3004,예산_원본!$T$5:$T$3004,$E69,예산_원본!$B$5:$B$3004,설정!$C$8,예산_원본!$U$5:$U$3004,설정!$C$6))</f>
        <v/>
      </c>
      <c r="J69" s="28">
        <f>IF($A69="","",SUMIFS(실적_원본!$N$5:$N$100000,실적_원본!$O$5:$O$100000,$E69,실적_원본!$L$5:$L$100000,설정!$C$6,실적_원본!$M$5:$M$100000,"&lt;="&amp;설정!$C$7))</f>
        <v/>
      </c>
      <c r="K69" s="44">
        <f>IF($A69="","",J69-I69)</f>
        <v/>
      </c>
      <c r="L69" s="45">
        <f>IF($A69="","",IF(I69=0,0,J69/I69))</f>
        <v/>
      </c>
      <c r="M69" s="28">
        <f>IF($A69="","",SUMIFS(예산_원본!$V$5:$V$3004,예산_원본!$T$5:$T$3004,$E69,예산_원본!$B$5:$B$3004,설정!$C$8,예산_원본!$U$5:$U$3004,설정!$C$6))</f>
        <v/>
      </c>
      <c r="N69" s="44">
        <f>IF($A69="","",M69-J69)</f>
        <v/>
      </c>
      <c r="O69" s="45">
        <f>IF($A69="","",IF(M69=0,0,J69/M69))</f>
        <v/>
      </c>
      <c r="P69" s="28">
        <f>IF($A69="","",SUMIFS(실적_원본!$N$5:$N$100000,실적_원본!$O$5:$O$100000,$E69,실적_원본!$L$5:$L$100000,설정!$C$6-1,실적_원본!$M$5:$M$100000,"&lt;="&amp;설정!$C$7))</f>
        <v/>
      </c>
      <c r="Q69" s="44">
        <f>IF($A69="","",J69-P69)</f>
        <v/>
      </c>
      <c r="R69" s="45">
        <f>IF($A69="","",IF(P69=0,0,J69/P69-1))</f>
        <v/>
      </c>
      <c r="S69" s="40">
        <f>IF($A69="","",IF(AND(I69=0,J69&lt;&gt;0),"무예산집행",IF(ABS(K69)&lt;설정!$C$13,"정상",IF(L69&gt;1+설정!$C$12,"초과",IF(L69&lt;1-설정!$C$12,"과소","정상")))))</f>
        <v/>
      </c>
      <c r="T69" s="20">
        <f>IF($A69="","",IFERROR(INDEX(코멘트!$E$5:$E$2004,MATCH(설정!$C$6&amp;"|"&amp;설정!$C$7&amp;"|"&amp;$E69,코멘트!$H$5:$H$2004,0)),""))</f>
        <v/>
      </c>
      <c r="U69" s="55">
        <f>IF($A69="","",IF(S69="정상",-1,ABS(K69)+ROW()/1000000))</f>
        <v/>
      </c>
      <c r="V69" s="55">
        <f>IF($A69="",0,K69+ROW()/1000000)</f>
        <v/>
      </c>
    </row>
    <row r="70">
      <c r="A70" s="12" t="n"/>
      <c r="B70" s="20">
        <f>IF($A70="","",IFERROR(INDEX(부서매핑!$D$5:$D$504,MATCH($A70,부서매핑!$C$5:$C$504,0)),"부서매핑 없음"))</f>
        <v/>
      </c>
      <c r="C70" s="12" t="n"/>
      <c r="D70" s="20">
        <f>IF($A70="","",IFERROR(INDEX(계정매핑!$D$5:$D$504,MATCH($C70,계정매핑!$C$5:$C$504,0)),"항목매핑 없음"))</f>
        <v/>
      </c>
      <c r="E70" s="19">
        <f>IF($A70="","",$A70&amp;"|"&amp;$C70)</f>
        <v/>
      </c>
      <c r="F70" s="28">
        <f>IF($A70="","",SUMIFS(예산_원본!$W$5:$W$3004,예산_원본!$T$5:$T$3004,$E70,예산_원본!$B$5:$B$3004,설정!$C$8,예산_원본!$U$5:$U$3004,설정!$C$6))</f>
        <v/>
      </c>
      <c r="G70" s="28">
        <f>IF($A70="","",SUMIFS(실적_원본!$N$5:$N$100000,실적_원본!$O$5:$O$100000,$E70,실적_원본!$L$5:$L$100000,설정!$C$6,실적_원본!$M$5:$M$100000,설정!$C$7))</f>
        <v/>
      </c>
      <c r="H70" s="44">
        <f>IF($A70="","",G70-F70)</f>
        <v/>
      </c>
      <c r="I70" s="28">
        <f>IF($A70="","",SUMIFS(예산_원본!$X$5:$X$3004,예산_원본!$T$5:$T$3004,$E70,예산_원본!$B$5:$B$3004,설정!$C$8,예산_원본!$U$5:$U$3004,설정!$C$6))</f>
        <v/>
      </c>
      <c r="J70" s="28">
        <f>IF($A70="","",SUMIFS(실적_원본!$N$5:$N$100000,실적_원본!$O$5:$O$100000,$E70,실적_원본!$L$5:$L$100000,설정!$C$6,실적_원본!$M$5:$M$100000,"&lt;="&amp;설정!$C$7))</f>
        <v/>
      </c>
      <c r="K70" s="44">
        <f>IF($A70="","",J70-I70)</f>
        <v/>
      </c>
      <c r="L70" s="45">
        <f>IF($A70="","",IF(I70=0,0,J70/I70))</f>
        <v/>
      </c>
      <c r="M70" s="28">
        <f>IF($A70="","",SUMIFS(예산_원본!$V$5:$V$3004,예산_원본!$T$5:$T$3004,$E70,예산_원본!$B$5:$B$3004,설정!$C$8,예산_원본!$U$5:$U$3004,설정!$C$6))</f>
        <v/>
      </c>
      <c r="N70" s="44">
        <f>IF($A70="","",M70-J70)</f>
        <v/>
      </c>
      <c r="O70" s="45">
        <f>IF($A70="","",IF(M70=0,0,J70/M70))</f>
        <v/>
      </c>
      <c r="P70" s="28">
        <f>IF($A70="","",SUMIFS(실적_원본!$N$5:$N$100000,실적_원본!$O$5:$O$100000,$E70,실적_원본!$L$5:$L$100000,설정!$C$6-1,실적_원본!$M$5:$M$100000,"&lt;="&amp;설정!$C$7))</f>
        <v/>
      </c>
      <c r="Q70" s="44">
        <f>IF($A70="","",J70-P70)</f>
        <v/>
      </c>
      <c r="R70" s="45">
        <f>IF($A70="","",IF(P70=0,0,J70/P70-1))</f>
        <v/>
      </c>
      <c r="S70" s="40">
        <f>IF($A70="","",IF(AND(I70=0,J70&lt;&gt;0),"무예산집행",IF(ABS(K70)&lt;설정!$C$13,"정상",IF(L70&gt;1+설정!$C$12,"초과",IF(L70&lt;1-설정!$C$12,"과소","정상")))))</f>
        <v/>
      </c>
      <c r="T70" s="20">
        <f>IF($A70="","",IFERROR(INDEX(코멘트!$E$5:$E$2004,MATCH(설정!$C$6&amp;"|"&amp;설정!$C$7&amp;"|"&amp;$E70,코멘트!$H$5:$H$2004,0)),""))</f>
        <v/>
      </c>
      <c r="U70" s="55">
        <f>IF($A70="","",IF(S70="정상",-1,ABS(K70)+ROW()/1000000))</f>
        <v/>
      </c>
      <c r="V70" s="55">
        <f>IF($A70="",0,K70+ROW()/1000000)</f>
        <v/>
      </c>
    </row>
    <row r="71">
      <c r="A71" s="12" t="n"/>
      <c r="B71" s="20">
        <f>IF($A71="","",IFERROR(INDEX(부서매핑!$D$5:$D$504,MATCH($A71,부서매핑!$C$5:$C$504,0)),"부서매핑 없음"))</f>
        <v/>
      </c>
      <c r="C71" s="12" t="n"/>
      <c r="D71" s="20">
        <f>IF($A71="","",IFERROR(INDEX(계정매핑!$D$5:$D$504,MATCH($C71,계정매핑!$C$5:$C$504,0)),"항목매핑 없음"))</f>
        <v/>
      </c>
      <c r="E71" s="19">
        <f>IF($A71="","",$A71&amp;"|"&amp;$C71)</f>
        <v/>
      </c>
      <c r="F71" s="28">
        <f>IF($A71="","",SUMIFS(예산_원본!$W$5:$W$3004,예산_원본!$T$5:$T$3004,$E71,예산_원본!$B$5:$B$3004,설정!$C$8,예산_원본!$U$5:$U$3004,설정!$C$6))</f>
        <v/>
      </c>
      <c r="G71" s="28">
        <f>IF($A71="","",SUMIFS(실적_원본!$N$5:$N$100000,실적_원본!$O$5:$O$100000,$E71,실적_원본!$L$5:$L$100000,설정!$C$6,실적_원본!$M$5:$M$100000,설정!$C$7))</f>
        <v/>
      </c>
      <c r="H71" s="44">
        <f>IF($A71="","",G71-F71)</f>
        <v/>
      </c>
      <c r="I71" s="28">
        <f>IF($A71="","",SUMIFS(예산_원본!$X$5:$X$3004,예산_원본!$T$5:$T$3004,$E71,예산_원본!$B$5:$B$3004,설정!$C$8,예산_원본!$U$5:$U$3004,설정!$C$6))</f>
        <v/>
      </c>
      <c r="J71" s="28">
        <f>IF($A71="","",SUMIFS(실적_원본!$N$5:$N$100000,실적_원본!$O$5:$O$100000,$E71,실적_원본!$L$5:$L$100000,설정!$C$6,실적_원본!$M$5:$M$100000,"&lt;="&amp;설정!$C$7))</f>
        <v/>
      </c>
      <c r="K71" s="44">
        <f>IF($A71="","",J71-I71)</f>
        <v/>
      </c>
      <c r="L71" s="45">
        <f>IF($A71="","",IF(I71=0,0,J71/I71))</f>
        <v/>
      </c>
      <c r="M71" s="28">
        <f>IF($A71="","",SUMIFS(예산_원본!$V$5:$V$3004,예산_원본!$T$5:$T$3004,$E71,예산_원본!$B$5:$B$3004,설정!$C$8,예산_원본!$U$5:$U$3004,설정!$C$6))</f>
        <v/>
      </c>
      <c r="N71" s="44">
        <f>IF($A71="","",M71-J71)</f>
        <v/>
      </c>
      <c r="O71" s="45">
        <f>IF($A71="","",IF(M71=0,0,J71/M71))</f>
        <v/>
      </c>
      <c r="P71" s="28">
        <f>IF($A71="","",SUMIFS(실적_원본!$N$5:$N$100000,실적_원본!$O$5:$O$100000,$E71,실적_원본!$L$5:$L$100000,설정!$C$6-1,실적_원본!$M$5:$M$100000,"&lt;="&amp;설정!$C$7))</f>
        <v/>
      </c>
      <c r="Q71" s="44">
        <f>IF($A71="","",J71-P71)</f>
        <v/>
      </c>
      <c r="R71" s="45">
        <f>IF($A71="","",IF(P71=0,0,J71/P71-1))</f>
        <v/>
      </c>
      <c r="S71" s="40">
        <f>IF($A71="","",IF(AND(I71=0,J71&lt;&gt;0),"무예산집행",IF(ABS(K71)&lt;설정!$C$13,"정상",IF(L71&gt;1+설정!$C$12,"초과",IF(L71&lt;1-설정!$C$12,"과소","정상")))))</f>
        <v/>
      </c>
      <c r="T71" s="20">
        <f>IF($A71="","",IFERROR(INDEX(코멘트!$E$5:$E$2004,MATCH(설정!$C$6&amp;"|"&amp;설정!$C$7&amp;"|"&amp;$E71,코멘트!$H$5:$H$2004,0)),""))</f>
        <v/>
      </c>
      <c r="U71" s="55">
        <f>IF($A71="","",IF(S71="정상",-1,ABS(K71)+ROW()/1000000))</f>
        <v/>
      </c>
      <c r="V71" s="55">
        <f>IF($A71="",0,K71+ROW()/1000000)</f>
        <v/>
      </c>
    </row>
    <row r="72">
      <c r="A72" s="12" t="n"/>
      <c r="B72" s="20">
        <f>IF($A72="","",IFERROR(INDEX(부서매핑!$D$5:$D$504,MATCH($A72,부서매핑!$C$5:$C$504,0)),"부서매핑 없음"))</f>
        <v/>
      </c>
      <c r="C72" s="12" t="n"/>
      <c r="D72" s="20">
        <f>IF($A72="","",IFERROR(INDEX(계정매핑!$D$5:$D$504,MATCH($C72,계정매핑!$C$5:$C$504,0)),"항목매핑 없음"))</f>
        <v/>
      </c>
      <c r="E72" s="19">
        <f>IF($A72="","",$A72&amp;"|"&amp;$C72)</f>
        <v/>
      </c>
      <c r="F72" s="28">
        <f>IF($A72="","",SUMIFS(예산_원본!$W$5:$W$3004,예산_원본!$T$5:$T$3004,$E72,예산_원본!$B$5:$B$3004,설정!$C$8,예산_원본!$U$5:$U$3004,설정!$C$6))</f>
        <v/>
      </c>
      <c r="G72" s="28">
        <f>IF($A72="","",SUMIFS(실적_원본!$N$5:$N$100000,실적_원본!$O$5:$O$100000,$E72,실적_원본!$L$5:$L$100000,설정!$C$6,실적_원본!$M$5:$M$100000,설정!$C$7))</f>
        <v/>
      </c>
      <c r="H72" s="44">
        <f>IF($A72="","",G72-F72)</f>
        <v/>
      </c>
      <c r="I72" s="28">
        <f>IF($A72="","",SUMIFS(예산_원본!$X$5:$X$3004,예산_원본!$T$5:$T$3004,$E72,예산_원본!$B$5:$B$3004,설정!$C$8,예산_원본!$U$5:$U$3004,설정!$C$6))</f>
        <v/>
      </c>
      <c r="J72" s="28">
        <f>IF($A72="","",SUMIFS(실적_원본!$N$5:$N$100000,실적_원본!$O$5:$O$100000,$E72,실적_원본!$L$5:$L$100000,설정!$C$6,실적_원본!$M$5:$M$100000,"&lt;="&amp;설정!$C$7))</f>
        <v/>
      </c>
      <c r="K72" s="44">
        <f>IF($A72="","",J72-I72)</f>
        <v/>
      </c>
      <c r="L72" s="45">
        <f>IF($A72="","",IF(I72=0,0,J72/I72))</f>
        <v/>
      </c>
      <c r="M72" s="28">
        <f>IF($A72="","",SUMIFS(예산_원본!$V$5:$V$3004,예산_원본!$T$5:$T$3004,$E72,예산_원본!$B$5:$B$3004,설정!$C$8,예산_원본!$U$5:$U$3004,설정!$C$6))</f>
        <v/>
      </c>
      <c r="N72" s="44">
        <f>IF($A72="","",M72-J72)</f>
        <v/>
      </c>
      <c r="O72" s="45">
        <f>IF($A72="","",IF(M72=0,0,J72/M72))</f>
        <v/>
      </c>
      <c r="P72" s="28">
        <f>IF($A72="","",SUMIFS(실적_원본!$N$5:$N$100000,실적_원본!$O$5:$O$100000,$E72,실적_원본!$L$5:$L$100000,설정!$C$6-1,실적_원본!$M$5:$M$100000,"&lt;="&amp;설정!$C$7))</f>
        <v/>
      </c>
      <c r="Q72" s="44">
        <f>IF($A72="","",J72-P72)</f>
        <v/>
      </c>
      <c r="R72" s="45">
        <f>IF($A72="","",IF(P72=0,0,J72/P72-1))</f>
        <v/>
      </c>
      <c r="S72" s="40">
        <f>IF($A72="","",IF(AND(I72=0,J72&lt;&gt;0),"무예산집행",IF(ABS(K72)&lt;설정!$C$13,"정상",IF(L72&gt;1+설정!$C$12,"초과",IF(L72&lt;1-설정!$C$12,"과소","정상")))))</f>
        <v/>
      </c>
      <c r="T72" s="20">
        <f>IF($A72="","",IFERROR(INDEX(코멘트!$E$5:$E$2004,MATCH(설정!$C$6&amp;"|"&amp;설정!$C$7&amp;"|"&amp;$E72,코멘트!$H$5:$H$2004,0)),""))</f>
        <v/>
      </c>
      <c r="U72" s="55">
        <f>IF($A72="","",IF(S72="정상",-1,ABS(K72)+ROW()/1000000))</f>
        <v/>
      </c>
      <c r="V72" s="55">
        <f>IF($A72="",0,K72+ROW()/1000000)</f>
        <v/>
      </c>
    </row>
    <row r="73">
      <c r="A73" s="12" t="n"/>
      <c r="B73" s="20">
        <f>IF($A73="","",IFERROR(INDEX(부서매핑!$D$5:$D$504,MATCH($A73,부서매핑!$C$5:$C$504,0)),"부서매핑 없음"))</f>
        <v/>
      </c>
      <c r="C73" s="12" t="n"/>
      <c r="D73" s="20">
        <f>IF($A73="","",IFERROR(INDEX(계정매핑!$D$5:$D$504,MATCH($C73,계정매핑!$C$5:$C$504,0)),"항목매핑 없음"))</f>
        <v/>
      </c>
      <c r="E73" s="19">
        <f>IF($A73="","",$A73&amp;"|"&amp;$C73)</f>
        <v/>
      </c>
      <c r="F73" s="28">
        <f>IF($A73="","",SUMIFS(예산_원본!$W$5:$W$3004,예산_원본!$T$5:$T$3004,$E73,예산_원본!$B$5:$B$3004,설정!$C$8,예산_원본!$U$5:$U$3004,설정!$C$6))</f>
        <v/>
      </c>
      <c r="G73" s="28">
        <f>IF($A73="","",SUMIFS(실적_원본!$N$5:$N$100000,실적_원본!$O$5:$O$100000,$E73,실적_원본!$L$5:$L$100000,설정!$C$6,실적_원본!$M$5:$M$100000,설정!$C$7))</f>
        <v/>
      </c>
      <c r="H73" s="44">
        <f>IF($A73="","",G73-F73)</f>
        <v/>
      </c>
      <c r="I73" s="28">
        <f>IF($A73="","",SUMIFS(예산_원본!$X$5:$X$3004,예산_원본!$T$5:$T$3004,$E73,예산_원본!$B$5:$B$3004,설정!$C$8,예산_원본!$U$5:$U$3004,설정!$C$6))</f>
        <v/>
      </c>
      <c r="J73" s="28">
        <f>IF($A73="","",SUMIFS(실적_원본!$N$5:$N$100000,실적_원본!$O$5:$O$100000,$E73,실적_원본!$L$5:$L$100000,설정!$C$6,실적_원본!$M$5:$M$100000,"&lt;="&amp;설정!$C$7))</f>
        <v/>
      </c>
      <c r="K73" s="44">
        <f>IF($A73="","",J73-I73)</f>
        <v/>
      </c>
      <c r="L73" s="45">
        <f>IF($A73="","",IF(I73=0,0,J73/I73))</f>
        <v/>
      </c>
      <c r="M73" s="28">
        <f>IF($A73="","",SUMIFS(예산_원본!$V$5:$V$3004,예산_원본!$T$5:$T$3004,$E73,예산_원본!$B$5:$B$3004,설정!$C$8,예산_원본!$U$5:$U$3004,설정!$C$6))</f>
        <v/>
      </c>
      <c r="N73" s="44">
        <f>IF($A73="","",M73-J73)</f>
        <v/>
      </c>
      <c r="O73" s="45">
        <f>IF($A73="","",IF(M73=0,0,J73/M73))</f>
        <v/>
      </c>
      <c r="P73" s="28">
        <f>IF($A73="","",SUMIFS(실적_원본!$N$5:$N$100000,실적_원본!$O$5:$O$100000,$E73,실적_원본!$L$5:$L$100000,설정!$C$6-1,실적_원본!$M$5:$M$100000,"&lt;="&amp;설정!$C$7))</f>
        <v/>
      </c>
      <c r="Q73" s="44">
        <f>IF($A73="","",J73-P73)</f>
        <v/>
      </c>
      <c r="R73" s="45">
        <f>IF($A73="","",IF(P73=0,0,J73/P73-1))</f>
        <v/>
      </c>
      <c r="S73" s="40">
        <f>IF($A73="","",IF(AND(I73=0,J73&lt;&gt;0),"무예산집행",IF(ABS(K73)&lt;설정!$C$13,"정상",IF(L73&gt;1+설정!$C$12,"초과",IF(L73&lt;1-설정!$C$12,"과소","정상")))))</f>
        <v/>
      </c>
      <c r="T73" s="20">
        <f>IF($A73="","",IFERROR(INDEX(코멘트!$E$5:$E$2004,MATCH(설정!$C$6&amp;"|"&amp;설정!$C$7&amp;"|"&amp;$E73,코멘트!$H$5:$H$2004,0)),""))</f>
        <v/>
      </c>
      <c r="U73" s="55">
        <f>IF($A73="","",IF(S73="정상",-1,ABS(K73)+ROW()/1000000))</f>
        <v/>
      </c>
      <c r="V73" s="55">
        <f>IF($A73="",0,K73+ROW()/1000000)</f>
        <v/>
      </c>
    </row>
    <row r="74">
      <c r="A74" s="12" t="n"/>
      <c r="B74" s="20">
        <f>IF($A74="","",IFERROR(INDEX(부서매핑!$D$5:$D$504,MATCH($A74,부서매핑!$C$5:$C$504,0)),"부서매핑 없음"))</f>
        <v/>
      </c>
      <c r="C74" s="12" t="n"/>
      <c r="D74" s="20">
        <f>IF($A74="","",IFERROR(INDEX(계정매핑!$D$5:$D$504,MATCH($C74,계정매핑!$C$5:$C$504,0)),"항목매핑 없음"))</f>
        <v/>
      </c>
      <c r="E74" s="19">
        <f>IF($A74="","",$A74&amp;"|"&amp;$C74)</f>
        <v/>
      </c>
      <c r="F74" s="28">
        <f>IF($A74="","",SUMIFS(예산_원본!$W$5:$W$3004,예산_원본!$T$5:$T$3004,$E74,예산_원본!$B$5:$B$3004,설정!$C$8,예산_원본!$U$5:$U$3004,설정!$C$6))</f>
        <v/>
      </c>
      <c r="G74" s="28">
        <f>IF($A74="","",SUMIFS(실적_원본!$N$5:$N$100000,실적_원본!$O$5:$O$100000,$E74,실적_원본!$L$5:$L$100000,설정!$C$6,실적_원본!$M$5:$M$100000,설정!$C$7))</f>
        <v/>
      </c>
      <c r="H74" s="44">
        <f>IF($A74="","",G74-F74)</f>
        <v/>
      </c>
      <c r="I74" s="28">
        <f>IF($A74="","",SUMIFS(예산_원본!$X$5:$X$3004,예산_원본!$T$5:$T$3004,$E74,예산_원본!$B$5:$B$3004,설정!$C$8,예산_원본!$U$5:$U$3004,설정!$C$6))</f>
        <v/>
      </c>
      <c r="J74" s="28">
        <f>IF($A74="","",SUMIFS(실적_원본!$N$5:$N$100000,실적_원본!$O$5:$O$100000,$E74,실적_원본!$L$5:$L$100000,설정!$C$6,실적_원본!$M$5:$M$100000,"&lt;="&amp;설정!$C$7))</f>
        <v/>
      </c>
      <c r="K74" s="44">
        <f>IF($A74="","",J74-I74)</f>
        <v/>
      </c>
      <c r="L74" s="45">
        <f>IF($A74="","",IF(I74=0,0,J74/I74))</f>
        <v/>
      </c>
      <c r="M74" s="28">
        <f>IF($A74="","",SUMIFS(예산_원본!$V$5:$V$3004,예산_원본!$T$5:$T$3004,$E74,예산_원본!$B$5:$B$3004,설정!$C$8,예산_원본!$U$5:$U$3004,설정!$C$6))</f>
        <v/>
      </c>
      <c r="N74" s="44">
        <f>IF($A74="","",M74-J74)</f>
        <v/>
      </c>
      <c r="O74" s="45">
        <f>IF($A74="","",IF(M74=0,0,J74/M74))</f>
        <v/>
      </c>
      <c r="P74" s="28">
        <f>IF($A74="","",SUMIFS(실적_원본!$N$5:$N$100000,실적_원본!$O$5:$O$100000,$E74,실적_원본!$L$5:$L$100000,설정!$C$6-1,실적_원본!$M$5:$M$100000,"&lt;="&amp;설정!$C$7))</f>
        <v/>
      </c>
      <c r="Q74" s="44">
        <f>IF($A74="","",J74-P74)</f>
        <v/>
      </c>
      <c r="R74" s="45">
        <f>IF($A74="","",IF(P74=0,0,J74/P74-1))</f>
        <v/>
      </c>
      <c r="S74" s="40">
        <f>IF($A74="","",IF(AND(I74=0,J74&lt;&gt;0),"무예산집행",IF(ABS(K74)&lt;설정!$C$13,"정상",IF(L74&gt;1+설정!$C$12,"초과",IF(L74&lt;1-설정!$C$12,"과소","정상")))))</f>
        <v/>
      </c>
      <c r="T74" s="20">
        <f>IF($A74="","",IFERROR(INDEX(코멘트!$E$5:$E$2004,MATCH(설정!$C$6&amp;"|"&amp;설정!$C$7&amp;"|"&amp;$E74,코멘트!$H$5:$H$2004,0)),""))</f>
        <v/>
      </c>
      <c r="U74" s="55">
        <f>IF($A74="","",IF(S74="정상",-1,ABS(K74)+ROW()/1000000))</f>
        <v/>
      </c>
      <c r="V74" s="55">
        <f>IF($A74="",0,K74+ROW()/1000000)</f>
        <v/>
      </c>
    </row>
    <row r="75">
      <c r="A75" s="12" t="n"/>
      <c r="B75" s="20">
        <f>IF($A75="","",IFERROR(INDEX(부서매핑!$D$5:$D$504,MATCH($A75,부서매핑!$C$5:$C$504,0)),"부서매핑 없음"))</f>
        <v/>
      </c>
      <c r="C75" s="12" t="n"/>
      <c r="D75" s="20">
        <f>IF($A75="","",IFERROR(INDEX(계정매핑!$D$5:$D$504,MATCH($C75,계정매핑!$C$5:$C$504,0)),"항목매핑 없음"))</f>
        <v/>
      </c>
      <c r="E75" s="19">
        <f>IF($A75="","",$A75&amp;"|"&amp;$C75)</f>
        <v/>
      </c>
      <c r="F75" s="28">
        <f>IF($A75="","",SUMIFS(예산_원본!$W$5:$W$3004,예산_원본!$T$5:$T$3004,$E75,예산_원본!$B$5:$B$3004,설정!$C$8,예산_원본!$U$5:$U$3004,설정!$C$6))</f>
        <v/>
      </c>
      <c r="G75" s="28">
        <f>IF($A75="","",SUMIFS(실적_원본!$N$5:$N$100000,실적_원본!$O$5:$O$100000,$E75,실적_원본!$L$5:$L$100000,설정!$C$6,실적_원본!$M$5:$M$100000,설정!$C$7))</f>
        <v/>
      </c>
      <c r="H75" s="44">
        <f>IF($A75="","",G75-F75)</f>
        <v/>
      </c>
      <c r="I75" s="28">
        <f>IF($A75="","",SUMIFS(예산_원본!$X$5:$X$3004,예산_원본!$T$5:$T$3004,$E75,예산_원본!$B$5:$B$3004,설정!$C$8,예산_원본!$U$5:$U$3004,설정!$C$6))</f>
        <v/>
      </c>
      <c r="J75" s="28">
        <f>IF($A75="","",SUMIFS(실적_원본!$N$5:$N$100000,실적_원본!$O$5:$O$100000,$E75,실적_원본!$L$5:$L$100000,설정!$C$6,실적_원본!$M$5:$M$100000,"&lt;="&amp;설정!$C$7))</f>
        <v/>
      </c>
      <c r="K75" s="44">
        <f>IF($A75="","",J75-I75)</f>
        <v/>
      </c>
      <c r="L75" s="45">
        <f>IF($A75="","",IF(I75=0,0,J75/I75))</f>
        <v/>
      </c>
      <c r="M75" s="28">
        <f>IF($A75="","",SUMIFS(예산_원본!$V$5:$V$3004,예산_원본!$T$5:$T$3004,$E75,예산_원본!$B$5:$B$3004,설정!$C$8,예산_원본!$U$5:$U$3004,설정!$C$6))</f>
        <v/>
      </c>
      <c r="N75" s="44">
        <f>IF($A75="","",M75-J75)</f>
        <v/>
      </c>
      <c r="O75" s="45">
        <f>IF($A75="","",IF(M75=0,0,J75/M75))</f>
        <v/>
      </c>
      <c r="P75" s="28">
        <f>IF($A75="","",SUMIFS(실적_원본!$N$5:$N$100000,실적_원본!$O$5:$O$100000,$E75,실적_원본!$L$5:$L$100000,설정!$C$6-1,실적_원본!$M$5:$M$100000,"&lt;="&amp;설정!$C$7))</f>
        <v/>
      </c>
      <c r="Q75" s="44">
        <f>IF($A75="","",J75-P75)</f>
        <v/>
      </c>
      <c r="R75" s="45">
        <f>IF($A75="","",IF(P75=0,0,J75/P75-1))</f>
        <v/>
      </c>
      <c r="S75" s="40">
        <f>IF($A75="","",IF(AND(I75=0,J75&lt;&gt;0),"무예산집행",IF(ABS(K75)&lt;설정!$C$13,"정상",IF(L75&gt;1+설정!$C$12,"초과",IF(L75&lt;1-설정!$C$12,"과소","정상")))))</f>
        <v/>
      </c>
      <c r="T75" s="20">
        <f>IF($A75="","",IFERROR(INDEX(코멘트!$E$5:$E$2004,MATCH(설정!$C$6&amp;"|"&amp;설정!$C$7&amp;"|"&amp;$E75,코멘트!$H$5:$H$2004,0)),""))</f>
        <v/>
      </c>
      <c r="U75" s="55">
        <f>IF($A75="","",IF(S75="정상",-1,ABS(K75)+ROW()/1000000))</f>
        <v/>
      </c>
      <c r="V75" s="55">
        <f>IF($A75="",0,K75+ROW()/1000000)</f>
        <v/>
      </c>
    </row>
    <row r="76">
      <c r="A76" s="12" t="n"/>
      <c r="B76" s="20">
        <f>IF($A76="","",IFERROR(INDEX(부서매핑!$D$5:$D$504,MATCH($A76,부서매핑!$C$5:$C$504,0)),"부서매핑 없음"))</f>
        <v/>
      </c>
      <c r="C76" s="12" t="n"/>
      <c r="D76" s="20">
        <f>IF($A76="","",IFERROR(INDEX(계정매핑!$D$5:$D$504,MATCH($C76,계정매핑!$C$5:$C$504,0)),"항목매핑 없음"))</f>
        <v/>
      </c>
      <c r="E76" s="19">
        <f>IF($A76="","",$A76&amp;"|"&amp;$C76)</f>
        <v/>
      </c>
      <c r="F76" s="28">
        <f>IF($A76="","",SUMIFS(예산_원본!$W$5:$W$3004,예산_원본!$T$5:$T$3004,$E76,예산_원본!$B$5:$B$3004,설정!$C$8,예산_원본!$U$5:$U$3004,설정!$C$6))</f>
        <v/>
      </c>
      <c r="G76" s="28">
        <f>IF($A76="","",SUMIFS(실적_원본!$N$5:$N$100000,실적_원본!$O$5:$O$100000,$E76,실적_원본!$L$5:$L$100000,설정!$C$6,실적_원본!$M$5:$M$100000,설정!$C$7))</f>
        <v/>
      </c>
      <c r="H76" s="44">
        <f>IF($A76="","",G76-F76)</f>
        <v/>
      </c>
      <c r="I76" s="28">
        <f>IF($A76="","",SUMIFS(예산_원본!$X$5:$X$3004,예산_원본!$T$5:$T$3004,$E76,예산_원본!$B$5:$B$3004,설정!$C$8,예산_원본!$U$5:$U$3004,설정!$C$6))</f>
        <v/>
      </c>
      <c r="J76" s="28">
        <f>IF($A76="","",SUMIFS(실적_원본!$N$5:$N$100000,실적_원본!$O$5:$O$100000,$E76,실적_원본!$L$5:$L$100000,설정!$C$6,실적_원본!$M$5:$M$100000,"&lt;="&amp;설정!$C$7))</f>
        <v/>
      </c>
      <c r="K76" s="44">
        <f>IF($A76="","",J76-I76)</f>
        <v/>
      </c>
      <c r="L76" s="45">
        <f>IF($A76="","",IF(I76=0,0,J76/I76))</f>
        <v/>
      </c>
      <c r="M76" s="28">
        <f>IF($A76="","",SUMIFS(예산_원본!$V$5:$V$3004,예산_원본!$T$5:$T$3004,$E76,예산_원본!$B$5:$B$3004,설정!$C$8,예산_원본!$U$5:$U$3004,설정!$C$6))</f>
        <v/>
      </c>
      <c r="N76" s="44">
        <f>IF($A76="","",M76-J76)</f>
        <v/>
      </c>
      <c r="O76" s="45">
        <f>IF($A76="","",IF(M76=0,0,J76/M76))</f>
        <v/>
      </c>
      <c r="P76" s="28">
        <f>IF($A76="","",SUMIFS(실적_원본!$N$5:$N$100000,실적_원본!$O$5:$O$100000,$E76,실적_원본!$L$5:$L$100000,설정!$C$6-1,실적_원본!$M$5:$M$100000,"&lt;="&amp;설정!$C$7))</f>
        <v/>
      </c>
      <c r="Q76" s="44">
        <f>IF($A76="","",J76-P76)</f>
        <v/>
      </c>
      <c r="R76" s="45">
        <f>IF($A76="","",IF(P76=0,0,J76/P76-1))</f>
        <v/>
      </c>
      <c r="S76" s="40">
        <f>IF($A76="","",IF(AND(I76=0,J76&lt;&gt;0),"무예산집행",IF(ABS(K76)&lt;설정!$C$13,"정상",IF(L76&gt;1+설정!$C$12,"초과",IF(L76&lt;1-설정!$C$12,"과소","정상")))))</f>
        <v/>
      </c>
      <c r="T76" s="20">
        <f>IF($A76="","",IFERROR(INDEX(코멘트!$E$5:$E$2004,MATCH(설정!$C$6&amp;"|"&amp;설정!$C$7&amp;"|"&amp;$E76,코멘트!$H$5:$H$2004,0)),""))</f>
        <v/>
      </c>
      <c r="U76" s="55">
        <f>IF($A76="","",IF(S76="정상",-1,ABS(K76)+ROW()/1000000))</f>
        <v/>
      </c>
      <c r="V76" s="55">
        <f>IF($A76="",0,K76+ROW()/1000000)</f>
        <v/>
      </c>
    </row>
    <row r="77">
      <c r="A77" s="12" t="n"/>
      <c r="B77" s="20">
        <f>IF($A77="","",IFERROR(INDEX(부서매핑!$D$5:$D$504,MATCH($A77,부서매핑!$C$5:$C$504,0)),"부서매핑 없음"))</f>
        <v/>
      </c>
      <c r="C77" s="12" t="n"/>
      <c r="D77" s="20">
        <f>IF($A77="","",IFERROR(INDEX(계정매핑!$D$5:$D$504,MATCH($C77,계정매핑!$C$5:$C$504,0)),"항목매핑 없음"))</f>
        <v/>
      </c>
      <c r="E77" s="19">
        <f>IF($A77="","",$A77&amp;"|"&amp;$C77)</f>
        <v/>
      </c>
      <c r="F77" s="28">
        <f>IF($A77="","",SUMIFS(예산_원본!$W$5:$W$3004,예산_원본!$T$5:$T$3004,$E77,예산_원본!$B$5:$B$3004,설정!$C$8,예산_원본!$U$5:$U$3004,설정!$C$6))</f>
        <v/>
      </c>
      <c r="G77" s="28">
        <f>IF($A77="","",SUMIFS(실적_원본!$N$5:$N$100000,실적_원본!$O$5:$O$100000,$E77,실적_원본!$L$5:$L$100000,설정!$C$6,실적_원본!$M$5:$M$100000,설정!$C$7))</f>
        <v/>
      </c>
      <c r="H77" s="44">
        <f>IF($A77="","",G77-F77)</f>
        <v/>
      </c>
      <c r="I77" s="28">
        <f>IF($A77="","",SUMIFS(예산_원본!$X$5:$X$3004,예산_원본!$T$5:$T$3004,$E77,예산_원본!$B$5:$B$3004,설정!$C$8,예산_원본!$U$5:$U$3004,설정!$C$6))</f>
        <v/>
      </c>
      <c r="J77" s="28">
        <f>IF($A77="","",SUMIFS(실적_원본!$N$5:$N$100000,실적_원본!$O$5:$O$100000,$E77,실적_원본!$L$5:$L$100000,설정!$C$6,실적_원본!$M$5:$M$100000,"&lt;="&amp;설정!$C$7))</f>
        <v/>
      </c>
      <c r="K77" s="44">
        <f>IF($A77="","",J77-I77)</f>
        <v/>
      </c>
      <c r="L77" s="45">
        <f>IF($A77="","",IF(I77=0,0,J77/I77))</f>
        <v/>
      </c>
      <c r="M77" s="28">
        <f>IF($A77="","",SUMIFS(예산_원본!$V$5:$V$3004,예산_원본!$T$5:$T$3004,$E77,예산_원본!$B$5:$B$3004,설정!$C$8,예산_원본!$U$5:$U$3004,설정!$C$6))</f>
        <v/>
      </c>
      <c r="N77" s="44">
        <f>IF($A77="","",M77-J77)</f>
        <v/>
      </c>
      <c r="O77" s="45">
        <f>IF($A77="","",IF(M77=0,0,J77/M77))</f>
        <v/>
      </c>
      <c r="P77" s="28">
        <f>IF($A77="","",SUMIFS(실적_원본!$N$5:$N$100000,실적_원본!$O$5:$O$100000,$E77,실적_원본!$L$5:$L$100000,설정!$C$6-1,실적_원본!$M$5:$M$100000,"&lt;="&amp;설정!$C$7))</f>
        <v/>
      </c>
      <c r="Q77" s="44">
        <f>IF($A77="","",J77-P77)</f>
        <v/>
      </c>
      <c r="R77" s="45">
        <f>IF($A77="","",IF(P77=0,0,J77/P77-1))</f>
        <v/>
      </c>
      <c r="S77" s="40">
        <f>IF($A77="","",IF(AND(I77=0,J77&lt;&gt;0),"무예산집행",IF(ABS(K77)&lt;설정!$C$13,"정상",IF(L77&gt;1+설정!$C$12,"초과",IF(L77&lt;1-설정!$C$12,"과소","정상")))))</f>
        <v/>
      </c>
      <c r="T77" s="20">
        <f>IF($A77="","",IFERROR(INDEX(코멘트!$E$5:$E$2004,MATCH(설정!$C$6&amp;"|"&amp;설정!$C$7&amp;"|"&amp;$E77,코멘트!$H$5:$H$2004,0)),""))</f>
        <v/>
      </c>
      <c r="U77" s="55">
        <f>IF($A77="","",IF(S77="정상",-1,ABS(K77)+ROW()/1000000))</f>
        <v/>
      </c>
      <c r="V77" s="55">
        <f>IF($A77="",0,K77+ROW()/1000000)</f>
        <v/>
      </c>
    </row>
    <row r="78">
      <c r="A78" s="12" t="n"/>
      <c r="B78" s="20">
        <f>IF($A78="","",IFERROR(INDEX(부서매핑!$D$5:$D$504,MATCH($A78,부서매핑!$C$5:$C$504,0)),"부서매핑 없음"))</f>
        <v/>
      </c>
      <c r="C78" s="12" t="n"/>
      <c r="D78" s="20">
        <f>IF($A78="","",IFERROR(INDEX(계정매핑!$D$5:$D$504,MATCH($C78,계정매핑!$C$5:$C$504,0)),"항목매핑 없음"))</f>
        <v/>
      </c>
      <c r="E78" s="19">
        <f>IF($A78="","",$A78&amp;"|"&amp;$C78)</f>
        <v/>
      </c>
      <c r="F78" s="28">
        <f>IF($A78="","",SUMIFS(예산_원본!$W$5:$W$3004,예산_원본!$T$5:$T$3004,$E78,예산_원본!$B$5:$B$3004,설정!$C$8,예산_원본!$U$5:$U$3004,설정!$C$6))</f>
        <v/>
      </c>
      <c r="G78" s="28">
        <f>IF($A78="","",SUMIFS(실적_원본!$N$5:$N$100000,실적_원본!$O$5:$O$100000,$E78,실적_원본!$L$5:$L$100000,설정!$C$6,실적_원본!$M$5:$M$100000,설정!$C$7))</f>
        <v/>
      </c>
      <c r="H78" s="44">
        <f>IF($A78="","",G78-F78)</f>
        <v/>
      </c>
      <c r="I78" s="28">
        <f>IF($A78="","",SUMIFS(예산_원본!$X$5:$X$3004,예산_원본!$T$5:$T$3004,$E78,예산_원본!$B$5:$B$3004,설정!$C$8,예산_원본!$U$5:$U$3004,설정!$C$6))</f>
        <v/>
      </c>
      <c r="J78" s="28">
        <f>IF($A78="","",SUMIFS(실적_원본!$N$5:$N$100000,실적_원본!$O$5:$O$100000,$E78,실적_원본!$L$5:$L$100000,설정!$C$6,실적_원본!$M$5:$M$100000,"&lt;="&amp;설정!$C$7))</f>
        <v/>
      </c>
      <c r="K78" s="44">
        <f>IF($A78="","",J78-I78)</f>
        <v/>
      </c>
      <c r="L78" s="45">
        <f>IF($A78="","",IF(I78=0,0,J78/I78))</f>
        <v/>
      </c>
      <c r="M78" s="28">
        <f>IF($A78="","",SUMIFS(예산_원본!$V$5:$V$3004,예산_원본!$T$5:$T$3004,$E78,예산_원본!$B$5:$B$3004,설정!$C$8,예산_원본!$U$5:$U$3004,설정!$C$6))</f>
        <v/>
      </c>
      <c r="N78" s="44">
        <f>IF($A78="","",M78-J78)</f>
        <v/>
      </c>
      <c r="O78" s="45">
        <f>IF($A78="","",IF(M78=0,0,J78/M78))</f>
        <v/>
      </c>
      <c r="P78" s="28">
        <f>IF($A78="","",SUMIFS(실적_원본!$N$5:$N$100000,실적_원본!$O$5:$O$100000,$E78,실적_원본!$L$5:$L$100000,설정!$C$6-1,실적_원본!$M$5:$M$100000,"&lt;="&amp;설정!$C$7))</f>
        <v/>
      </c>
      <c r="Q78" s="44">
        <f>IF($A78="","",J78-P78)</f>
        <v/>
      </c>
      <c r="R78" s="45">
        <f>IF($A78="","",IF(P78=0,0,J78/P78-1))</f>
        <v/>
      </c>
      <c r="S78" s="40">
        <f>IF($A78="","",IF(AND(I78=0,J78&lt;&gt;0),"무예산집행",IF(ABS(K78)&lt;설정!$C$13,"정상",IF(L78&gt;1+설정!$C$12,"초과",IF(L78&lt;1-설정!$C$12,"과소","정상")))))</f>
        <v/>
      </c>
      <c r="T78" s="20">
        <f>IF($A78="","",IFERROR(INDEX(코멘트!$E$5:$E$2004,MATCH(설정!$C$6&amp;"|"&amp;설정!$C$7&amp;"|"&amp;$E78,코멘트!$H$5:$H$2004,0)),""))</f>
        <v/>
      </c>
      <c r="U78" s="55">
        <f>IF($A78="","",IF(S78="정상",-1,ABS(K78)+ROW()/1000000))</f>
        <v/>
      </c>
      <c r="V78" s="55">
        <f>IF($A78="",0,K78+ROW()/1000000)</f>
        <v/>
      </c>
    </row>
    <row r="79">
      <c r="A79" s="12" t="n"/>
      <c r="B79" s="20">
        <f>IF($A79="","",IFERROR(INDEX(부서매핑!$D$5:$D$504,MATCH($A79,부서매핑!$C$5:$C$504,0)),"부서매핑 없음"))</f>
        <v/>
      </c>
      <c r="C79" s="12" t="n"/>
      <c r="D79" s="20">
        <f>IF($A79="","",IFERROR(INDEX(계정매핑!$D$5:$D$504,MATCH($C79,계정매핑!$C$5:$C$504,0)),"항목매핑 없음"))</f>
        <v/>
      </c>
      <c r="E79" s="19">
        <f>IF($A79="","",$A79&amp;"|"&amp;$C79)</f>
        <v/>
      </c>
      <c r="F79" s="28">
        <f>IF($A79="","",SUMIFS(예산_원본!$W$5:$W$3004,예산_원본!$T$5:$T$3004,$E79,예산_원본!$B$5:$B$3004,설정!$C$8,예산_원본!$U$5:$U$3004,설정!$C$6))</f>
        <v/>
      </c>
      <c r="G79" s="28">
        <f>IF($A79="","",SUMIFS(실적_원본!$N$5:$N$100000,실적_원본!$O$5:$O$100000,$E79,실적_원본!$L$5:$L$100000,설정!$C$6,실적_원본!$M$5:$M$100000,설정!$C$7))</f>
        <v/>
      </c>
      <c r="H79" s="44">
        <f>IF($A79="","",G79-F79)</f>
        <v/>
      </c>
      <c r="I79" s="28">
        <f>IF($A79="","",SUMIFS(예산_원본!$X$5:$X$3004,예산_원본!$T$5:$T$3004,$E79,예산_원본!$B$5:$B$3004,설정!$C$8,예산_원본!$U$5:$U$3004,설정!$C$6))</f>
        <v/>
      </c>
      <c r="J79" s="28">
        <f>IF($A79="","",SUMIFS(실적_원본!$N$5:$N$100000,실적_원본!$O$5:$O$100000,$E79,실적_원본!$L$5:$L$100000,설정!$C$6,실적_원본!$M$5:$M$100000,"&lt;="&amp;설정!$C$7))</f>
        <v/>
      </c>
      <c r="K79" s="44">
        <f>IF($A79="","",J79-I79)</f>
        <v/>
      </c>
      <c r="L79" s="45">
        <f>IF($A79="","",IF(I79=0,0,J79/I79))</f>
        <v/>
      </c>
      <c r="M79" s="28">
        <f>IF($A79="","",SUMIFS(예산_원본!$V$5:$V$3004,예산_원본!$T$5:$T$3004,$E79,예산_원본!$B$5:$B$3004,설정!$C$8,예산_원본!$U$5:$U$3004,설정!$C$6))</f>
        <v/>
      </c>
      <c r="N79" s="44">
        <f>IF($A79="","",M79-J79)</f>
        <v/>
      </c>
      <c r="O79" s="45">
        <f>IF($A79="","",IF(M79=0,0,J79/M79))</f>
        <v/>
      </c>
      <c r="P79" s="28">
        <f>IF($A79="","",SUMIFS(실적_원본!$N$5:$N$100000,실적_원본!$O$5:$O$100000,$E79,실적_원본!$L$5:$L$100000,설정!$C$6-1,실적_원본!$M$5:$M$100000,"&lt;="&amp;설정!$C$7))</f>
        <v/>
      </c>
      <c r="Q79" s="44">
        <f>IF($A79="","",J79-P79)</f>
        <v/>
      </c>
      <c r="R79" s="45">
        <f>IF($A79="","",IF(P79=0,0,J79/P79-1))</f>
        <v/>
      </c>
      <c r="S79" s="40">
        <f>IF($A79="","",IF(AND(I79=0,J79&lt;&gt;0),"무예산집행",IF(ABS(K79)&lt;설정!$C$13,"정상",IF(L79&gt;1+설정!$C$12,"초과",IF(L79&lt;1-설정!$C$12,"과소","정상")))))</f>
        <v/>
      </c>
      <c r="T79" s="20">
        <f>IF($A79="","",IFERROR(INDEX(코멘트!$E$5:$E$2004,MATCH(설정!$C$6&amp;"|"&amp;설정!$C$7&amp;"|"&amp;$E79,코멘트!$H$5:$H$2004,0)),""))</f>
        <v/>
      </c>
      <c r="U79" s="55">
        <f>IF($A79="","",IF(S79="정상",-1,ABS(K79)+ROW()/1000000))</f>
        <v/>
      </c>
      <c r="V79" s="55">
        <f>IF($A79="",0,K79+ROW()/1000000)</f>
        <v/>
      </c>
    </row>
    <row r="80">
      <c r="A80" s="12" t="n"/>
      <c r="B80" s="20">
        <f>IF($A80="","",IFERROR(INDEX(부서매핑!$D$5:$D$504,MATCH($A80,부서매핑!$C$5:$C$504,0)),"부서매핑 없음"))</f>
        <v/>
      </c>
      <c r="C80" s="12" t="n"/>
      <c r="D80" s="20">
        <f>IF($A80="","",IFERROR(INDEX(계정매핑!$D$5:$D$504,MATCH($C80,계정매핑!$C$5:$C$504,0)),"항목매핑 없음"))</f>
        <v/>
      </c>
      <c r="E80" s="19">
        <f>IF($A80="","",$A80&amp;"|"&amp;$C80)</f>
        <v/>
      </c>
      <c r="F80" s="28">
        <f>IF($A80="","",SUMIFS(예산_원본!$W$5:$W$3004,예산_원본!$T$5:$T$3004,$E80,예산_원본!$B$5:$B$3004,설정!$C$8,예산_원본!$U$5:$U$3004,설정!$C$6))</f>
        <v/>
      </c>
      <c r="G80" s="28">
        <f>IF($A80="","",SUMIFS(실적_원본!$N$5:$N$100000,실적_원본!$O$5:$O$100000,$E80,실적_원본!$L$5:$L$100000,설정!$C$6,실적_원본!$M$5:$M$100000,설정!$C$7))</f>
        <v/>
      </c>
      <c r="H80" s="44">
        <f>IF($A80="","",G80-F80)</f>
        <v/>
      </c>
      <c r="I80" s="28">
        <f>IF($A80="","",SUMIFS(예산_원본!$X$5:$X$3004,예산_원본!$T$5:$T$3004,$E80,예산_원본!$B$5:$B$3004,설정!$C$8,예산_원본!$U$5:$U$3004,설정!$C$6))</f>
        <v/>
      </c>
      <c r="J80" s="28">
        <f>IF($A80="","",SUMIFS(실적_원본!$N$5:$N$100000,실적_원본!$O$5:$O$100000,$E80,실적_원본!$L$5:$L$100000,설정!$C$6,실적_원본!$M$5:$M$100000,"&lt;="&amp;설정!$C$7))</f>
        <v/>
      </c>
      <c r="K80" s="44">
        <f>IF($A80="","",J80-I80)</f>
        <v/>
      </c>
      <c r="L80" s="45">
        <f>IF($A80="","",IF(I80=0,0,J80/I80))</f>
        <v/>
      </c>
      <c r="M80" s="28">
        <f>IF($A80="","",SUMIFS(예산_원본!$V$5:$V$3004,예산_원본!$T$5:$T$3004,$E80,예산_원본!$B$5:$B$3004,설정!$C$8,예산_원본!$U$5:$U$3004,설정!$C$6))</f>
        <v/>
      </c>
      <c r="N80" s="44">
        <f>IF($A80="","",M80-J80)</f>
        <v/>
      </c>
      <c r="O80" s="45">
        <f>IF($A80="","",IF(M80=0,0,J80/M80))</f>
        <v/>
      </c>
      <c r="P80" s="28">
        <f>IF($A80="","",SUMIFS(실적_원본!$N$5:$N$100000,실적_원본!$O$5:$O$100000,$E80,실적_원본!$L$5:$L$100000,설정!$C$6-1,실적_원본!$M$5:$M$100000,"&lt;="&amp;설정!$C$7))</f>
        <v/>
      </c>
      <c r="Q80" s="44">
        <f>IF($A80="","",J80-P80)</f>
        <v/>
      </c>
      <c r="R80" s="45">
        <f>IF($A80="","",IF(P80=0,0,J80/P80-1))</f>
        <v/>
      </c>
      <c r="S80" s="40">
        <f>IF($A80="","",IF(AND(I80=0,J80&lt;&gt;0),"무예산집행",IF(ABS(K80)&lt;설정!$C$13,"정상",IF(L80&gt;1+설정!$C$12,"초과",IF(L80&lt;1-설정!$C$12,"과소","정상")))))</f>
        <v/>
      </c>
      <c r="T80" s="20">
        <f>IF($A80="","",IFERROR(INDEX(코멘트!$E$5:$E$2004,MATCH(설정!$C$6&amp;"|"&amp;설정!$C$7&amp;"|"&amp;$E80,코멘트!$H$5:$H$2004,0)),""))</f>
        <v/>
      </c>
      <c r="U80" s="55">
        <f>IF($A80="","",IF(S80="정상",-1,ABS(K80)+ROW()/1000000))</f>
        <v/>
      </c>
      <c r="V80" s="55">
        <f>IF($A80="",0,K80+ROW()/1000000)</f>
        <v/>
      </c>
    </row>
    <row r="81">
      <c r="A81" s="12" t="n"/>
      <c r="B81" s="20">
        <f>IF($A81="","",IFERROR(INDEX(부서매핑!$D$5:$D$504,MATCH($A81,부서매핑!$C$5:$C$504,0)),"부서매핑 없음"))</f>
        <v/>
      </c>
      <c r="C81" s="12" t="n"/>
      <c r="D81" s="20">
        <f>IF($A81="","",IFERROR(INDEX(계정매핑!$D$5:$D$504,MATCH($C81,계정매핑!$C$5:$C$504,0)),"항목매핑 없음"))</f>
        <v/>
      </c>
      <c r="E81" s="19">
        <f>IF($A81="","",$A81&amp;"|"&amp;$C81)</f>
        <v/>
      </c>
      <c r="F81" s="28">
        <f>IF($A81="","",SUMIFS(예산_원본!$W$5:$W$3004,예산_원본!$T$5:$T$3004,$E81,예산_원본!$B$5:$B$3004,설정!$C$8,예산_원본!$U$5:$U$3004,설정!$C$6))</f>
        <v/>
      </c>
      <c r="G81" s="28">
        <f>IF($A81="","",SUMIFS(실적_원본!$N$5:$N$100000,실적_원본!$O$5:$O$100000,$E81,실적_원본!$L$5:$L$100000,설정!$C$6,실적_원본!$M$5:$M$100000,설정!$C$7))</f>
        <v/>
      </c>
      <c r="H81" s="44">
        <f>IF($A81="","",G81-F81)</f>
        <v/>
      </c>
      <c r="I81" s="28">
        <f>IF($A81="","",SUMIFS(예산_원본!$X$5:$X$3004,예산_원본!$T$5:$T$3004,$E81,예산_원본!$B$5:$B$3004,설정!$C$8,예산_원본!$U$5:$U$3004,설정!$C$6))</f>
        <v/>
      </c>
      <c r="J81" s="28">
        <f>IF($A81="","",SUMIFS(실적_원본!$N$5:$N$100000,실적_원본!$O$5:$O$100000,$E81,실적_원본!$L$5:$L$100000,설정!$C$6,실적_원본!$M$5:$M$100000,"&lt;="&amp;설정!$C$7))</f>
        <v/>
      </c>
      <c r="K81" s="44">
        <f>IF($A81="","",J81-I81)</f>
        <v/>
      </c>
      <c r="L81" s="45">
        <f>IF($A81="","",IF(I81=0,0,J81/I81))</f>
        <v/>
      </c>
      <c r="M81" s="28">
        <f>IF($A81="","",SUMIFS(예산_원본!$V$5:$V$3004,예산_원본!$T$5:$T$3004,$E81,예산_원본!$B$5:$B$3004,설정!$C$8,예산_원본!$U$5:$U$3004,설정!$C$6))</f>
        <v/>
      </c>
      <c r="N81" s="44">
        <f>IF($A81="","",M81-J81)</f>
        <v/>
      </c>
      <c r="O81" s="45">
        <f>IF($A81="","",IF(M81=0,0,J81/M81))</f>
        <v/>
      </c>
      <c r="P81" s="28">
        <f>IF($A81="","",SUMIFS(실적_원본!$N$5:$N$100000,실적_원본!$O$5:$O$100000,$E81,실적_원본!$L$5:$L$100000,설정!$C$6-1,실적_원본!$M$5:$M$100000,"&lt;="&amp;설정!$C$7))</f>
        <v/>
      </c>
      <c r="Q81" s="44">
        <f>IF($A81="","",J81-P81)</f>
        <v/>
      </c>
      <c r="R81" s="45">
        <f>IF($A81="","",IF(P81=0,0,J81/P81-1))</f>
        <v/>
      </c>
      <c r="S81" s="40">
        <f>IF($A81="","",IF(AND(I81=0,J81&lt;&gt;0),"무예산집행",IF(ABS(K81)&lt;설정!$C$13,"정상",IF(L81&gt;1+설정!$C$12,"초과",IF(L81&lt;1-설정!$C$12,"과소","정상")))))</f>
        <v/>
      </c>
      <c r="T81" s="20">
        <f>IF($A81="","",IFERROR(INDEX(코멘트!$E$5:$E$2004,MATCH(설정!$C$6&amp;"|"&amp;설정!$C$7&amp;"|"&amp;$E81,코멘트!$H$5:$H$2004,0)),""))</f>
        <v/>
      </c>
      <c r="U81" s="55">
        <f>IF($A81="","",IF(S81="정상",-1,ABS(K81)+ROW()/1000000))</f>
        <v/>
      </c>
      <c r="V81" s="55">
        <f>IF($A81="",0,K81+ROW()/1000000)</f>
        <v/>
      </c>
    </row>
    <row r="82">
      <c r="A82" s="12" t="n"/>
      <c r="B82" s="20">
        <f>IF($A82="","",IFERROR(INDEX(부서매핑!$D$5:$D$504,MATCH($A82,부서매핑!$C$5:$C$504,0)),"부서매핑 없음"))</f>
        <v/>
      </c>
      <c r="C82" s="12" t="n"/>
      <c r="D82" s="20">
        <f>IF($A82="","",IFERROR(INDEX(계정매핑!$D$5:$D$504,MATCH($C82,계정매핑!$C$5:$C$504,0)),"항목매핑 없음"))</f>
        <v/>
      </c>
      <c r="E82" s="19">
        <f>IF($A82="","",$A82&amp;"|"&amp;$C82)</f>
        <v/>
      </c>
      <c r="F82" s="28">
        <f>IF($A82="","",SUMIFS(예산_원본!$W$5:$W$3004,예산_원본!$T$5:$T$3004,$E82,예산_원본!$B$5:$B$3004,설정!$C$8,예산_원본!$U$5:$U$3004,설정!$C$6))</f>
        <v/>
      </c>
      <c r="G82" s="28">
        <f>IF($A82="","",SUMIFS(실적_원본!$N$5:$N$100000,실적_원본!$O$5:$O$100000,$E82,실적_원본!$L$5:$L$100000,설정!$C$6,실적_원본!$M$5:$M$100000,설정!$C$7))</f>
        <v/>
      </c>
      <c r="H82" s="44">
        <f>IF($A82="","",G82-F82)</f>
        <v/>
      </c>
      <c r="I82" s="28">
        <f>IF($A82="","",SUMIFS(예산_원본!$X$5:$X$3004,예산_원본!$T$5:$T$3004,$E82,예산_원본!$B$5:$B$3004,설정!$C$8,예산_원본!$U$5:$U$3004,설정!$C$6))</f>
        <v/>
      </c>
      <c r="J82" s="28">
        <f>IF($A82="","",SUMIFS(실적_원본!$N$5:$N$100000,실적_원본!$O$5:$O$100000,$E82,실적_원본!$L$5:$L$100000,설정!$C$6,실적_원본!$M$5:$M$100000,"&lt;="&amp;설정!$C$7))</f>
        <v/>
      </c>
      <c r="K82" s="44">
        <f>IF($A82="","",J82-I82)</f>
        <v/>
      </c>
      <c r="L82" s="45">
        <f>IF($A82="","",IF(I82=0,0,J82/I82))</f>
        <v/>
      </c>
      <c r="M82" s="28">
        <f>IF($A82="","",SUMIFS(예산_원본!$V$5:$V$3004,예산_원본!$T$5:$T$3004,$E82,예산_원본!$B$5:$B$3004,설정!$C$8,예산_원본!$U$5:$U$3004,설정!$C$6))</f>
        <v/>
      </c>
      <c r="N82" s="44">
        <f>IF($A82="","",M82-J82)</f>
        <v/>
      </c>
      <c r="O82" s="45">
        <f>IF($A82="","",IF(M82=0,0,J82/M82))</f>
        <v/>
      </c>
      <c r="P82" s="28">
        <f>IF($A82="","",SUMIFS(실적_원본!$N$5:$N$100000,실적_원본!$O$5:$O$100000,$E82,실적_원본!$L$5:$L$100000,설정!$C$6-1,실적_원본!$M$5:$M$100000,"&lt;="&amp;설정!$C$7))</f>
        <v/>
      </c>
      <c r="Q82" s="44">
        <f>IF($A82="","",J82-P82)</f>
        <v/>
      </c>
      <c r="R82" s="45">
        <f>IF($A82="","",IF(P82=0,0,J82/P82-1))</f>
        <v/>
      </c>
      <c r="S82" s="40">
        <f>IF($A82="","",IF(AND(I82=0,J82&lt;&gt;0),"무예산집행",IF(ABS(K82)&lt;설정!$C$13,"정상",IF(L82&gt;1+설정!$C$12,"초과",IF(L82&lt;1-설정!$C$12,"과소","정상")))))</f>
        <v/>
      </c>
      <c r="T82" s="20">
        <f>IF($A82="","",IFERROR(INDEX(코멘트!$E$5:$E$2004,MATCH(설정!$C$6&amp;"|"&amp;설정!$C$7&amp;"|"&amp;$E82,코멘트!$H$5:$H$2004,0)),""))</f>
        <v/>
      </c>
      <c r="U82" s="55">
        <f>IF($A82="","",IF(S82="정상",-1,ABS(K82)+ROW()/1000000))</f>
        <v/>
      </c>
      <c r="V82" s="55">
        <f>IF($A82="",0,K82+ROW()/1000000)</f>
        <v/>
      </c>
    </row>
    <row r="83">
      <c r="A83" s="12" t="n"/>
      <c r="B83" s="20">
        <f>IF($A83="","",IFERROR(INDEX(부서매핑!$D$5:$D$504,MATCH($A83,부서매핑!$C$5:$C$504,0)),"부서매핑 없음"))</f>
        <v/>
      </c>
      <c r="C83" s="12" t="n"/>
      <c r="D83" s="20">
        <f>IF($A83="","",IFERROR(INDEX(계정매핑!$D$5:$D$504,MATCH($C83,계정매핑!$C$5:$C$504,0)),"항목매핑 없음"))</f>
        <v/>
      </c>
      <c r="E83" s="19">
        <f>IF($A83="","",$A83&amp;"|"&amp;$C83)</f>
        <v/>
      </c>
      <c r="F83" s="28">
        <f>IF($A83="","",SUMIFS(예산_원본!$W$5:$W$3004,예산_원본!$T$5:$T$3004,$E83,예산_원본!$B$5:$B$3004,설정!$C$8,예산_원본!$U$5:$U$3004,설정!$C$6))</f>
        <v/>
      </c>
      <c r="G83" s="28">
        <f>IF($A83="","",SUMIFS(실적_원본!$N$5:$N$100000,실적_원본!$O$5:$O$100000,$E83,실적_원본!$L$5:$L$100000,설정!$C$6,실적_원본!$M$5:$M$100000,설정!$C$7))</f>
        <v/>
      </c>
      <c r="H83" s="44">
        <f>IF($A83="","",G83-F83)</f>
        <v/>
      </c>
      <c r="I83" s="28">
        <f>IF($A83="","",SUMIFS(예산_원본!$X$5:$X$3004,예산_원본!$T$5:$T$3004,$E83,예산_원본!$B$5:$B$3004,설정!$C$8,예산_원본!$U$5:$U$3004,설정!$C$6))</f>
        <v/>
      </c>
      <c r="J83" s="28">
        <f>IF($A83="","",SUMIFS(실적_원본!$N$5:$N$100000,실적_원본!$O$5:$O$100000,$E83,실적_원본!$L$5:$L$100000,설정!$C$6,실적_원본!$M$5:$M$100000,"&lt;="&amp;설정!$C$7))</f>
        <v/>
      </c>
      <c r="K83" s="44">
        <f>IF($A83="","",J83-I83)</f>
        <v/>
      </c>
      <c r="L83" s="45">
        <f>IF($A83="","",IF(I83=0,0,J83/I83))</f>
        <v/>
      </c>
      <c r="M83" s="28">
        <f>IF($A83="","",SUMIFS(예산_원본!$V$5:$V$3004,예산_원본!$T$5:$T$3004,$E83,예산_원본!$B$5:$B$3004,설정!$C$8,예산_원본!$U$5:$U$3004,설정!$C$6))</f>
        <v/>
      </c>
      <c r="N83" s="44">
        <f>IF($A83="","",M83-J83)</f>
        <v/>
      </c>
      <c r="O83" s="45">
        <f>IF($A83="","",IF(M83=0,0,J83/M83))</f>
        <v/>
      </c>
      <c r="P83" s="28">
        <f>IF($A83="","",SUMIFS(실적_원본!$N$5:$N$100000,실적_원본!$O$5:$O$100000,$E83,실적_원본!$L$5:$L$100000,설정!$C$6-1,실적_원본!$M$5:$M$100000,"&lt;="&amp;설정!$C$7))</f>
        <v/>
      </c>
      <c r="Q83" s="44">
        <f>IF($A83="","",J83-P83)</f>
        <v/>
      </c>
      <c r="R83" s="45">
        <f>IF($A83="","",IF(P83=0,0,J83/P83-1))</f>
        <v/>
      </c>
      <c r="S83" s="40">
        <f>IF($A83="","",IF(AND(I83=0,J83&lt;&gt;0),"무예산집행",IF(ABS(K83)&lt;설정!$C$13,"정상",IF(L83&gt;1+설정!$C$12,"초과",IF(L83&lt;1-설정!$C$12,"과소","정상")))))</f>
        <v/>
      </c>
      <c r="T83" s="20">
        <f>IF($A83="","",IFERROR(INDEX(코멘트!$E$5:$E$2004,MATCH(설정!$C$6&amp;"|"&amp;설정!$C$7&amp;"|"&amp;$E83,코멘트!$H$5:$H$2004,0)),""))</f>
        <v/>
      </c>
      <c r="U83" s="55">
        <f>IF($A83="","",IF(S83="정상",-1,ABS(K83)+ROW()/1000000))</f>
        <v/>
      </c>
      <c r="V83" s="55">
        <f>IF($A83="",0,K83+ROW()/1000000)</f>
        <v/>
      </c>
    </row>
    <row r="84">
      <c r="A84" s="12" t="n"/>
      <c r="B84" s="20">
        <f>IF($A84="","",IFERROR(INDEX(부서매핑!$D$5:$D$504,MATCH($A84,부서매핑!$C$5:$C$504,0)),"부서매핑 없음"))</f>
        <v/>
      </c>
      <c r="C84" s="12" t="n"/>
      <c r="D84" s="20">
        <f>IF($A84="","",IFERROR(INDEX(계정매핑!$D$5:$D$504,MATCH($C84,계정매핑!$C$5:$C$504,0)),"항목매핑 없음"))</f>
        <v/>
      </c>
      <c r="E84" s="19">
        <f>IF($A84="","",$A84&amp;"|"&amp;$C84)</f>
        <v/>
      </c>
      <c r="F84" s="28">
        <f>IF($A84="","",SUMIFS(예산_원본!$W$5:$W$3004,예산_원본!$T$5:$T$3004,$E84,예산_원본!$B$5:$B$3004,설정!$C$8,예산_원본!$U$5:$U$3004,설정!$C$6))</f>
        <v/>
      </c>
      <c r="G84" s="28">
        <f>IF($A84="","",SUMIFS(실적_원본!$N$5:$N$100000,실적_원본!$O$5:$O$100000,$E84,실적_원본!$L$5:$L$100000,설정!$C$6,실적_원본!$M$5:$M$100000,설정!$C$7))</f>
        <v/>
      </c>
      <c r="H84" s="44">
        <f>IF($A84="","",G84-F84)</f>
        <v/>
      </c>
      <c r="I84" s="28">
        <f>IF($A84="","",SUMIFS(예산_원본!$X$5:$X$3004,예산_원본!$T$5:$T$3004,$E84,예산_원본!$B$5:$B$3004,설정!$C$8,예산_원본!$U$5:$U$3004,설정!$C$6))</f>
        <v/>
      </c>
      <c r="J84" s="28">
        <f>IF($A84="","",SUMIFS(실적_원본!$N$5:$N$100000,실적_원본!$O$5:$O$100000,$E84,실적_원본!$L$5:$L$100000,설정!$C$6,실적_원본!$M$5:$M$100000,"&lt;="&amp;설정!$C$7))</f>
        <v/>
      </c>
      <c r="K84" s="44">
        <f>IF($A84="","",J84-I84)</f>
        <v/>
      </c>
      <c r="L84" s="45">
        <f>IF($A84="","",IF(I84=0,0,J84/I84))</f>
        <v/>
      </c>
      <c r="M84" s="28">
        <f>IF($A84="","",SUMIFS(예산_원본!$V$5:$V$3004,예산_원본!$T$5:$T$3004,$E84,예산_원본!$B$5:$B$3004,설정!$C$8,예산_원본!$U$5:$U$3004,설정!$C$6))</f>
        <v/>
      </c>
      <c r="N84" s="44">
        <f>IF($A84="","",M84-J84)</f>
        <v/>
      </c>
      <c r="O84" s="45">
        <f>IF($A84="","",IF(M84=0,0,J84/M84))</f>
        <v/>
      </c>
      <c r="P84" s="28">
        <f>IF($A84="","",SUMIFS(실적_원본!$N$5:$N$100000,실적_원본!$O$5:$O$100000,$E84,실적_원본!$L$5:$L$100000,설정!$C$6-1,실적_원본!$M$5:$M$100000,"&lt;="&amp;설정!$C$7))</f>
        <v/>
      </c>
      <c r="Q84" s="44">
        <f>IF($A84="","",J84-P84)</f>
        <v/>
      </c>
      <c r="R84" s="45">
        <f>IF($A84="","",IF(P84=0,0,J84/P84-1))</f>
        <v/>
      </c>
      <c r="S84" s="40">
        <f>IF($A84="","",IF(AND(I84=0,J84&lt;&gt;0),"무예산집행",IF(ABS(K84)&lt;설정!$C$13,"정상",IF(L84&gt;1+설정!$C$12,"초과",IF(L84&lt;1-설정!$C$12,"과소","정상")))))</f>
        <v/>
      </c>
      <c r="T84" s="20">
        <f>IF($A84="","",IFERROR(INDEX(코멘트!$E$5:$E$2004,MATCH(설정!$C$6&amp;"|"&amp;설정!$C$7&amp;"|"&amp;$E84,코멘트!$H$5:$H$2004,0)),""))</f>
        <v/>
      </c>
      <c r="U84" s="55">
        <f>IF($A84="","",IF(S84="정상",-1,ABS(K84)+ROW()/1000000))</f>
        <v/>
      </c>
      <c r="V84" s="55">
        <f>IF($A84="",0,K84+ROW()/1000000)</f>
        <v/>
      </c>
    </row>
    <row r="85">
      <c r="A85" s="12" t="n"/>
      <c r="B85" s="20">
        <f>IF($A85="","",IFERROR(INDEX(부서매핑!$D$5:$D$504,MATCH($A85,부서매핑!$C$5:$C$504,0)),"부서매핑 없음"))</f>
        <v/>
      </c>
      <c r="C85" s="12" t="n"/>
      <c r="D85" s="20">
        <f>IF($A85="","",IFERROR(INDEX(계정매핑!$D$5:$D$504,MATCH($C85,계정매핑!$C$5:$C$504,0)),"항목매핑 없음"))</f>
        <v/>
      </c>
      <c r="E85" s="19">
        <f>IF($A85="","",$A85&amp;"|"&amp;$C85)</f>
        <v/>
      </c>
      <c r="F85" s="28">
        <f>IF($A85="","",SUMIFS(예산_원본!$W$5:$W$3004,예산_원본!$T$5:$T$3004,$E85,예산_원본!$B$5:$B$3004,설정!$C$8,예산_원본!$U$5:$U$3004,설정!$C$6))</f>
        <v/>
      </c>
      <c r="G85" s="28">
        <f>IF($A85="","",SUMIFS(실적_원본!$N$5:$N$100000,실적_원본!$O$5:$O$100000,$E85,실적_원본!$L$5:$L$100000,설정!$C$6,실적_원본!$M$5:$M$100000,설정!$C$7))</f>
        <v/>
      </c>
      <c r="H85" s="44">
        <f>IF($A85="","",G85-F85)</f>
        <v/>
      </c>
      <c r="I85" s="28">
        <f>IF($A85="","",SUMIFS(예산_원본!$X$5:$X$3004,예산_원본!$T$5:$T$3004,$E85,예산_원본!$B$5:$B$3004,설정!$C$8,예산_원본!$U$5:$U$3004,설정!$C$6))</f>
        <v/>
      </c>
      <c r="J85" s="28">
        <f>IF($A85="","",SUMIFS(실적_원본!$N$5:$N$100000,실적_원본!$O$5:$O$100000,$E85,실적_원본!$L$5:$L$100000,설정!$C$6,실적_원본!$M$5:$M$100000,"&lt;="&amp;설정!$C$7))</f>
        <v/>
      </c>
      <c r="K85" s="44">
        <f>IF($A85="","",J85-I85)</f>
        <v/>
      </c>
      <c r="L85" s="45">
        <f>IF($A85="","",IF(I85=0,0,J85/I85))</f>
        <v/>
      </c>
      <c r="M85" s="28">
        <f>IF($A85="","",SUMIFS(예산_원본!$V$5:$V$3004,예산_원본!$T$5:$T$3004,$E85,예산_원본!$B$5:$B$3004,설정!$C$8,예산_원본!$U$5:$U$3004,설정!$C$6))</f>
        <v/>
      </c>
      <c r="N85" s="44">
        <f>IF($A85="","",M85-J85)</f>
        <v/>
      </c>
      <c r="O85" s="45">
        <f>IF($A85="","",IF(M85=0,0,J85/M85))</f>
        <v/>
      </c>
      <c r="P85" s="28">
        <f>IF($A85="","",SUMIFS(실적_원본!$N$5:$N$100000,실적_원본!$O$5:$O$100000,$E85,실적_원본!$L$5:$L$100000,설정!$C$6-1,실적_원본!$M$5:$M$100000,"&lt;="&amp;설정!$C$7))</f>
        <v/>
      </c>
      <c r="Q85" s="44">
        <f>IF($A85="","",J85-P85)</f>
        <v/>
      </c>
      <c r="R85" s="45">
        <f>IF($A85="","",IF(P85=0,0,J85/P85-1))</f>
        <v/>
      </c>
      <c r="S85" s="40">
        <f>IF($A85="","",IF(AND(I85=0,J85&lt;&gt;0),"무예산집행",IF(ABS(K85)&lt;설정!$C$13,"정상",IF(L85&gt;1+설정!$C$12,"초과",IF(L85&lt;1-설정!$C$12,"과소","정상")))))</f>
        <v/>
      </c>
      <c r="T85" s="20">
        <f>IF($A85="","",IFERROR(INDEX(코멘트!$E$5:$E$2004,MATCH(설정!$C$6&amp;"|"&amp;설정!$C$7&amp;"|"&amp;$E85,코멘트!$H$5:$H$2004,0)),""))</f>
        <v/>
      </c>
      <c r="U85" s="55">
        <f>IF($A85="","",IF(S85="정상",-1,ABS(K85)+ROW()/1000000))</f>
        <v/>
      </c>
      <c r="V85" s="55">
        <f>IF($A85="",0,K85+ROW()/1000000)</f>
        <v/>
      </c>
    </row>
    <row r="86">
      <c r="A86" s="12" t="n"/>
      <c r="B86" s="20">
        <f>IF($A86="","",IFERROR(INDEX(부서매핑!$D$5:$D$504,MATCH($A86,부서매핑!$C$5:$C$504,0)),"부서매핑 없음"))</f>
        <v/>
      </c>
      <c r="C86" s="12" t="n"/>
      <c r="D86" s="20">
        <f>IF($A86="","",IFERROR(INDEX(계정매핑!$D$5:$D$504,MATCH($C86,계정매핑!$C$5:$C$504,0)),"항목매핑 없음"))</f>
        <v/>
      </c>
      <c r="E86" s="19">
        <f>IF($A86="","",$A86&amp;"|"&amp;$C86)</f>
        <v/>
      </c>
      <c r="F86" s="28">
        <f>IF($A86="","",SUMIFS(예산_원본!$W$5:$W$3004,예산_원본!$T$5:$T$3004,$E86,예산_원본!$B$5:$B$3004,설정!$C$8,예산_원본!$U$5:$U$3004,설정!$C$6))</f>
        <v/>
      </c>
      <c r="G86" s="28">
        <f>IF($A86="","",SUMIFS(실적_원본!$N$5:$N$100000,실적_원본!$O$5:$O$100000,$E86,실적_원본!$L$5:$L$100000,설정!$C$6,실적_원본!$M$5:$M$100000,설정!$C$7))</f>
        <v/>
      </c>
      <c r="H86" s="44">
        <f>IF($A86="","",G86-F86)</f>
        <v/>
      </c>
      <c r="I86" s="28">
        <f>IF($A86="","",SUMIFS(예산_원본!$X$5:$X$3004,예산_원본!$T$5:$T$3004,$E86,예산_원본!$B$5:$B$3004,설정!$C$8,예산_원본!$U$5:$U$3004,설정!$C$6))</f>
        <v/>
      </c>
      <c r="J86" s="28">
        <f>IF($A86="","",SUMIFS(실적_원본!$N$5:$N$100000,실적_원본!$O$5:$O$100000,$E86,실적_원본!$L$5:$L$100000,설정!$C$6,실적_원본!$M$5:$M$100000,"&lt;="&amp;설정!$C$7))</f>
        <v/>
      </c>
      <c r="K86" s="44">
        <f>IF($A86="","",J86-I86)</f>
        <v/>
      </c>
      <c r="L86" s="45">
        <f>IF($A86="","",IF(I86=0,0,J86/I86))</f>
        <v/>
      </c>
      <c r="M86" s="28">
        <f>IF($A86="","",SUMIFS(예산_원본!$V$5:$V$3004,예산_원본!$T$5:$T$3004,$E86,예산_원본!$B$5:$B$3004,설정!$C$8,예산_원본!$U$5:$U$3004,설정!$C$6))</f>
        <v/>
      </c>
      <c r="N86" s="44">
        <f>IF($A86="","",M86-J86)</f>
        <v/>
      </c>
      <c r="O86" s="45">
        <f>IF($A86="","",IF(M86=0,0,J86/M86))</f>
        <v/>
      </c>
      <c r="P86" s="28">
        <f>IF($A86="","",SUMIFS(실적_원본!$N$5:$N$100000,실적_원본!$O$5:$O$100000,$E86,실적_원본!$L$5:$L$100000,설정!$C$6-1,실적_원본!$M$5:$M$100000,"&lt;="&amp;설정!$C$7))</f>
        <v/>
      </c>
      <c r="Q86" s="44">
        <f>IF($A86="","",J86-P86)</f>
        <v/>
      </c>
      <c r="R86" s="45">
        <f>IF($A86="","",IF(P86=0,0,J86/P86-1))</f>
        <v/>
      </c>
      <c r="S86" s="40">
        <f>IF($A86="","",IF(AND(I86=0,J86&lt;&gt;0),"무예산집행",IF(ABS(K86)&lt;설정!$C$13,"정상",IF(L86&gt;1+설정!$C$12,"초과",IF(L86&lt;1-설정!$C$12,"과소","정상")))))</f>
        <v/>
      </c>
      <c r="T86" s="20">
        <f>IF($A86="","",IFERROR(INDEX(코멘트!$E$5:$E$2004,MATCH(설정!$C$6&amp;"|"&amp;설정!$C$7&amp;"|"&amp;$E86,코멘트!$H$5:$H$2004,0)),""))</f>
        <v/>
      </c>
      <c r="U86" s="55">
        <f>IF($A86="","",IF(S86="정상",-1,ABS(K86)+ROW()/1000000))</f>
        <v/>
      </c>
      <c r="V86" s="55">
        <f>IF($A86="",0,K86+ROW()/1000000)</f>
        <v/>
      </c>
    </row>
    <row r="87">
      <c r="A87" s="12" t="n"/>
      <c r="B87" s="20">
        <f>IF($A87="","",IFERROR(INDEX(부서매핑!$D$5:$D$504,MATCH($A87,부서매핑!$C$5:$C$504,0)),"부서매핑 없음"))</f>
        <v/>
      </c>
      <c r="C87" s="12" t="n"/>
      <c r="D87" s="20">
        <f>IF($A87="","",IFERROR(INDEX(계정매핑!$D$5:$D$504,MATCH($C87,계정매핑!$C$5:$C$504,0)),"항목매핑 없음"))</f>
        <v/>
      </c>
      <c r="E87" s="19">
        <f>IF($A87="","",$A87&amp;"|"&amp;$C87)</f>
        <v/>
      </c>
      <c r="F87" s="28">
        <f>IF($A87="","",SUMIFS(예산_원본!$W$5:$W$3004,예산_원본!$T$5:$T$3004,$E87,예산_원본!$B$5:$B$3004,설정!$C$8,예산_원본!$U$5:$U$3004,설정!$C$6))</f>
        <v/>
      </c>
      <c r="G87" s="28">
        <f>IF($A87="","",SUMIFS(실적_원본!$N$5:$N$100000,실적_원본!$O$5:$O$100000,$E87,실적_원본!$L$5:$L$100000,설정!$C$6,실적_원본!$M$5:$M$100000,설정!$C$7))</f>
        <v/>
      </c>
      <c r="H87" s="44">
        <f>IF($A87="","",G87-F87)</f>
        <v/>
      </c>
      <c r="I87" s="28">
        <f>IF($A87="","",SUMIFS(예산_원본!$X$5:$X$3004,예산_원본!$T$5:$T$3004,$E87,예산_원본!$B$5:$B$3004,설정!$C$8,예산_원본!$U$5:$U$3004,설정!$C$6))</f>
        <v/>
      </c>
      <c r="J87" s="28">
        <f>IF($A87="","",SUMIFS(실적_원본!$N$5:$N$100000,실적_원본!$O$5:$O$100000,$E87,실적_원본!$L$5:$L$100000,설정!$C$6,실적_원본!$M$5:$M$100000,"&lt;="&amp;설정!$C$7))</f>
        <v/>
      </c>
      <c r="K87" s="44">
        <f>IF($A87="","",J87-I87)</f>
        <v/>
      </c>
      <c r="L87" s="45">
        <f>IF($A87="","",IF(I87=0,0,J87/I87))</f>
        <v/>
      </c>
      <c r="M87" s="28">
        <f>IF($A87="","",SUMIFS(예산_원본!$V$5:$V$3004,예산_원본!$T$5:$T$3004,$E87,예산_원본!$B$5:$B$3004,설정!$C$8,예산_원본!$U$5:$U$3004,설정!$C$6))</f>
        <v/>
      </c>
      <c r="N87" s="44">
        <f>IF($A87="","",M87-J87)</f>
        <v/>
      </c>
      <c r="O87" s="45">
        <f>IF($A87="","",IF(M87=0,0,J87/M87))</f>
        <v/>
      </c>
      <c r="P87" s="28">
        <f>IF($A87="","",SUMIFS(실적_원본!$N$5:$N$100000,실적_원본!$O$5:$O$100000,$E87,실적_원본!$L$5:$L$100000,설정!$C$6-1,실적_원본!$M$5:$M$100000,"&lt;="&amp;설정!$C$7))</f>
        <v/>
      </c>
      <c r="Q87" s="44">
        <f>IF($A87="","",J87-P87)</f>
        <v/>
      </c>
      <c r="R87" s="45">
        <f>IF($A87="","",IF(P87=0,0,J87/P87-1))</f>
        <v/>
      </c>
      <c r="S87" s="40">
        <f>IF($A87="","",IF(AND(I87=0,J87&lt;&gt;0),"무예산집행",IF(ABS(K87)&lt;설정!$C$13,"정상",IF(L87&gt;1+설정!$C$12,"초과",IF(L87&lt;1-설정!$C$12,"과소","정상")))))</f>
        <v/>
      </c>
      <c r="T87" s="20">
        <f>IF($A87="","",IFERROR(INDEX(코멘트!$E$5:$E$2004,MATCH(설정!$C$6&amp;"|"&amp;설정!$C$7&amp;"|"&amp;$E87,코멘트!$H$5:$H$2004,0)),""))</f>
        <v/>
      </c>
      <c r="U87" s="55">
        <f>IF($A87="","",IF(S87="정상",-1,ABS(K87)+ROW()/1000000))</f>
        <v/>
      </c>
      <c r="V87" s="55">
        <f>IF($A87="",0,K87+ROW()/1000000)</f>
        <v/>
      </c>
    </row>
    <row r="88">
      <c r="A88" s="12" t="n"/>
      <c r="B88" s="20">
        <f>IF($A88="","",IFERROR(INDEX(부서매핑!$D$5:$D$504,MATCH($A88,부서매핑!$C$5:$C$504,0)),"부서매핑 없음"))</f>
        <v/>
      </c>
      <c r="C88" s="12" t="n"/>
      <c r="D88" s="20">
        <f>IF($A88="","",IFERROR(INDEX(계정매핑!$D$5:$D$504,MATCH($C88,계정매핑!$C$5:$C$504,0)),"항목매핑 없음"))</f>
        <v/>
      </c>
      <c r="E88" s="19">
        <f>IF($A88="","",$A88&amp;"|"&amp;$C88)</f>
        <v/>
      </c>
      <c r="F88" s="28">
        <f>IF($A88="","",SUMIFS(예산_원본!$W$5:$W$3004,예산_원본!$T$5:$T$3004,$E88,예산_원본!$B$5:$B$3004,설정!$C$8,예산_원본!$U$5:$U$3004,설정!$C$6))</f>
        <v/>
      </c>
      <c r="G88" s="28">
        <f>IF($A88="","",SUMIFS(실적_원본!$N$5:$N$100000,실적_원본!$O$5:$O$100000,$E88,실적_원본!$L$5:$L$100000,설정!$C$6,실적_원본!$M$5:$M$100000,설정!$C$7))</f>
        <v/>
      </c>
      <c r="H88" s="44">
        <f>IF($A88="","",G88-F88)</f>
        <v/>
      </c>
      <c r="I88" s="28">
        <f>IF($A88="","",SUMIFS(예산_원본!$X$5:$X$3004,예산_원본!$T$5:$T$3004,$E88,예산_원본!$B$5:$B$3004,설정!$C$8,예산_원본!$U$5:$U$3004,설정!$C$6))</f>
        <v/>
      </c>
      <c r="J88" s="28">
        <f>IF($A88="","",SUMIFS(실적_원본!$N$5:$N$100000,실적_원본!$O$5:$O$100000,$E88,실적_원본!$L$5:$L$100000,설정!$C$6,실적_원본!$M$5:$M$100000,"&lt;="&amp;설정!$C$7))</f>
        <v/>
      </c>
      <c r="K88" s="44">
        <f>IF($A88="","",J88-I88)</f>
        <v/>
      </c>
      <c r="L88" s="45">
        <f>IF($A88="","",IF(I88=0,0,J88/I88))</f>
        <v/>
      </c>
      <c r="M88" s="28">
        <f>IF($A88="","",SUMIFS(예산_원본!$V$5:$V$3004,예산_원본!$T$5:$T$3004,$E88,예산_원본!$B$5:$B$3004,설정!$C$8,예산_원본!$U$5:$U$3004,설정!$C$6))</f>
        <v/>
      </c>
      <c r="N88" s="44">
        <f>IF($A88="","",M88-J88)</f>
        <v/>
      </c>
      <c r="O88" s="45">
        <f>IF($A88="","",IF(M88=0,0,J88/M88))</f>
        <v/>
      </c>
      <c r="P88" s="28">
        <f>IF($A88="","",SUMIFS(실적_원본!$N$5:$N$100000,실적_원본!$O$5:$O$100000,$E88,실적_원본!$L$5:$L$100000,설정!$C$6-1,실적_원본!$M$5:$M$100000,"&lt;="&amp;설정!$C$7))</f>
        <v/>
      </c>
      <c r="Q88" s="44">
        <f>IF($A88="","",J88-P88)</f>
        <v/>
      </c>
      <c r="R88" s="45">
        <f>IF($A88="","",IF(P88=0,0,J88/P88-1))</f>
        <v/>
      </c>
      <c r="S88" s="40">
        <f>IF($A88="","",IF(AND(I88=0,J88&lt;&gt;0),"무예산집행",IF(ABS(K88)&lt;설정!$C$13,"정상",IF(L88&gt;1+설정!$C$12,"초과",IF(L88&lt;1-설정!$C$12,"과소","정상")))))</f>
        <v/>
      </c>
      <c r="T88" s="20">
        <f>IF($A88="","",IFERROR(INDEX(코멘트!$E$5:$E$2004,MATCH(설정!$C$6&amp;"|"&amp;설정!$C$7&amp;"|"&amp;$E88,코멘트!$H$5:$H$2004,0)),""))</f>
        <v/>
      </c>
      <c r="U88" s="55">
        <f>IF($A88="","",IF(S88="정상",-1,ABS(K88)+ROW()/1000000))</f>
        <v/>
      </c>
      <c r="V88" s="55">
        <f>IF($A88="",0,K88+ROW()/1000000)</f>
        <v/>
      </c>
    </row>
    <row r="89">
      <c r="A89" s="12" t="n"/>
      <c r="B89" s="20">
        <f>IF($A89="","",IFERROR(INDEX(부서매핑!$D$5:$D$504,MATCH($A89,부서매핑!$C$5:$C$504,0)),"부서매핑 없음"))</f>
        <v/>
      </c>
      <c r="C89" s="12" t="n"/>
      <c r="D89" s="20">
        <f>IF($A89="","",IFERROR(INDEX(계정매핑!$D$5:$D$504,MATCH($C89,계정매핑!$C$5:$C$504,0)),"항목매핑 없음"))</f>
        <v/>
      </c>
      <c r="E89" s="19">
        <f>IF($A89="","",$A89&amp;"|"&amp;$C89)</f>
        <v/>
      </c>
      <c r="F89" s="28">
        <f>IF($A89="","",SUMIFS(예산_원본!$W$5:$W$3004,예산_원본!$T$5:$T$3004,$E89,예산_원본!$B$5:$B$3004,설정!$C$8,예산_원본!$U$5:$U$3004,설정!$C$6))</f>
        <v/>
      </c>
      <c r="G89" s="28">
        <f>IF($A89="","",SUMIFS(실적_원본!$N$5:$N$100000,실적_원본!$O$5:$O$100000,$E89,실적_원본!$L$5:$L$100000,설정!$C$6,실적_원본!$M$5:$M$100000,설정!$C$7))</f>
        <v/>
      </c>
      <c r="H89" s="44">
        <f>IF($A89="","",G89-F89)</f>
        <v/>
      </c>
      <c r="I89" s="28">
        <f>IF($A89="","",SUMIFS(예산_원본!$X$5:$X$3004,예산_원본!$T$5:$T$3004,$E89,예산_원본!$B$5:$B$3004,설정!$C$8,예산_원본!$U$5:$U$3004,설정!$C$6))</f>
        <v/>
      </c>
      <c r="J89" s="28">
        <f>IF($A89="","",SUMIFS(실적_원본!$N$5:$N$100000,실적_원본!$O$5:$O$100000,$E89,실적_원본!$L$5:$L$100000,설정!$C$6,실적_원본!$M$5:$M$100000,"&lt;="&amp;설정!$C$7))</f>
        <v/>
      </c>
      <c r="K89" s="44">
        <f>IF($A89="","",J89-I89)</f>
        <v/>
      </c>
      <c r="L89" s="45">
        <f>IF($A89="","",IF(I89=0,0,J89/I89))</f>
        <v/>
      </c>
      <c r="M89" s="28">
        <f>IF($A89="","",SUMIFS(예산_원본!$V$5:$V$3004,예산_원본!$T$5:$T$3004,$E89,예산_원본!$B$5:$B$3004,설정!$C$8,예산_원본!$U$5:$U$3004,설정!$C$6))</f>
        <v/>
      </c>
      <c r="N89" s="44">
        <f>IF($A89="","",M89-J89)</f>
        <v/>
      </c>
      <c r="O89" s="45">
        <f>IF($A89="","",IF(M89=0,0,J89/M89))</f>
        <v/>
      </c>
      <c r="P89" s="28">
        <f>IF($A89="","",SUMIFS(실적_원본!$N$5:$N$100000,실적_원본!$O$5:$O$100000,$E89,실적_원본!$L$5:$L$100000,설정!$C$6-1,실적_원본!$M$5:$M$100000,"&lt;="&amp;설정!$C$7))</f>
        <v/>
      </c>
      <c r="Q89" s="44">
        <f>IF($A89="","",J89-P89)</f>
        <v/>
      </c>
      <c r="R89" s="45">
        <f>IF($A89="","",IF(P89=0,0,J89/P89-1))</f>
        <v/>
      </c>
      <c r="S89" s="40">
        <f>IF($A89="","",IF(AND(I89=0,J89&lt;&gt;0),"무예산집행",IF(ABS(K89)&lt;설정!$C$13,"정상",IF(L89&gt;1+설정!$C$12,"초과",IF(L89&lt;1-설정!$C$12,"과소","정상")))))</f>
        <v/>
      </c>
      <c r="T89" s="20">
        <f>IF($A89="","",IFERROR(INDEX(코멘트!$E$5:$E$2004,MATCH(설정!$C$6&amp;"|"&amp;설정!$C$7&amp;"|"&amp;$E89,코멘트!$H$5:$H$2004,0)),""))</f>
        <v/>
      </c>
      <c r="U89" s="55">
        <f>IF($A89="","",IF(S89="정상",-1,ABS(K89)+ROW()/1000000))</f>
        <v/>
      </c>
      <c r="V89" s="55">
        <f>IF($A89="",0,K89+ROW()/1000000)</f>
        <v/>
      </c>
    </row>
    <row r="90">
      <c r="A90" s="12" t="n"/>
      <c r="B90" s="20">
        <f>IF($A90="","",IFERROR(INDEX(부서매핑!$D$5:$D$504,MATCH($A90,부서매핑!$C$5:$C$504,0)),"부서매핑 없음"))</f>
        <v/>
      </c>
      <c r="C90" s="12" t="n"/>
      <c r="D90" s="20">
        <f>IF($A90="","",IFERROR(INDEX(계정매핑!$D$5:$D$504,MATCH($C90,계정매핑!$C$5:$C$504,0)),"항목매핑 없음"))</f>
        <v/>
      </c>
      <c r="E90" s="19">
        <f>IF($A90="","",$A90&amp;"|"&amp;$C90)</f>
        <v/>
      </c>
      <c r="F90" s="28">
        <f>IF($A90="","",SUMIFS(예산_원본!$W$5:$W$3004,예산_원본!$T$5:$T$3004,$E90,예산_원본!$B$5:$B$3004,설정!$C$8,예산_원본!$U$5:$U$3004,설정!$C$6))</f>
        <v/>
      </c>
      <c r="G90" s="28">
        <f>IF($A90="","",SUMIFS(실적_원본!$N$5:$N$100000,실적_원본!$O$5:$O$100000,$E90,실적_원본!$L$5:$L$100000,설정!$C$6,실적_원본!$M$5:$M$100000,설정!$C$7))</f>
        <v/>
      </c>
      <c r="H90" s="44">
        <f>IF($A90="","",G90-F90)</f>
        <v/>
      </c>
      <c r="I90" s="28">
        <f>IF($A90="","",SUMIFS(예산_원본!$X$5:$X$3004,예산_원본!$T$5:$T$3004,$E90,예산_원본!$B$5:$B$3004,설정!$C$8,예산_원본!$U$5:$U$3004,설정!$C$6))</f>
        <v/>
      </c>
      <c r="J90" s="28">
        <f>IF($A90="","",SUMIFS(실적_원본!$N$5:$N$100000,실적_원본!$O$5:$O$100000,$E90,실적_원본!$L$5:$L$100000,설정!$C$6,실적_원본!$M$5:$M$100000,"&lt;="&amp;설정!$C$7))</f>
        <v/>
      </c>
      <c r="K90" s="44">
        <f>IF($A90="","",J90-I90)</f>
        <v/>
      </c>
      <c r="L90" s="45">
        <f>IF($A90="","",IF(I90=0,0,J90/I90))</f>
        <v/>
      </c>
      <c r="M90" s="28">
        <f>IF($A90="","",SUMIFS(예산_원본!$V$5:$V$3004,예산_원본!$T$5:$T$3004,$E90,예산_원본!$B$5:$B$3004,설정!$C$8,예산_원본!$U$5:$U$3004,설정!$C$6))</f>
        <v/>
      </c>
      <c r="N90" s="44">
        <f>IF($A90="","",M90-J90)</f>
        <v/>
      </c>
      <c r="O90" s="45">
        <f>IF($A90="","",IF(M90=0,0,J90/M90))</f>
        <v/>
      </c>
      <c r="P90" s="28">
        <f>IF($A90="","",SUMIFS(실적_원본!$N$5:$N$100000,실적_원본!$O$5:$O$100000,$E90,실적_원본!$L$5:$L$100000,설정!$C$6-1,실적_원본!$M$5:$M$100000,"&lt;="&amp;설정!$C$7))</f>
        <v/>
      </c>
      <c r="Q90" s="44">
        <f>IF($A90="","",J90-P90)</f>
        <v/>
      </c>
      <c r="R90" s="45">
        <f>IF($A90="","",IF(P90=0,0,J90/P90-1))</f>
        <v/>
      </c>
      <c r="S90" s="40">
        <f>IF($A90="","",IF(AND(I90=0,J90&lt;&gt;0),"무예산집행",IF(ABS(K90)&lt;설정!$C$13,"정상",IF(L90&gt;1+설정!$C$12,"초과",IF(L90&lt;1-설정!$C$12,"과소","정상")))))</f>
        <v/>
      </c>
      <c r="T90" s="20">
        <f>IF($A90="","",IFERROR(INDEX(코멘트!$E$5:$E$2004,MATCH(설정!$C$6&amp;"|"&amp;설정!$C$7&amp;"|"&amp;$E90,코멘트!$H$5:$H$2004,0)),""))</f>
        <v/>
      </c>
      <c r="U90" s="55">
        <f>IF($A90="","",IF(S90="정상",-1,ABS(K90)+ROW()/1000000))</f>
        <v/>
      </c>
      <c r="V90" s="55">
        <f>IF($A90="",0,K90+ROW()/1000000)</f>
        <v/>
      </c>
    </row>
    <row r="91">
      <c r="A91" s="12" t="n"/>
      <c r="B91" s="20">
        <f>IF($A91="","",IFERROR(INDEX(부서매핑!$D$5:$D$504,MATCH($A91,부서매핑!$C$5:$C$504,0)),"부서매핑 없음"))</f>
        <v/>
      </c>
      <c r="C91" s="12" t="n"/>
      <c r="D91" s="20">
        <f>IF($A91="","",IFERROR(INDEX(계정매핑!$D$5:$D$504,MATCH($C91,계정매핑!$C$5:$C$504,0)),"항목매핑 없음"))</f>
        <v/>
      </c>
      <c r="E91" s="19">
        <f>IF($A91="","",$A91&amp;"|"&amp;$C91)</f>
        <v/>
      </c>
      <c r="F91" s="28">
        <f>IF($A91="","",SUMIFS(예산_원본!$W$5:$W$3004,예산_원본!$T$5:$T$3004,$E91,예산_원본!$B$5:$B$3004,설정!$C$8,예산_원본!$U$5:$U$3004,설정!$C$6))</f>
        <v/>
      </c>
      <c r="G91" s="28">
        <f>IF($A91="","",SUMIFS(실적_원본!$N$5:$N$100000,실적_원본!$O$5:$O$100000,$E91,실적_원본!$L$5:$L$100000,설정!$C$6,실적_원본!$M$5:$M$100000,설정!$C$7))</f>
        <v/>
      </c>
      <c r="H91" s="44">
        <f>IF($A91="","",G91-F91)</f>
        <v/>
      </c>
      <c r="I91" s="28">
        <f>IF($A91="","",SUMIFS(예산_원본!$X$5:$X$3004,예산_원본!$T$5:$T$3004,$E91,예산_원본!$B$5:$B$3004,설정!$C$8,예산_원본!$U$5:$U$3004,설정!$C$6))</f>
        <v/>
      </c>
      <c r="J91" s="28">
        <f>IF($A91="","",SUMIFS(실적_원본!$N$5:$N$100000,실적_원본!$O$5:$O$100000,$E91,실적_원본!$L$5:$L$100000,설정!$C$6,실적_원본!$M$5:$M$100000,"&lt;="&amp;설정!$C$7))</f>
        <v/>
      </c>
      <c r="K91" s="44">
        <f>IF($A91="","",J91-I91)</f>
        <v/>
      </c>
      <c r="L91" s="45">
        <f>IF($A91="","",IF(I91=0,0,J91/I91))</f>
        <v/>
      </c>
      <c r="M91" s="28">
        <f>IF($A91="","",SUMIFS(예산_원본!$V$5:$V$3004,예산_원본!$T$5:$T$3004,$E91,예산_원본!$B$5:$B$3004,설정!$C$8,예산_원본!$U$5:$U$3004,설정!$C$6))</f>
        <v/>
      </c>
      <c r="N91" s="44">
        <f>IF($A91="","",M91-J91)</f>
        <v/>
      </c>
      <c r="O91" s="45">
        <f>IF($A91="","",IF(M91=0,0,J91/M91))</f>
        <v/>
      </c>
      <c r="P91" s="28">
        <f>IF($A91="","",SUMIFS(실적_원본!$N$5:$N$100000,실적_원본!$O$5:$O$100000,$E91,실적_원본!$L$5:$L$100000,설정!$C$6-1,실적_원본!$M$5:$M$100000,"&lt;="&amp;설정!$C$7))</f>
        <v/>
      </c>
      <c r="Q91" s="44">
        <f>IF($A91="","",J91-P91)</f>
        <v/>
      </c>
      <c r="R91" s="45">
        <f>IF($A91="","",IF(P91=0,0,J91/P91-1))</f>
        <v/>
      </c>
      <c r="S91" s="40">
        <f>IF($A91="","",IF(AND(I91=0,J91&lt;&gt;0),"무예산집행",IF(ABS(K91)&lt;설정!$C$13,"정상",IF(L91&gt;1+설정!$C$12,"초과",IF(L91&lt;1-설정!$C$12,"과소","정상")))))</f>
        <v/>
      </c>
      <c r="T91" s="20">
        <f>IF($A91="","",IFERROR(INDEX(코멘트!$E$5:$E$2004,MATCH(설정!$C$6&amp;"|"&amp;설정!$C$7&amp;"|"&amp;$E91,코멘트!$H$5:$H$2004,0)),""))</f>
        <v/>
      </c>
      <c r="U91" s="55">
        <f>IF($A91="","",IF(S91="정상",-1,ABS(K91)+ROW()/1000000))</f>
        <v/>
      </c>
      <c r="V91" s="55">
        <f>IF($A91="",0,K91+ROW()/1000000)</f>
        <v/>
      </c>
    </row>
    <row r="92">
      <c r="A92" s="12" t="n"/>
      <c r="B92" s="20">
        <f>IF($A92="","",IFERROR(INDEX(부서매핑!$D$5:$D$504,MATCH($A92,부서매핑!$C$5:$C$504,0)),"부서매핑 없음"))</f>
        <v/>
      </c>
      <c r="C92" s="12" t="n"/>
      <c r="D92" s="20">
        <f>IF($A92="","",IFERROR(INDEX(계정매핑!$D$5:$D$504,MATCH($C92,계정매핑!$C$5:$C$504,0)),"항목매핑 없음"))</f>
        <v/>
      </c>
      <c r="E92" s="19">
        <f>IF($A92="","",$A92&amp;"|"&amp;$C92)</f>
        <v/>
      </c>
      <c r="F92" s="28">
        <f>IF($A92="","",SUMIFS(예산_원본!$W$5:$W$3004,예산_원본!$T$5:$T$3004,$E92,예산_원본!$B$5:$B$3004,설정!$C$8,예산_원본!$U$5:$U$3004,설정!$C$6))</f>
        <v/>
      </c>
      <c r="G92" s="28">
        <f>IF($A92="","",SUMIFS(실적_원본!$N$5:$N$100000,실적_원본!$O$5:$O$100000,$E92,실적_원본!$L$5:$L$100000,설정!$C$6,실적_원본!$M$5:$M$100000,설정!$C$7))</f>
        <v/>
      </c>
      <c r="H92" s="44">
        <f>IF($A92="","",G92-F92)</f>
        <v/>
      </c>
      <c r="I92" s="28">
        <f>IF($A92="","",SUMIFS(예산_원본!$X$5:$X$3004,예산_원본!$T$5:$T$3004,$E92,예산_원본!$B$5:$B$3004,설정!$C$8,예산_원본!$U$5:$U$3004,설정!$C$6))</f>
        <v/>
      </c>
      <c r="J92" s="28">
        <f>IF($A92="","",SUMIFS(실적_원본!$N$5:$N$100000,실적_원본!$O$5:$O$100000,$E92,실적_원본!$L$5:$L$100000,설정!$C$6,실적_원본!$M$5:$M$100000,"&lt;="&amp;설정!$C$7))</f>
        <v/>
      </c>
      <c r="K92" s="44">
        <f>IF($A92="","",J92-I92)</f>
        <v/>
      </c>
      <c r="L92" s="45">
        <f>IF($A92="","",IF(I92=0,0,J92/I92))</f>
        <v/>
      </c>
      <c r="M92" s="28">
        <f>IF($A92="","",SUMIFS(예산_원본!$V$5:$V$3004,예산_원본!$T$5:$T$3004,$E92,예산_원본!$B$5:$B$3004,설정!$C$8,예산_원본!$U$5:$U$3004,설정!$C$6))</f>
        <v/>
      </c>
      <c r="N92" s="44">
        <f>IF($A92="","",M92-J92)</f>
        <v/>
      </c>
      <c r="O92" s="45">
        <f>IF($A92="","",IF(M92=0,0,J92/M92))</f>
        <v/>
      </c>
      <c r="P92" s="28">
        <f>IF($A92="","",SUMIFS(실적_원본!$N$5:$N$100000,실적_원본!$O$5:$O$100000,$E92,실적_원본!$L$5:$L$100000,설정!$C$6-1,실적_원본!$M$5:$M$100000,"&lt;="&amp;설정!$C$7))</f>
        <v/>
      </c>
      <c r="Q92" s="44">
        <f>IF($A92="","",J92-P92)</f>
        <v/>
      </c>
      <c r="R92" s="45">
        <f>IF($A92="","",IF(P92=0,0,J92/P92-1))</f>
        <v/>
      </c>
      <c r="S92" s="40">
        <f>IF($A92="","",IF(AND(I92=0,J92&lt;&gt;0),"무예산집행",IF(ABS(K92)&lt;설정!$C$13,"정상",IF(L92&gt;1+설정!$C$12,"초과",IF(L92&lt;1-설정!$C$12,"과소","정상")))))</f>
        <v/>
      </c>
      <c r="T92" s="20">
        <f>IF($A92="","",IFERROR(INDEX(코멘트!$E$5:$E$2004,MATCH(설정!$C$6&amp;"|"&amp;설정!$C$7&amp;"|"&amp;$E92,코멘트!$H$5:$H$2004,0)),""))</f>
        <v/>
      </c>
      <c r="U92" s="55">
        <f>IF($A92="","",IF(S92="정상",-1,ABS(K92)+ROW()/1000000))</f>
        <v/>
      </c>
      <c r="V92" s="55">
        <f>IF($A92="",0,K92+ROW()/1000000)</f>
        <v/>
      </c>
    </row>
    <row r="93">
      <c r="A93" s="12" t="n"/>
      <c r="B93" s="20">
        <f>IF($A93="","",IFERROR(INDEX(부서매핑!$D$5:$D$504,MATCH($A93,부서매핑!$C$5:$C$504,0)),"부서매핑 없음"))</f>
        <v/>
      </c>
      <c r="C93" s="12" t="n"/>
      <c r="D93" s="20">
        <f>IF($A93="","",IFERROR(INDEX(계정매핑!$D$5:$D$504,MATCH($C93,계정매핑!$C$5:$C$504,0)),"항목매핑 없음"))</f>
        <v/>
      </c>
      <c r="E93" s="19">
        <f>IF($A93="","",$A93&amp;"|"&amp;$C93)</f>
        <v/>
      </c>
      <c r="F93" s="28">
        <f>IF($A93="","",SUMIFS(예산_원본!$W$5:$W$3004,예산_원본!$T$5:$T$3004,$E93,예산_원본!$B$5:$B$3004,설정!$C$8,예산_원본!$U$5:$U$3004,설정!$C$6))</f>
        <v/>
      </c>
      <c r="G93" s="28">
        <f>IF($A93="","",SUMIFS(실적_원본!$N$5:$N$100000,실적_원본!$O$5:$O$100000,$E93,실적_원본!$L$5:$L$100000,설정!$C$6,실적_원본!$M$5:$M$100000,설정!$C$7))</f>
        <v/>
      </c>
      <c r="H93" s="44">
        <f>IF($A93="","",G93-F93)</f>
        <v/>
      </c>
      <c r="I93" s="28">
        <f>IF($A93="","",SUMIFS(예산_원본!$X$5:$X$3004,예산_원본!$T$5:$T$3004,$E93,예산_원본!$B$5:$B$3004,설정!$C$8,예산_원본!$U$5:$U$3004,설정!$C$6))</f>
        <v/>
      </c>
      <c r="J93" s="28">
        <f>IF($A93="","",SUMIFS(실적_원본!$N$5:$N$100000,실적_원본!$O$5:$O$100000,$E93,실적_원본!$L$5:$L$100000,설정!$C$6,실적_원본!$M$5:$M$100000,"&lt;="&amp;설정!$C$7))</f>
        <v/>
      </c>
      <c r="K93" s="44">
        <f>IF($A93="","",J93-I93)</f>
        <v/>
      </c>
      <c r="L93" s="45">
        <f>IF($A93="","",IF(I93=0,0,J93/I93))</f>
        <v/>
      </c>
      <c r="M93" s="28">
        <f>IF($A93="","",SUMIFS(예산_원본!$V$5:$V$3004,예산_원본!$T$5:$T$3004,$E93,예산_원본!$B$5:$B$3004,설정!$C$8,예산_원본!$U$5:$U$3004,설정!$C$6))</f>
        <v/>
      </c>
      <c r="N93" s="44">
        <f>IF($A93="","",M93-J93)</f>
        <v/>
      </c>
      <c r="O93" s="45">
        <f>IF($A93="","",IF(M93=0,0,J93/M93))</f>
        <v/>
      </c>
      <c r="P93" s="28">
        <f>IF($A93="","",SUMIFS(실적_원본!$N$5:$N$100000,실적_원본!$O$5:$O$100000,$E93,실적_원본!$L$5:$L$100000,설정!$C$6-1,실적_원본!$M$5:$M$100000,"&lt;="&amp;설정!$C$7))</f>
        <v/>
      </c>
      <c r="Q93" s="44">
        <f>IF($A93="","",J93-P93)</f>
        <v/>
      </c>
      <c r="R93" s="45">
        <f>IF($A93="","",IF(P93=0,0,J93/P93-1))</f>
        <v/>
      </c>
      <c r="S93" s="40">
        <f>IF($A93="","",IF(AND(I93=0,J93&lt;&gt;0),"무예산집행",IF(ABS(K93)&lt;설정!$C$13,"정상",IF(L93&gt;1+설정!$C$12,"초과",IF(L93&lt;1-설정!$C$12,"과소","정상")))))</f>
        <v/>
      </c>
      <c r="T93" s="20">
        <f>IF($A93="","",IFERROR(INDEX(코멘트!$E$5:$E$2004,MATCH(설정!$C$6&amp;"|"&amp;설정!$C$7&amp;"|"&amp;$E93,코멘트!$H$5:$H$2004,0)),""))</f>
        <v/>
      </c>
      <c r="U93" s="55">
        <f>IF($A93="","",IF(S93="정상",-1,ABS(K93)+ROW()/1000000))</f>
        <v/>
      </c>
      <c r="V93" s="55">
        <f>IF($A93="",0,K93+ROW()/1000000)</f>
        <v/>
      </c>
    </row>
    <row r="94">
      <c r="A94" s="12" t="n"/>
      <c r="B94" s="20">
        <f>IF($A94="","",IFERROR(INDEX(부서매핑!$D$5:$D$504,MATCH($A94,부서매핑!$C$5:$C$504,0)),"부서매핑 없음"))</f>
        <v/>
      </c>
      <c r="C94" s="12" t="n"/>
      <c r="D94" s="20">
        <f>IF($A94="","",IFERROR(INDEX(계정매핑!$D$5:$D$504,MATCH($C94,계정매핑!$C$5:$C$504,0)),"항목매핑 없음"))</f>
        <v/>
      </c>
      <c r="E94" s="19">
        <f>IF($A94="","",$A94&amp;"|"&amp;$C94)</f>
        <v/>
      </c>
      <c r="F94" s="28">
        <f>IF($A94="","",SUMIFS(예산_원본!$W$5:$W$3004,예산_원본!$T$5:$T$3004,$E94,예산_원본!$B$5:$B$3004,설정!$C$8,예산_원본!$U$5:$U$3004,설정!$C$6))</f>
        <v/>
      </c>
      <c r="G94" s="28">
        <f>IF($A94="","",SUMIFS(실적_원본!$N$5:$N$100000,실적_원본!$O$5:$O$100000,$E94,실적_원본!$L$5:$L$100000,설정!$C$6,실적_원본!$M$5:$M$100000,설정!$C$7))</f>
        <v/>
      </c>
      <c r="H94" s="44">
        <f>IF($A94="","",G94-F94)</f>
        <v/>
      </c>
      <c r="I94" s="28">
        <f>IF($A94="","",SUMIFS(예산_원본!$X$5:$X$3004,예산_원본!$T$5:$T$3004,$E94,예산_원본!$B$5:$B$3004,설정!$C$8,예산_원본!$U$5:$U$3004,설정!$C$6))</f>
        <v/>
      </c>
      <c r="J94" s="28">
        <f>IF($A94="","",SUMIFS(실적_원본!$N$5:$N$100000,실적_원본!$O$5:$O$100000,$E94,실적_원본!$L$5:$L$100000,설정!$C$6,실적_원본!$M$5:$M$100000,"&lt;="&amp;설정!$C$7))</f>
        <v/>
      </c>
      <c r="K94" s="44">
        <f>IF($A94="","",J94-I94)</f>
        <v/>
      </c>
      <c r="L94" s="45">
        <f>IF($A94="","",IF(I94=0,0,J94/I94))</f>
        <v/>
      </c>
      <c r="M94" s="28">
        <f>IF($A94="","",SUMIFS(예산_원본!$V$5:$V$3004,예산_원본!$T$5:$T$3004,$E94,예산_원본!$B$5:$B$3004,설정!$C$8,예산_원본!$U$5:$U$3004,설정!$C$6))</f>
        <v/>
      </c>
      <c r="N94" s="44">
        <f>IF($A94="","",M94-J94)</f>
        <v/>
      </c>
      <c r="O94" s="45">
        <f>IF($A94="","",IF(M94=0,0,J94/M94))</f>
        <v/>
      </c>
      <c r="P94" s="28">
        <f>IF($A94="","",SUMIFS(실적_원본!$N$5:$N$100000,실적_원본!$O$5:$O$100000,$E94,실적_원본!$L$5:$L$100000,설정!$C$6-1,실적_원본!$M$5:$M$100000,"&lt;="&amp;설정!$C$7))</f>
        <v/>
      </c>
      <c r="Q94" s="44">
        <f>IF($A94="","",J94-P94)</f>
        <v/>
      </c>
      <c r="R94" s="45">
        <f>IF($A94="","",IF(P94=0,0,J94/P94-1))</f>
        <v/>
      </c>
      <c r="S94" s="40">
        <f>IF($A94="","",IF(AND(I94=0,J94&lt;&gt;0),"무예산집행",IF(ABS(K94)&lt;설정!$C$13,"정상",IF(L94&gt;1+설정!$C$12,"초과",IF(L94&lt;1-설정!$C$12,"과소","정상")))))</f>
        <v/>
      </c>
      <c r="T94" s="20">
        <f>IF($A94="","",IFERROR(INDEX(코멘트!$E$5:$E$2004,MATCH(설정!$C$6&amp;"|"&amp;설정!$C$7&amp;"|"&amp;$E94,코멘트!$H$5:$H$2004,0)),""))</f>
        <v/>
      </c>
      <c r="U94" s="55">
        <f>IF($A94="","",IF(S94="정상",-1,ABS(K94)+ROW()/1000000))</f>
        <v/>
      </c>
      <c r="V94" s="55">
        <f>IF($A94="",0,K94+ROW()/1000000)</f>
        <v/>
      </c>
    </row>
    <row r="95">
      <c r="A95" s="12" t="n"/>
      <c r="B95" s="20">
        <f>IF($A95="","",IFERROR(INDEX(부서매핑!$D$5:$D$504,MATCH($A95,부서매핑!$C$5:$C$504,0)),"부서매핑 없음"))</f>
        <v/>
      </c>
      <c r="C95" s="12" t="n"/>
      <c r="D95" s="20">
        <f>IF($A95="","",IFERROR(INDEX(계정매핑!$D$5:$D$504,MATCH($C95,계정매핑!$C$5:$C$504,0)),"항목매핑 없음"))</f>
        <v/>
      </c>
      <c r="E95" s="19">
        <f>IF($A95="","",$A95&amp;"|"&amp;$C95)</f>
        <v/>
      </c>
      <c r="F95" s="28">
        <f>IF($A95="","",SUMIFS(예산_원본!$W$5:$W$3004,예산_원본!$T$5:$T$3004,$E95,예산_원본!$B$5:$B$3004,설정!$C$8,예산_원본!$U$5:$U$3004,설정!$C$6))</f>
        <v/>
      </c>
      <c r="G95" s="28">
        <f>IF($A95="","",SUMIFS(실적_원본!$N$5:$N$100000,실적_원본!$O$5:$O$100000,$E95,실적_원본!$L$5:$L$100000,설정!$C$6,실적_원본!$M$5:$M$100000,설정!$C$7))</f>
        <v/>
      </c>
      <c r="H95" s="44">
        <f>IF($A95="","",G95-F95)</f>
        <v/>
      </c>
      <c r="I95" s="28">
        <f>IF($A95="","",SUMIFS(예산_원본!$X$5:$X$3004,예산_원본!$T$5:$T$3004,$E95,예산_원본!$B$5:$B$3004,설정!$C$8,예산_원본!$U$5:$U$3004,설정!$C$6))</f>
        <v/>
      </c>
      <c r="J95" s="28">
        <f>IF($A95="","",SUMIFS(실적_원본!$N$5:$N$100000,실적_원본!$O$5:$O$100000,$E95,실적_원본!$L$5:$L$100000,설정!$C$6,실적_원본!$M$5:$M$100000,"&lt;="&amp;설정!$C$7))</f>
        <v/>
      </c>
      <c r="K95" s="44">
        <f>IF($A95="","",J95-I95)</f>
        <v/>
      </c>
      <c r="L95" s="45">
        <f>IF($A95="","",IF(I95=0,0,J95/I95))</f>
        <v/>
      </c>
      <c r="M95" s="28">
        <f>IF($A95="","",SUMIFS(예산_원본!$V$5:$V$3004,예산_원본!$T$5:$T$3004,$E95,예산_원본!$B$5:$B$3004,설정!$C$8,예산_원본!$U$5:$U$3004,설정!$C$6))</f>
        <v/>
      </c>
      <c r="N95" s="44">
        <f>IF($A95="","",M95-J95)</f>
        <v/>
      </c>
      <c r="O95" s="45">
        <f>IF($A95="","",IF(M95=0,0,J95/M95))</f>
        <v/>
      </c>
      <c r="P95" s="28">
        <f>IF($A95="","",SUMIFS(실적_원본!$N$5:$N$100000,실적_원본!$O$5:$O$100000,$E95,실적_원본!$L$5:$L$100000,설정!$C$6-1,실적_원본!$M$5:$M$100000,"&lt;="&amp;설정!$C$7))</f>
        <v/>
      </c>
      <c r="Q95" s="44">
        <f>IF($A95="","",J95-P95)</f>
        <v/>
      </c>
      <c r="R95" s="45">
        <f>IF($A95="","",IF(P95=0,0,J95/P95-1))</f>
        <v/>
      </c>
      <c r="S95" s="40">
        <f>IF($A95="","",IF(AND(I95=0,J95&lt;&gt;0),"무예산집행",IF(ABS(K95)&lt;설정!$C$13,"정상",IF(L95&gt;1+설정!$C$12,"초과",IF(L95&lt;1-설정!$C$12,"과소","정상")))))</f>
        <v/>
      </c>
      <c r="T95" s="20">
        <f>IF($A95="","",IFERROR(INDEX(코멘트!$E$5:$E$2004,MATCH(설정!$C$6&amp;"|"&amp;설정!$C$7&amp;"|"&amp;$E95,코멘트!$H$5:$H$2004,0)),""))</f>
        <v/>
      </c>
      <c r="U95" s="55">
        <f>IF($A95="","",IF(S95="정상",-1,ABS(K95)+ROW()/1000000))</f>
        <v/>
      </c>
      <c r="V95" s="55">
        <f>IF($A95="",0,K95+ROW()/1000000)</f>
        <v/>
      </c>
    </row>
  </sheetData>
  <autoFilter ref="A6:T95"/>
  <conditionalFormatting sqref="S7:S506">
    <cfRule type="cellIs" priority="1" operator="equal" dxfId="5">
      <formula>"초과"</formula>
    </cfRule>
    <cfRule type="cellIs" priority="2" operator="equal" dxfId="6">
      <formula>"과소"</formula>
    </cfRule>
    <cfRule type="cellIs" priority="3" operator="equal" dxfId="7">
      <formula>"무예산집행"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9" customWidth="1" min="3" max="3"/>
    <col width="11" customWidth="1" min="4" max="4"/>
    <col width="60" customWidth="1" min="5" max="5"/>
    <col width="16" customWidth="1" min="6" max="6"/>
    <col width="11" customWidth="1" min="7" max="7"/>
    <col width="16" customWidth="1" min="8" max="8"/>
  </cols>
  <sheetData>
    <row r="1">
      <c r="A1" s="1" t="inlineStr">
        <is>
          <t>원인·조치 코멘트</t>
        </is>
      </c>
    </row>
    <row r="2">
      <c r="A2" s="2" t="inlineStr">
        <is>
          <t>기준연도·기준월이 같은 코멘트가 집계·요약·예외목록·리포트에 표시됩니다 · 월별로 계속 쌓아 두세요</t>
        </is>
      </c>
    </row>
    <row r="4" ht="30" customHeight="1">
      <c r="A4" s="5" t="inlineStr">
        <is>
          <t>연도</t>
        </is>
      </c>
      <c r="B4" s="5" t="inlineStr">
        <is>
          <t>월</t>
        </is>
      </c>
      <c r="C4" s="5" t="inlineStr">
        <is>
          <t>부서코드</t>
        </is>
      </c>
      <c r="D4" s="5" t="inlineStr">
        <is>
          <t>예산항목코드</t>
        </is>
      </c>
      <c r="E4" s="5" t="inlineStr">
        <is>
          <t>원인·조치 코멘트</t>
        </is>
      </c>
      <c r="F4" s="5" t="inlineStr">
        <is>
          <t>작성자</t>
        </is>
      </c>
      <c r="G4" s="5" t="inlineStr">
        <is>
          <t>작성일</t>
        </is>
      </c>
      <c r="H4" s="43" t="inlineStr">
        <is>
          <t>키</t>
        </is>
      </c>
    </row>
    <row r="5">
      <c r="A5" s="12" t="n">
        <v>2026</v>
      </c>
      <c r="B5" s="12" t="n">
        <v>9</v>
      </c>
      <c r="C5" s="12" t="inlineStr">
        <is>
          <t>D500</t>
        </is>
      </c>
      <c r="D5" s="12" t="inlineStr">
        <is>
          <t>B07</t>
        </is>
      </c>
      <c r="E5" s="56" t="inlineStr">
        <is>
          <t>3분기 신상품 출시 캠페인(TV·디지털) 집행 앞당김. 4분기 집행분에서 조정 예정</t>
        </is>
      </c>
      <c r="F5" s="56" t="inlineStr">
        <is>
          <t>마케팅팀 김OO</t>
        </is>
      </c>
      <c r="G5" s="57" t="n">
        <v>46300</v>
      </c>
      <c r="H5" s="58">
        <f>IF($A5="","",$A5&amp;"|"&amp;$B5&amp;"|"&amp;$C5&amp;"|"&amp;$D5)</f>
        <v/>
      </c>
    </row>
    <row r="6">
      <c r="A6" s="12" t="n">
        <v>2026</v>
      </c>
      <c r="B6" s="12" t="n">
        <v>9</v>
      </c>
      <c r="C6" s="12" t="inlineStr">
        <is>
          <t>D700</t>
        </is>
      </c>
      <c r="D6" s="12" t="inlineStr">
        <is>
          <t>B10</t>
        </is>
      </c>
      <c r="E6" s="56" t="inlineStr">
        <is>
          <t>클라우드 사용량 증가, SW 유지보수 단가 인상(연 8%). 수정예산 반영 요청</t>
        </is>
      </c>
      <c r="F6" s="56" t="inlineStr">
        <is>
          <t>IT운영팀 이OO</t>
        </is>
      </c>
      <c r="G6" s="57" t="n">
        <v>46300</v>
      </c>
      <c r="H6" s="58">
        <f>IF($A6="","",$A6&amp;"|"&amp;$B6&amp;"|"&amp;$C6&amp;"|"&amp;$D6)</f>
        <v/>
      </c>
    </row>
    <row r="7">
      <c r="A7" s="12" t="n">
        <v>2026</v>
      </c>
      <c r="B7" s="12" t="n">
        <v>9</v>
      </c>
      <c r="C7" s="12" t="inlineStr">
        <is>
          <t>D400</t>
        </is>
      </c>
      <c r="D7" s="12" t="inlineStr">
        <is>
          <t>B09</t>
        </is>
      </c>
      <c r="E7" s="56" t="inlineStr">
        <is>
          <t>계리 검증 컨설팅 계약 지연 (11월 착수 예정)</t>
        </is>
      </c>
      <c r="F7" s="56" t="inlineStr">
        <is>
          <t>상품개발팀 박OO</t>
        </is>
      </c>
      <c r="G7" s="57" t="n">
        <v>46300</v>
      </c>
      <c r="H7" s="58">
        <f>IF($A7="","",$A7&amp;"|"&amp;$B7&amp;"|"&amp;$C7&amp;"|"&amp;$D7)</f>
        <v/>
      </c>
    </row>
    <row r="8">
      <c r="A8" s="12" t="n">
        <v>2026</v>
      </c>
      <c r="B8" s="12" t="n">
        <v>9</v>
      </c>
      <c r="C8" s="12" t="inlineStr">
        <is>
          <t>D300</t>
        </is>
      </c>
      <c r="D8" s="12" t="inlineStr">
        <is>
          <t>B08</t>
        </is>
      </c>
      <c r="E8" s="56" t="inlineStr">
        <is>
          <t>외부 위탁교육을 하반기에 집중 편성</t>
        </is>
      </c>
      <c r="F8" s="56" t="inlineStr">
        <is>
          <t>인사팀 최OO</t>
        </is>
      </c>
      <c r="G8" s="57" t="n">
        <v>46300</v>
      </c>
      <c r="H8" s="58">
        <f>IF($A8="","",$A8&amp;"|"&amp;$B8&amp;"|"&amp;$C8&amp;"|"&amp;$D8)</f>
        <v/>
      </c>
    </row>
    <row r="9">
      <c r="A9" s="12" t="n">
        <v>2026</v>
      </c>
      <c r="B9" s="12" t="n">
        <v>9</v>
      </c>
      <c r="C9" s="12" t="inlineStr">
        <is>
          <t>D300</t>
        </is>
      </c>
      <c r="D9" s="12" t="inlineStr">
        <is>
          <t>B07</t>
        </is>
      </c>
      <c r="E9" s="56" t="inlineStr">
        <is>
          <t>경력 채용 공고비. 예산 미편성 항목으로 전용 승인 진행 중</t>
        </is>
      </c>
      <c r="F9" s="56" t="inlineStr">
        <is>
          <t>인사팀 최OO</t>
        </is>
      </c>
      <c r="G9" s="57" t="n">
        <v>46300</v>
      </c>
      <c r="H9" s="58">
        <f>IF($A9="","",$A9&amp;"|"&amp;$B9&amp;"|"&amp;$C9&amp;"|"&amp;$D9)</f>
        <v/>
      </c>
    </row>
    <row r="10">
      <c r="A10" s="12" t="n">
        <v>2026</v>
      </c>
      <c r="B10" s="12" t="n">
        <v>9</v>
      </c>
      <c r="C10" s="12" t="inlineStr">
        <is>
          <t>D600</t>
        </is>
      </c>
      <c r="D10" s="12" t="inlineStr">
        <is>
          <t>B12</t>
        </is>
      </c>
      <c r="E10" s="56" t="inlineStr">
        <is>
          <t>지역본부 업무차량 정비비 일시 발생</t>
        </is>
      </c>
      <c r="F10" s="56" t="inlineStr">
        <is>
          <t>영업지원팀 정OO</t>
        </is>
      </c>
      <c r="G10" s="57" t="n">
        <v>46300</v>
      </c>
      <c r="H10" s="58">
        <f>IF($A10="","",$A10&amp;"|"&amp;$B10&amp;"|"&amp;$C10&amp;"|"&amp;$D10)</f>
        <v/>
      </c>
    </row>
    <row r="11">
      <c r="H11" s="58">
        <f>IF($A11="","",$A11&amp;"|"&amp;$B11&amp;"|"&amp;$C11&amp;"|"&amp;$D11)</f>
        <v/>
      </c>
    </row>
    <row r="12">
      <c r="H12" s="58">
        <f>IF($A12="","",$A12&amp;"|"&amp;$B12&amp;"|"&amp;$C12&amp;"|"&amp;$D12)</f>
        <v/>
      </c>
    </row>
    <row r="13">
      <c r="H13" s="58">
        <f>IF($A13="","",$A13&amp;"|"&amp;$B13&amp;"|"&amp;$C13&amp;"|"&amp;$D13)</f>
        <v/>
      </c>
    </row>
    <row r="14">
      <c r="H14" s="58">
        <f>IF($A14="","",$A14&amp;"|"&amp;$B14&amp;"|"&amp;$C14&amp;"|"&amp;$D14)</f>
        <v/>
      </c>
    </row>
    <row r="15">
      <c r="H15" s="58">
        <f>IF($A15="","",$A15&amp;"|"&amp;$B15&amp;"|"&amp;$C15&amp;"|"&amp;$D15)</f>
        <v/>
      </c>
    </row>
    <row r="16">
      <c r="H16" s="58">
        <f>IF($A16="","",$A16&amp;"|"&amp;$B16&amp;"|"&amp;$C16&amp;"|"&amp;$D16)</f>
        <v/>
      </c>
    </row>
    <row r="17">
      <c r="H17" s="58">
        <f>IF($A17="","",$A17&amp;"|"&amp;$B17&amp;"|"&amp;$C17&amp;"|"&amp;$D17)</f>
        <v/>
      </c>
    </row>
    <row r="18">
      <c r="H18" s="58">
        <f>IF($A18="","",$A18&amp;"|"&amp;$B18&amp;"|"&amp;$C18&amp;"|"&amp;$D18)</f>
        <v/>
      </c>
    </row>
    <row r="19">
      <c r="H19" s="58">
        <f>IF($A19="","",$A19&amp;"|"&amp;$B19&amp;"|"&amp;$C19&amp;"|"&amp;$D19)</f>
        <v/>
      </c>
    </row>
    <row r="20">
      <c r="H20" s="58">
        <f>IF($A20="","",$A20&amp;"|"&amp;$B20&amp;"|"&amp;$C20&amp;"|"&amp;$D20)</f>
        <v/>
      </c>
    </row>
    <row r="21">
      <c r="H21" s="58">
        <f>IF($A21="","",$A21&amp;"|"&amp;$B21&amp;"|"&amp;$C21&amp;"|"&amp;$D21)</f>
        <v/>
      </c>
    </row>
    <row r="22">
      <c r="H22" s="58">
        <f>IF($A22="","",$A22&amp;"|"&amp;$B22&amp;"|"&amp;$C22&amp;"|"&amp;$D22)</f>
        <v/>
      </c>
    </row>
    <row r="23">
      <c r="H23" s="58">
        <f>IF($A23="","",$A23&amp;"|"&amp;$B23&amp;"|"&amp;$C23&amp;"|"&amp;$D23)</f>
        <v/>
      </c>
    </row>
    <row r="24">
      <c r="H24" s="58">
        <f>IF($A24="","",$A24&amp;"|"&amp;$B24&amp;"|"&amp;$C24&amp;"|"&amp;$D24)</f>
        <v/>
      </c>
    </row>
    <row r="25">
      <c r="H25" s="58">
        <f>IF($A25="","",$A25&amp;"|"&amp;$B25&amp;"|"&amp;$C25&amp;"|"&amp;$D25)</f>
        <v/>
      </c>
    </row>
    <row r="26">
      <c r="H26" s="58">
        <f>IF($A26="","",$A26&amp;"|"&amp;$B26&amp;"|"&amp;$C26&amp;"|"&amp;$D26)</f>
        <v/>
      </c>
    </row>
    <row r="27">
      <c r="H27" s="58">
        <f>IF($A27="","",$A27&amp;"|"&amp;$B27&amp;"|"&amp;$C27&amp;"|"&amp;$D27)</f>
        <v/>
      </c>
    </row>
    <row r="28">
      <c r="H28" s="58">
        <f>IF($A28="","",$A28&amp;"|"&amp;$B28&amp;"|"&amp;$C28&amp;"|"&amp;$D28)</f>
        <v/>
      </c>
    </row>
    <row r="29">
      <c r="H29" s="58">
        <f>IF($A29="","",$A29&amp;"|"&amp;$B29&amp;"|"&amp;$C29&amp;"|"&amp;$D29)</f>
        <v/>
      </c>
    </row>
    <row r="30">
      <c r="H30" s="58">
        <f>IF($A30="","",$A30&amp;"|"&amp;$B30&amp;"|"&amp;$C30&amp;"|"&amp;$D30)</f>
        <v/>
      </c>
    </row>
    <row r="31">
      <c r="H31" s="58">
        <f>IF($A31="","",$A31&amp;"|"&amp;$B31&amp;"|"&amp;$C31&amp;"|"&amp;$D31)</f>
        <v/>
      </c>
    </row>
    <row r="32">
      <c r="H32" s="58">
        <f>IF($A32="","",$A32&amp;"|"&amp;$B32&amp;"|"&amp;$C32&amp;"|"&amp;$D32)</f>
        <v/>
      </c>
    </row>
    <row r="33">
      <c r="H33" s="58">
        <f>IF($A33="","",$A33&amp;"|"&amp;$B33&amp;"|"&amp;$C33&amp;"|"&amp;$D33)</f>
        <v/>
      </c>
    </row>
    <row r="34">
      <c r="H34" s="58">
        <f>IF($A34="","",$A34&amp;"|"&amp;$B34&amp;"|"&amp;$C34&amp;"|"&amp;$D34)</f>
        <v/>
      </c>
    </row>
    <row r="35">
      <c r="H35" s="58">
        <f>IF($A35="","",$A35&amp;"|"&amp;$B35&amp;"|"&amp;$C35&amp;"|"&amp;$D35)</f>
        <v/>
      </c>
    </row>
    <row r="36">
      <c r="H36" s="58">
        <f>IF($A36="","",$A36&amp;"|"&amp;$B36&amp;"|"&amp;$C36&amp;"|"&amp;$D36)</f>
        <v/>
      </c>
    </row>
    <row r="37">
      <c r="H37" s="58">
        <f>IF($A37="","",$A37&amp;"|"&amp;$B37&amp;"|"&amp;$C37&amp;"|"&amp;$D37)</f>
        <v/>
      </c>
    </row>
    <row r="38">
      <c r="H38" s="58">
        <f>IF($A38="","",$A38&amp;"|"&amp;$B38&amp;"|"&amp;$C38&amp;"|"&amp;$D38)</f>
        <v/>
      </c>
    </row>
    <row r="39">
      <c r="H39" s="58">
        <f>IF($A39="","",$A39&amp;"|"&amp;$B39&amp;"|"&amp;$C39&amp;"|"&amp;$D39)</f>
        <v/>
      </c>
    </row>
    <row r="40">
      <c r="H40" s="58">
        <f>IF($A40="","",$A40&amp;"|"&amp;$B40&amp;"|"&amp;$C40&amp;"|"&amp;$D40)</f>
        <v/>
      </c>
    </row>
    <row r="41">
      <c r="H41" s="58">
        <f>IF($A41="","",$A41&amp;"|"&amp;$B41&amp;"|"&amp;$C41&amp;"|"&amp;$D41)</f>
        <v/>
      </c>
    </row>
    <row r="42">
      <c r="H42" s="58">
        <f>IF($A42="","",$A42&amp;"|"&amp;$B42&amp;"|"&amp;$C42&amp;"|"&amp;$D42)</f>
        <v/>
      </c>
    </row>
    <row r="43">
      <c r="H43" s="58">
        <f>IF($A43="","",$A43&amp;"|"&amp;$B43&amp;"|"&amp;$C43&amp;"|"&amp;$D43)</f>
        <v/>
      </c>
    </row>
    <row r="44">
      <c r="H44" s="58">
        <f>IF($A44="","",$A44&amp;"|"&amp;$B44&amp;"|"&amp;$C44&amp;"|"&amp;$D44)</f>
        <v/>
      </c>
    </row>
    <row r="45">
      <c r="H45" s="58">
        <f>IF($A45="","",$A45&amp;"|"&amp;$B45&amp;"|"&amp;$C45&amp;"|"&amp;$D45)</f>
        <v/>
      </c>
    </row>
    <row r="46">
      <c r="H46" s="58">
        <f>IF($A46="","",$A46&amp;"|"&amp;$B46&amp;"|"&amp;$C46&amp;"|"&amp;$D46)</f>
        <v/>
      </c>
    </row>
    <row r="47">
      <c r="H47" s="58">
        <f>IF($A47="","",$A47&amp;"|"&amp;$B47&amp;"|"&amp;$C47&amp;"|"&amp;$D47)</f>
        <v/>
      </c>
    </row>
    <row r="48">
      <c r="H48" s="58">
        <f>IF($A48="","",$A48&amp;"|"&amp;$B48&amp;"|"&amp;$C48&amp;"|"&amp;$D48)</f>
        <v/>
      </c>
    </row>
    <row r="49">
      <c r="H49" s="58">
        <f>IF($A49="","",$A49&amp;"|"&amp;$B49&amp;"|"&amp;$C49&amp;"|"&amp;$D49)</f>
        <v/>
      </c>
    </row>
    <row r="50">
      <c r="H50" s="58">
        <f>IF($A50="","",$A50&amp;"|"&amp;$B50&amp;"|"&amp;$C50&amp;"|"&amp;$D50)</f>
        <v/>
      </c>
    </row>
    <row r="51">
      <c r="H51" s="58">
        <f>IF($A51="","",$A51&amp;"|"&amp;$B51&amp;"|"&amp;$C51&amp;"|"&amp;$D51)</f>
        <v/>
      </c>
    </row>
    <row r="52">
      <c r="H52" s="58">
        <f>IF($A52="","",$A52&amp;"|"&amp;$B52&amp;"|"&amp;$C52&amp;"|"&amp;$D52)</f>
        <v/>
      </c>
    </row>
    <row r="53">
      <c r="H53" s="58">
        <f>IF($A53="","",$A53&amp;"|"&amp;$B53&amp;"|"&amp;$C53&amp;"|"&amp;$D53)</f>
        <v/>
      </c>
    </row>
    <row r="54">
      <c r="H54" s="58">
        <f>IF($A54="","",$A54&amp;"|"&amp;$B54&amp;"|"&amp;$C54&amp;"|"&amp;$D54)</f>
        <v/>
      </c>
    </row>
    <row r="55">
      <c r="H55" s="58">
        <f>IF($A55="","",$A55&amp;"|"&amp;$B55&amp;"|"&amp;$C55&amp;"|"&amp;$D55)</f>
        <v/>
      </c>
    </row>
    <row r="56">
      <c r="H56" s="58">
        <f>IF($A56="","",$A56&amp;"|"&amp;$B56&amp;"|"&amp;$C56&amp;"|"&amp;$D56)</f>
        <v/>
      </c>
    </row>
    <row r="57">
      <c r="H57" s="58">
        <f>IF($A57="","",$A57&amp;"|"&amp;$B57&amp;"|"&amp;$C57&amp;"|"&amp;$D57)</f>
        <v/>
      </c>
    </row>
    <row r="58">
      <c r="H58" s="58">
        <f>IF($A58="","",$A58&amp;"|"&amp;$B58&amp;"|"&amp;$C58&amp;"|"&amp;$D58)</f>
        <v/>
      </c>
    </row>
    <row r="59">
      <c r="H59" s="58">
        <f>IF($A59="","",$A59&amp;"|"&amp;$B59&amp;"|"&amp;$C59&amp;"|"&amp;$D59)</f>
        <v/>
      </c>
    </row>
    <row r="60">
      <c r="H60" s="58">
        <f>IF($A60="","",$A60&amp;"|"&amp;$B60&amp;"|"&amp;$C60&amp;"|"&amp;$D60)</f>
        <v/>
      </c>
    </row>
    <row r="61">
      <c r="H61" s="58">
        <f>IF($A61="","",$A61&amp;"|"&amp;$B61&amp;"|"&amp;$C61&amp;"|"&amp;$D61)</f>
        <v/>
      </c>
    </row>
    <row r="62">
      <c r="H62" s="58">
        <f>IF($A62="","",$A62&amp;"|"&amp;$B62&amp;"|"&amp;$C62&amp;"|"&amp;$D62)</f>
        <v/>
      </c>
    </row>
    <row r="63">
      <c r="H63" s="58">
        <f>IF($A63="","",$A63&amp;"|"&amp;$B63&amp;"|"&amp;$C63&amp;"|"&amp;$D63)</f>
        <v/>
      </c>
    </row>
    <row r="64">
      <c r="H64" s="58">
        <f>IF($A64="","",$A64&amp;"|"&amp;$B64&amp;"|"&amp;$C64&amp;"|"&amp;$D64)</f>
        <v/>
      </c>
    </row>
    <row r="65">
      <c r="H65" s="58">
        <f>IF($A65="","",$A65&amp;"|"&amp;$B65&amp;"|"&amp;$C65&amp;"|"&amp;$D65)</f>
        <v/>
      </c>
    </row>
    <row r="66">
      <c r="H66" s="58">
        <f>IF($A66="","",$A66&amp;"|"&amp;$B66&amp;"|"&amp;$C66&amp;"|"&amp;$D66)</f>
        <v/>
      </c>
    </row>
    <row r="67">
      <c r="H67" s="58">
        <f>IF($A67="","",$A67&amp;"|"&amp;$B67&amp;"|"&amp;$C67&amp;"|"&amp;$D67)</f>
        <v/>
      </c>
    </row>
    <row r="68">
      <c r="H68" s="58">
        <f>IF($A68="","",$A68&amp;"|"&amp;$B68&amp;"|"&amp;$C68&amp;"|"&amp;$D68)</f>
        <v/>
      </c>
    </row>
    <row r="69">
      <c r="H69" s="58">
        <f>IF($A69="","",$A69&amp;"|"&amp;$B69&amp;"|"&amp;$C69&amp;"|"&amp;$D69)</f>
        <v/>
      </c>
    </row>
    <row r="70">
      <c r="H70" s="58">
        <f>IF($A70="","",$A70&amp;"|"&amp;$B70&amp;"|"&amp;$C70&amp;"|"&amp;$D70)</f>
        <v/>
      </c>
    </row>
    <row r="71">
      <c r="H71" s="58">
        <f>IF($A71="","",$A71&amp;"|"&amp;$B71&amp;"|"&amp;$C71&amp;"|"&amp;$D71)</f>
        <v/>
      </c>
    </row>
    <row r="72">
      <c r="H72" s="58">
        <f>IF($A72="","",$A72&amp;"|"&amp;$B72&amp;"|"&amp;$C72&amp;"|"&amp;$D72)</f>
        <v/>
      </c>
    </row>
    <row r="73">
      <c r="H73" s="58">
        <f>IF($A73="","",$A73&amp;"|"&amp;$B73&amp;"|"&amp;$C73&amp;"|"&amp;$D73)</f>
        <v/>
      </c>
    </row>
    <row r="74">
      <c r="H74" s="58">
        <f>IF($A74="","",$A74&amp;"|"&amp;$B74&amp;"|"&amp;$C74&amp;"|"&amp;$D74)</f>
        <v/>
      </c>
    </row>
    <row r="75">
      <c r="H75" s="58">
        <f>IF($A75="","",$A75&amp;"|"&amp;$B75&amp;"|"&amp;$C75&amp;"|"&amp;$D75)</f>
        <v/>
      </c>
    </row>
    <row r="76">
      <c r="H76" s="58">
        <f>IF($A76="","",$A76&amp;"|"&amp;$B76&amp;"|"&amp;$C76&amp;"|"&amp;$D76)</f>
        <v/>
      </c>
    </row>
    <row r="77">
      <c r="H77" s="58">
        <f>IF($A77="","",$A77&amp;"|"&amp;$B77&amp;"|"&amp;$C77&amp;"|"&amp;$D77)</f>
        <v/>
      </c>
    </row>
    <row r="78">
      <c r="H78" s="58">
        <f>IF($A78="","",$A78&amp;"|"&amp;$B78&amp;"|"&amp;$C78&amp;"|"&amp;$D78)</f>
        <v/>
      </c>
    </row>
    <row r="79">
      <c r="H79" s="58">
        <f>IF($A79="","",$A79&amp;"|"&amp;$B79&amp;"|"&amp;$C79&amp;"|"&amp;$D79)</f>
        <v/>
      </c>
    </row>
    <row r="80">
      <c r="H80" s="58">
        <f>IF($A80="","",$A80&amp;"|"&amp;$B80&amp;"|"&amp;$C80&amp;"|"&amp;$D80)</f>
        <v/>
      </c>
    </row>
    <row r="81">
      <c r="H81" s="58">
        <f>IF($A81="","",$A81&amp;"|"&amp;$B81&amp;"|"&amp;$C81&amp;"|"&amp;$D81)</f>
        <v/>
      </c>
    </row>
    <row r="82">
      <c r="H82" s="58">
        <f>IF($A82="","",$A82&amp;"|"&amp;$B82&amp;"|"&amp;$C82&amp;"|"&amp;$D82)</f>
        <v/>
      </c>
    </row>
    <row r="83">
      <c r="H83" s="58">
        <f>IF($A83="","",$A83&amp;"|"&amp;$B83&amp;"|"&amp;$C83&amp;"|"&amp;$D83)</f>
        <v/>
      </c>
    </row>
    <row r="84">
      <c r="H84" s="58">
        <f>IF($A84="","",$A84&amp;"|"&amp;$B84&amp;"|"&amp;$C84&amp;"|"&amp;$D84)</f>
        <v/>
      </c>
    </row>
    <row r="85">
      <c r="H85" s="58">
        <f>IF($A85="","",$A85&amp;"|"&amp;$B85&amp;"|"&amp;$C85&amp;"|"&amp;$D85)</f>
        <v/>
      </c>
    </row>
    <row r="86">
      <c r="H86" s="58">
        <f>IF($A86="","",$A86&amp;"|"&amp;$B86&amp;"|"&amp;$C86&amp;"|"&amp;$D86)</f>
        <v/>
      </c>
    </row>
    <row r="87">
      <c r="H87" s="58">
        <f>IF($A87="","",$A87&amp;"|"&amp;$B87&amp;"|"&amp;$C87&amp;"|"&amp;$D87)</f>
        <v/>
      </c>
    </row>
    <row r="88">
      <c r="H88" s="58">
        <f>IF($A88="","",$A88&amp;"|"&amp;$B88&amp;"|"&amp;$C88&amp;"|"&amp;$D88)</f>
        <v/>
      </c>
    </row>
    <row r="89">
      <c r="H89" s="58">
        <f>IF($A89="","",$A89&amp;"|"&amp;$B89&amp;"|"&amp;$C89&amp;"|"&amp;$D89)</f>
        <v/>
      </c>
    </row>
    <row r="90">
      <c r="H90" s="58">
        <f>IF($A90="","",$A90&amp;"|"&amp;$B90&amp;"|"&amp;$C90&amp;"|"&amp;$D90)</f>
        <v/>
      </c>
    </row>
    <row r="91">
      <c r="H91" s="58">
        <f>IF($A91="","",$A91&amp;"|"&amp;$B91&amp;"|"&amp;$C91&amp;"|"&amp;$D91)</f>
        <v/>
      </c>
    </row>
    <row r="92">
      <c r="H92" s="58">
        <f>IF($A92="","",$A92&amp;"|"&amp;$B92&amp;"|"&amp;$C92&amp;"|"&amp;$D92)</f>
        <v/>
      </c>
    </row>
    <row r="93">
      <c r="H93" s="58">
        <f>IF($A93="","",$A93&amp;"|"&amp;$B93&amp;"|"&amp;$C93&amp;"|"&amp;$D93)</f>
        <v/>
      </c>
    </row>
    <row r="94">
      <c r="H94" s="58">
        <f>IF($A94="","",$A94&amp;"|"&amp;$B94&amp;"|"&amp;$C94&amp;"|"&amp;$D94)</f>
        <v/>
      </c>
    </row>
    <row r="95">
      <c r="H95" s="58">
        <f>IF($A95="","",$A95&amp;"|"&amp;$B95&amp;"|"&amp;$C95&amp;"|"&amp;$D95)</f>
        <v/>
      </c>
    </row>
    <row r="96">
      <c r="H96" s="58">
        <f>IF($A96="","",$A96&amp;"|"&amp;$B96&amp;"|"&amp;$C96&amp;"|"&amp;$D96)</f>
        <v/>
      </c>
    </row>
    <row r="97">
      <c r="H97" s="58">
        <f>IF($A97="","",$A97&amp;"|"&amp;$B97&amp;"|"&amp;$C97&amp;"|"&amp;$D97)</f>
        <v/>
      </c>
    </row>
    <row r="98">
      <c r="H98" s="58">
        <f>IF($A98="","",$A98&amp;"|"&amp;$B98&amp;"|"&amp;$C98&amp;"|"&amp;$D98)</f>
        <v/>
      </c>
    </row>
    <row r="99">
      <c r="H99" s="58">
        <f>IF($A99="","",$A99&amp;"|"&amp;$B99&amp;"|"&amp;$C99&amp;"|"&amp;$D99)</f>
        <v/>
      </c>
    </row>
    <row r="100">
      <c r="H100" s="58">
        <f>IF($A100="","",$A100&amp;"|"&amp;$B100&amp;"|"&amp;$C100&amp;"|"&amp;$D100)</f>
        <v/>
      </c>
    </row>
    <row r="101">
      <c r="H101" s="58">
        <f>IF($A101="","",$A101&amp;"|"&amp;$B101&amp;"|"&amp;$C101&amp;"|"&amp;$D101)</f>
        <v/>
      </c>
    </row>
    <row r="102">
      <c r="H102" s="58">
        <f>IF($A102="","",$A102&amp;"|"&amp;$B102&amp;"|"&amp;$C102&amp;"|"&amp;$D102)</f>
        <v/>
      </c>
    </row>
    <row r="103">
      <c r="H103" s="58">
        <f>IF($A103="","",$A103&amp;"|"&amp;$B103&amp;"|"&amp;$C103&amp;"|"&amp;$D103)</f>
        <v/>
      </c>
    </row>
    <row r="104">
      <c r="H104" s="58">
        <f>IF($A104="","",$A104&amp;"|"&amp;$B104&amp;"|"&amp;$C104&amp;"|"&amp;$D104)</f>
        <v/>
      </c>
    </row>
    <row r="105">
      <c r="H105" s="58">
        <f>IF($A105="","",$A105&amp;"|"&amp;$B105&amp;"|"&amp;$C105&amp;"|"&amp;$D105)</f>
        <v/>
      </c>
    </row>
    <row r="106">
      <c r="H106" s="58">
        <f>IF($A106="","",$A106&amp;"|"&amp;$B106&amp;"|"&amp;$C106&amp;"|"&amp;$D106)</f>
        <v/>
      </c>
    </row>
    <row r="107">
      <c r="H107" s="58">
        <f>IF($A107="","",$A107&amp;"|"&amp;$B107&amp;"|"&amp;$C107&amp;"|"&amp;$D107)</f>
        <v/>
      </c>
    </row>
    <row r="108">
      <c r="H108" s="58">
        <f>IF($A108="","",$A108&amp;"|"&amp;$B108&amp;"|"&amp;$C108&amp;"|"&amp;$D108)</f>
        <v/>
      </c>
    </row>
    <row r="109">
      <c r="H109" s="58">
        <f>IF($A109="","",$A109&amp;"|"&amp;$B109&amp;"|"&amp;$C109&amp;"|"&amp;$D109)</f>
        <v/>
      </c>
    </row>
    <row r="110">
      <c r="H110" s="58">
        <f>IF($A110="","",$A110&amp;"|"&amp;$B110&amp;"|"&amp;$C110&amp;"|"&amp;$D110)</f>
        <v/>
      </c>
    </row>
    <row r="111">
      <c r="H111" s="58">
        <f>IF($A111="","",$A111&amp;"|"&amp;$B111&amp;"|"&amp;$C111&amp;"|"&amp;$D111)</f>
        <v/>
      </c>
    </row>
    <row r="112">
      <c r="H112" s="58">
        <f>IF($A112="","",$A112&amp;"|"&amp;$B112&amp;"|"&amp;$C112&amp;"|"&amp;$D112)</f>
        <v/>
      </c>
    </row>
    <row r="113">
      <c r="H113" s="58">
        <f>IF($A113="","",$A113&amp;"|"&amp;$B113&amp;"|"&amp;$C113&amp;"|"&amp;$D113)</f>
        <v/>
      </c>
    </row>
    <row r="114">
      <c r="H114" s="58">
        <f>IF($A114="","",$A114&amp;"|"&amp;$B114&amp;"|"&amp;$C114&amp;"|"&amp;$D114)</f>
        <v/>
      </c>
    </row>
    <row r="115">
      <c r="H115" s="58">
        <f>IF($A115="","",$A115&amp;"|"&amp;$B115&amp;"|"&amp;$C115&amp;"|"&amp;$D115)</f>
        <v/>
      </c>
    </row>
    <row r="116">
      <c r="H116" s="58">
        <f>IF($A116="","",$A116&amp;"|"&amp;$B116&amp;"|"&amp;$C116&amp;"|"&amp;$D116)</f>
        <v/>
      </c>
    </row>
    <row r="117">
      <c r="H117" s="58">
        <f>IF($A117="","",$A117&amp;"|"&amp;$B117&amp;"|"&amp;$C117&amp;"|"&amp;$D117)</f>
        <v/>
      </c>
    </row>
    <row r="118">
      <c r="H118" s="58">
        <f>IF($A118="","",$A118&amp;"|"&amp;$B118&amp;"|"&amp;$C118&amp;"|"&amp;$D118)</f>
        <v/>
      </c>
    </row>
    <row r="119">
      <c r="H119" s="58">
        <f>IF($A119="","",$A119&amp;"|"&amp;$B119&amp;"|"&amp;$C119&amp;"|"&amp;$D119)</f>
        <v/>
      </c>
    </row>
    <row r="120">
      <c r="H120" s="58">
        <f>IF($A120="","",$A120&amp;"|"&amp;$B120&amp;"|"&amp;$C120&amp;"|"&amp;$D120)</f>
        <v/>
      </c>
    </row>
    <row r="121">
      <c r="H121" s="58">
        <f>IF($A121="","",$A121&amp;"|"&amp;$B121&amp;"|"&amp;$C121&amp;"|"&amp;$D121)</f>
        <v/>
      </c>
    </row>
    <row r="122">
      <c r="H122" s="58">
        <f>IF($A122="","",$A122&amp;"|"&amp;$B122&amp;"|"&amp;$C122&amp;"|"&amp;$D122)</f>
        <v/>
      </c>
    </row>
    <row r="123">
      <c r="H123" s="58">
        <f>IF($A123="","",$A123&amp;"|"&amp;$B123&amp;"|"&amp;$C123&amp;"|"&amp;$D123)</f>
        <v/>
      </c>
    </row>
    <row r="124">
      <c r="H124" s="58">
        <f>IF($A124="","",$A124&amp;"|"&amp;$B124&amp;"|"&amp;$C124&amp;"|"&amp;$D124)</f>
        <v/>
      </c>
    </row>
    <row r="125">
      <c r="H125" s="58">
        <f>IF($A125="","",$A125&amp;"|"&amp;$B125&amp;"|"&amp;$C125&amp;"|"&amp;$D125)</f>
        <v/>
      </c>
    </row>
    <row r="126">
      <c r="H126" s="58">
        <f>IF($A126="","",$A126&amp;"|"&amp;$B126&amp;"|"&amp;$C126&amp;"|"&amp;$D126)</f>
        <v/>
      </c>
    </row>
    <row r="127">
      <c r="H127" s="58">
        <f>IF($A127="","",$A127&amp;"|"&amp;$B127&amp;"|"&amp;$C127&amp;"|"&amp;$D127)</f>
        <v/>
      </c>
    </row>
    <row r="128">
      <c r="H128" s="58">
        <f>IF($A128="","",$A128&amp;"|"&amp;$B128&amp;"|"&amp;$C128&amp;"|"&amp;$D128)</f>
        <v/>
      </c>
    </row>
    <row r="129">
      <c r="H129" s="58">
        <f>IF($A129="","",$A129&amp;"|"&amp;$B129&amp;"|"&amp;$C129&amp;"|"&amp;$D129)</f>
        <v/>
      </c>
    </row>
    <row r="130">
      <c r="H130" s="58">
        <f>IF($A130="","",$A130&amp;"|"&amp;$B130&amp;"|"&amp;$C130&amp;"|"&amp;$D130)</f>
        <v/>
      </c>
    </row>
    <row r="131">
      <c r="H131" s="58">
        <f>IF($A131="","",$A131&amp;"|"&amp;$B131&amp;"|"&amp;$C131&amp;"|"&amp;$D131)</f>
        <v/>
      </c>
    </row>
    <row r="132">
      <c r="H132" s="58">
        <f>IF($A132="","",$A132&amp;"|"&amp;$B132&amp;"|"&amp;$C132&amp;"|"&amp;$D132)</f>
        <v/>
      </c>
    </row>
    <row r="133">
      <c r="H133" s="58">
        <f>IF($A133="","",$A133&amp;"|"&amp;$B133&amp;"|"&amp;$C133&amp;"|"&amp;$D133)</f>
        <v/>
      </c>
    </row>
    <row r="134">
      <c r="H134" s="58">
        <f>IF($A134="","",$A134&amp;"|"&amp;$B134&amp;"|"&amp;$C134&amp;"|"&amp;$D134)</f>
        <v/>
      </c>
    </row>
    <row r="135">
      <c r="H135" s="58">
        <f>IF($A135="","",$A135&amp;"|"&amp;$B135&amp;"|"&amp;$C135&amp;"|"&amp;$D135)</f>
        <v/>
      </c>
    </row>
    <row r="136">
      <c r="H136" s="58">
        <f>IF($A136="","",$A136&amp;"|"&amp;$B136&amp;"|"&amp;$C136&amp;"|"&amp;$D136)</f>
        <v/>
      </c>
    </row>
    <row r="137">
      <c r="H137" s="58">
        <f>IF($A137="","",$A137&amp;"|"&amp;$B137&amp;"|"&amp;$C137&amp;"|"&amp;$D137)</f>
        <v/>
      </c>
    </row>
    <row r="138">
      <c r="H138" s="58">
        <f>IF($A138="","",$A138&amp;"|"&amp;$B138&amp;"|"&amp;$C138&amp;"|"&amp;$D138)</f>
        <v/>
      </c>
    </row>
    <row r="139">
      <c r="H139" s="58">
        <f>IF($A139="","",$A139&amp;"|"&amp;$B139&amp;"|"&amp;$C139&amp;"|"&amp;$D139)</f>
        <v/>
      </c>
    </row>
    <row r="140">
      <c r="H140" s="58">
        <f>IF($A140="","",$A140&amp;"|"&amp;$B140&amp;"|"&amp;$C140&amp;"|"&amp;$D140)</f>
        <v/>
      </c>
    </row>
    <row r="141">
      <c r="H141" s="58">
        <f>IF($A141="","",$A141&amp;"|"&amp;$B141&amp;"|"&amp;$C141&amp;"|"&amp;$D141)</f>
        <v/>
      </c>
    </row>
    <row r="142">
      <c r="H142" s="58">
        <f>IF($A142="","",$A142&amp;"|"&amp;$B142&amp;"|"&amp;$C142&amp;"|"&amp;$D142)</f>
        <v/>
      </c>
    </row>
    <row r="143">
      <c r="H143" s="58">
        <f>IF($A143="","",$A143&amp;"|"&amp;$B143&amp;"|"&amp;$C143&amp;"|"&amp;$D143)</f>
        <v/>
      </c>
    </row>
    <row r="144">
      <c r="H144" s="58">
        <f>IF($A144="","",$A144&amp;"|"&amp;$B144&amp;"|"&amp;$C144&amp;"|"&amp;$D144)</f>
        <v/>
      </c>
    </row>
    <row r="145">
      <c r="H145" s="58">
        <f>IF($A145="","",$A145&amp;"|"&amp;$B145&amp;"|"&amp;$C145&amp;"|"&amp;$D145)</f>
        <v/>
      </c>
    </row>
    <row r="146">
      <c r="H146" s="58">
        <f>IF($A146="","",$A146&amp;"|"&amp;$B146&amp;"|"&amp;$C146&amp;"|"&amp;$D146)</f>
        <v/>
      </c>
    </row>
    <row r="147">
      <c r="H147" s="58">
        <f>IF($A147="","",$A147&amp;"|"&amp;$B147&amp;"|"&amp;$C147&amp;"|"&amp;$D147)</f>
        <v/>
      </c>
    </row>
    <row r="148">
      <c r="H148" s="58">
        <f>IF($A148="","",$A148&amp;"|"&amp;$B148&amp;"|"&amp;$C148&amp;"|"&amp;$D148)</f>
        <v/>
      </c>
    </row>
    <row r="149">
      <c r="H149" s="58">
        <f>IF($A149="","",$A149&amp;"|"&amp;$B149&amp;"|"&amp;$C149&amp;"|"&amp;$D149)</f>
        <v/>
      </c>
    </row>
    <row r="150">
      <c r="H150" s="58">
        <f>IF($A150="","",$A150&amp;"|"&amp;$B150&amp;"|"&amp;$C150&amp;"|"&amp;$D150)</f>
        <v/>
      </c>
    </row>
    <row r="151">
      <c r="H151" s="58">
        <f>IF($A151="","",$A151&amp;"|"&amp;$B151&amp;"|"&amp;$C151&amp;"|"&amp;$D151)</f>
        <v/>
      </c>
    </row>
    <row r="152">
      <c r="H152" s="58">
        <f>IF($A152="","",$A152&amp;"|"&amp;$B152&amp;"|"&amp;$C152&amp;"|"&amp;$D152)</f>
        <v/>
      </c>
    </row>
    <row r="153">
      <c r="H153" s="58">
        <f>IF($A153="","",$A153&amp;"|"&amp;$B153&amp;"|"&amp;$C153&amp;"|"&amp;$D153)</f>
        <v/>
      </c>
    </row>
    <row r="154">
      <c r="H154" s="58">
        <f>IF($A154="","",$A154&amp;"|"&amp;$B154&amp;"|"&amp;$C154&amp;"|"&amp;$D154)</f>
        <v/>
      </c>
    </row>
    <row r="155">
      <c r="H155" s="58">
        <f>IF($A155="","",$A155&amp;"|"&amp;$B155&amp;"|"&amp;$C155&amp;"|"&amp;$D155)</f>
        <v/>
      </c>
    </row>
    <row r="156">
      <c r="H156" s="58">
        <f>IF($A156="","",$A156&amp;"|"&amp;$B156&amp;"|"&amp;$C156&amp;"|"&amp;$D156)</f>
        <v/>
      </c>
    </row>
    <row r="157">
      <c r="H157" s="58">
        <f>IF($A157="","",$A157&amp;"|"&amp;$B157&amp;"|"&amp;$C157&amp;"|"&amp;$D157)</f>
        <v/>
      </c>
    </row>
    <row r="158">
      <c r="H158" s="58">
        <f>IF($A158="","",$A158&amp;"|"&amp;$B158&amp;"|"&amp;$C158&amp;"|"&amp;$D158)</f>
        <v/>
      </c>
    </row>
    <row r="159">
      <c r="H159" s="58">
        <f>IF($A159="","",$A159&amp;"|"&amp;$B159&amp;"|"&amp;$C159&amp;"|"&amp;$D159)</f>
        <v/>
      </c>
    </row>
    <row r="160">
      <c r="H160" s="58">
        <f>IF($A160="","",$A160&amp;"|"&amp;$B160&amp;"|"&amp;$C160&amp;"|"&amp;$D160)</f>
        <v/>
      </c>
    </row>
    <row r="161">
      <c r="H161" s="58">
        <f>IF($A161="","",$A161&amp;"|"&amp;$B161&amp;"|"&amp;$C161&amp;"|"&amp;$D161)</f>
        <v/>
      </c>
    </row>
    <row r="162">
      <c r="H162" s="58">
        <f>IF($A162="","",$A162&amp;"|"&amp;$B162&amp;"|"&amp;$C162&amp;"|"&amp;$D162)</f>
        <v/>
      </c>
    </row>
    <row r="163">
      <c r="H163" s="58">
        <f>IF($A163="","",$A163&amp;"|"&amp;$B163&amp;"|"&amp;$C163&amp;"|"&amp;$D163)</f>
        <v/>
      </c>
    </row>
    <row r="164">
      <c r="H164" s="58">
        <f>IF($A164="","",$A164&amp;"|"&amp;$B164&amp;"|"&amp;$C164&amp;"|"&amp;$D164)</f>
        <v/>
      </c>
    </row>
    <row r="165">
      <c r="H165" s="58">
        <f>IF($A165="","",$A165&amp;"|"&amp;$B165&amp;"|"&amp;$C165&amp;"|"&amp;$D165)</f>
        <v/>
      </c>
    </row>
    <row r="166">
      <c r="H166" s="58">
        <f>IF($A166="","",$A166&amp;"|"&amp;$B166&amp;"|"&amp;$C166&amp;"|"&amp;$D166)</f>
        <v/>
      </c>
    </row>
    <row r="167">
      <c r="H167" s="58">
        <f>IF($A167="","",$A167&amp;"|"&amp;$B167&amp;"|"&amp;$C167&amp;"|"&amp;$D167)</f>
        <v/>
      </c>
    </row>
    <row r="168">
      <c r="H168" s="58">
        <f>IF($A168="","",$A168&amp;"|"&amp;$B168&amp;"|"&amp;$C168&amp;"|"&amp;$D168)</f>
        <v/>
      </c>
    </row>
    <row r="169">
      <c r="H169" s="58">
        <f>IF($A169="","",$A169&amp;"|"&amp;$B169&amp;"|"&amp;$C169&amp;"|"&amp;$D169)</f>
        <v/>
      </c>
    </row>
    <row r="170">
      <c r="H170" s="58">
        <f>IF($A170="","",$A170&amp;"|"&amp;$B170&amp;"|"&amp;$C170&amp;"|"&amp;$D170)</f>
        <v/>
      </c>
    </row>
    <row r="171">
      <c r="H171" s="58">
        <f>IF($A171="","",$A171&amp;"|"&amp;$B171&amp;"|"&amp;$C171&amp;"|"&amp;$D171)</f>
        <v/>
      </c>
    </row>
    <row r="172">
      <c r="H172" s="58">
        <f>IF($A172="","",$A172&amp;"|"&amp;$B172&amp;"|"&amp;$C172&amp;"|"&amp;$D172)</f>
        <v/>
      </c>
    </row>
    <row r="173">
      <c r="H173" s="58">
        <f>IF($A173="","",$A173&amp;"|"&amp;$B173&amp;"|"&amp;$C173&amp;"|"&amp;$D173)</f>
        <v/>
      </c>
    </row>
    <row r="174">
      <c r="H174" s="58">
        <f>IF($A174="","",$A174&amp;"|"&amp;$B174&amp;"|"&amp;$C174&amp;"|"&amp;$D174)</f>
        <v/>
      </c>
    </row>
    <row r="175">
      <c r="H175" s="58">
        <f>IF($A175="","",$A175&amp;"|"&amp;$B175&amp;"|"&amp;$C175&amp;"|"&amp;$D175)</f>
        <v/>
      </c>
    </row>
    <row r="176">
      <c r="H176" s="58">
        <f>IF($A176="","",$A176&amp;"|"&amp;$B176&amp;"|"&amp;$C176&amp;"|"&amp;$D176)</f>
        <v/>
      </c>
    </row>
    <row r="177">
      <c r="H177" s="58">
        <f>IF($A177="","",$A177&amp;"|"&amp;$B177&amp;"|"&amp;$C177&amp;"|"&amp;$D177)</f>
        <v/>
      </c>
    </row>
    <row r="178">
      <c r="H178" s="58">
        <f>IF($A178="","",$A178&amp;"|"&amp;$B178&amp;"|"&amp;$C178&amp;"|"&amp;$D178)</f>
        <v/>
      </c>
    </row>
    <row r="179">
      <c r="H179" s="58">
        <f>IF($A179="","",$A179&amp;"|"&amp;$B179&amp;"|"&amp;$C179&amp;"|"&amp;$D179)</f>
        <v/>
      </c>
    </row>
    <row r="180">
      <c r="H180" s="58">
        <f>IF($A180="","",$A180&amp;"|"&amp;$B180&amp;"|"&amp;$C180&amp;"|"&amp;$D180)</f>
        <v/>
      </c>
    </row>
    <row r="181">
      <c r="H181" s="58">
        <f>IF($A181="","",$A181&amp;"|"&amp;$B181&amp;"|"&amp;$C181&amp;"|"&amp;$D181)</f>
        <v/>
      </c>
    </row>
    <row r="182">
      <c r="H182" s="58">
        <f>IF($A182="","",$A182&amp;"|"&amp;$B182&amp;"|"&amp;$C182&amp;"|"&amp;$D182)</f>
        <v/>
      </c>
    </row>
    <row r="183">
      <c r="H183" s="58">
        <f>IF($A183="","",$A183&amp;"|"&amp;$B183&amp;"|"&amp;$C183&amp;"|"&amp;$D183)</f>
        <v/>
      </c>
    </row>
    <row r="184">
      <c r="H184" s="58">
        <f>IF($A184="","",$A184&amp;"|"&amp;$B184&amp;"|"&amp;$C184&amp;"|"&amp;$D184)</f>
        <v/>
      </c>
    </row>
    <row r="185">
      <c r="H185" s="58">
        <f>IF($A185="","",$A185&amp;"|"&amp;$B185&amp;"|"&amp;$C185&amp;"|"&amp;$D185)</f>
        <v/>
      </c>
    </row>
    <row r="186">
      <c r="H186" s="58">
        <f>IF($A186="","",$A186&amp;"|"&amp;$B186&amp;"|"&amp;$C186&amp;"|"&amp;$D186)</f>
        <v/>
      </c>
    </row>
    <row r="187">
      <c r="H187" s="58">
        <f>IF($A187="","",$A187&amp;"|"&amp;$B187&amp;"|"&amp;$C187&amp;"|"&amp;$D187)</f>
        <v/>
      </c>
    </row>
    <row r="188">
      <c r="H188" s="58">
        <f>IF($A188="","",$A188&amp;"|"&amp;$B188&amp;"|"&amp;$C188&amp;"|"&amp;$D188)</f>
        <v/>
      </c>
    </row>
    <row r="189">
      <c r="H189" s="58">
        <f>IF($A189="","",$A189&amp;"|"&amp;$B189&amp;"|"&amp;$C189&amp;"|"&amp;$D189)</f>
        <v/>
      </c>
    </row>
    <row r="190">
      <c r="H190" s="58">
        <f>IF($A190="","",$A190&amp;"|"&amp;$B190&amp;"|"&amp;$C190&amp;"|"&amp;$D190)</f>
        <v/>
      </c>
    </row>
    <row r="191">
      <c r="H191" s="58">
        <f>IF($A191="","",$A191&amp;"|"&amp;$B191&amp;"|"&amp;$C191&amp;"|"&amp;$D191)</f>
        <v/>
      </c>
    </row>
    <row r="192">
      <c r="H192" s="58">
        <f>IF($A192="","",$A192&amp;"|"&amp;$B192&amp;"|"&amp;$C192&amp;"|"&amp;$D192)</f>
        <v/>
      </c>
    </row>
    <row r="193">
      <c r="H193" s="58">
        <f>IF($A193="","",$A193&amp;"|"&amp;$B193&amp;"|"&amp;$C193&amp;"|"&amp;$D193)</f>
        <v/>
      </c>
    </row>
    <row r="194">
      <c r="H194" s="58">
        <f>IF($A194="","",$A194&amp;"|"&amp;$B194&amp;"|"&amp;$C194&amp;"|"&amp;$D194)</f>
        <v/>
      </c>
    </row>
    <row r="195">
      <c r="H195" s="58">
        <f>IF($A195="","",$A195&amp;"|"&amp;$B195&amp;"|"&amp;$C195&amp;"|"&amp;$D195)</f>
        <v/>
      </c>
    </row>
    <row r="196">
      <c r="H196" s="58">
        <f>IF($A196="","",$A196&amp;"|"&amp;$B196&amp;"|"&amp;$C196&amp;"|"&amp;$D196)</f>
        <v/>
      </c>
    </row>
    <row r="197">
      <c r="H197" s="58">
        <f>IF($A197="","",$A197&amp;"|"&amp;$B197&amp;"|"&amp;$C197&amp;"|"&amp;$D197)</f>
        <v/>
      </c>
    </row>
    <row r="198">
      <c r="H198" s="58">
        <f>IF($A198="","",$A198&amp;"|"&amp;$B198&amp;"|"&amp;$C198&amp;"|"&amp;$D198)</f>
        <v/>
      </c>
    </row>
    <row r="199">
      <c r="H199" s="58">
        <f>IF($A199="","",$A199&amp;"|"&amp;$B199&amp;"|"&amp;$C199&amp;"|"&amp;$D199)</f>
        <v/>
      </c>
    </row>
    <row r="200">
      <c r="H200" s="58">
        <f>IF($A200="","",$A200&amp;"|"&amp;$B200&amp;"|"&amp;$C200&amp;"|"&amp;$D200)</f>
        <v/>
      </c>
    </row>
    <row r="201">
      <c r="H201" s="58">
        <f>IF($A201="","",$A201&amp;"|"&amp;$B201&amp;"|"&amp;$C201&amp;"|"&amp;$D201)</f>
        <v/>
      </c>
    </row>
    <row r="202">
      <c r="H202" s="58">
        <f>IF($A202="","",$A202&amp;"|"&amp;$B202&amp;"|"&amp;$C202&amp;"|"&amp;$D202)</f>
        <v/>
      </c>
    </row>
    <row r="203">
      <c r="H203" s="58">
        <f>IF($A203="","",$A203&amp;"|"&amp;$B203&amp;"|"&amp;$C203&amp;"|"&amp;$D203)</f>
        <v/>
      </c>
    </row>
    <row r="204">
      <c r="H204" s="58">
        <f>IF($A204="","",$A204&amp;"|"&amp;$B204&amp;"|"&amp;$C204&amp;"|"&amp;$D204)</f>
        <v/>
      </c>
    </row>
    <row r="205">
      <c r="H205" s="58">
        <f>IF($A205="","",$A205&amp;"|"&amp;$B205&amp;"|"&amp;$C205&amp;"|"&amp;$D205)</f>
        <v/>
      </c>
    </row>
    <row r="206">
      <c r="H206" s="58">
        <f>IF($A206="","",$A206&amp;"|"&amp;$B206&amp;"|"&amp;$C206&amp;"|"&amp;$D206)</f>
        <v/>
      </c>
    </row>
    <row r="207">
      <c r="H207" s="58">
        <f>IF($A207="","",$A207&amp;"|"&amp;$B207&amp;"|"&amp;$C207&amp;"|"&amp;$D207)</f>
        <v/>
      </c>
    </row>
    <row r="208">
      <c r="H208" s="58">
        <f>IF($A208="","",$A208&amp;"|"&amp;$B208&amp;"|"&amp;$C208&amp;"|"&amp;$D208)</f>
        <v/>
      </c>
    </row>
    <row r="209">
      <c r="H209" s="58">
        <f>IF($A209="","",$A209&amp;"|"&amp;$B209&amp;"|"&amp;$C209&amp;"|"&amp;$D209)</f>
        <v/>
      </c>
    </row>
    <row r="210">
      <c r="H210" s="58">
        <f>IF($A210="","",$A210&amp;"|"&amp;$B210&amp;"|"&amp;$C210&amp;"|"&amp;$D210)</f>
        <v/>
      </c>
    </row>
    <row r="211">
      <c r="H211" s="58">
        <f>IF($A211="","",$A211&amp;"|"&amp;$B211&amp;"|"&amp;$C211&amp;"|"&amp;$D211)</f>
        <v/>
      </c>
    </row>
    <row r="212">
      <c r="H212" s="58">
        <f>IF($A212="","",$A212&amp;"|"&amp;$B212&amp;"|"&amp;$C212&amp;"|"&amp;$D212)</f>
        <v/>
      </c>
    </row>
    <row r="213">
      <c r="H213" s="58">
        <f>IF($A213="","",$A213&amp;"|"&amp;$B213&amp;"|"&amp;$C213&amp;"|"&amp;$D213)</f>
        <v/>
      </c>
    </row>
    <row r="214">
      <c r="H214" s="58">
        <f>IF($A214="","",$A214&amp;"|"&amp;$B214&amp;"|"&amp;$C214&amp;"|"&amp;$D214)</f>
        <v/>
      </c>
    </row>
    <row r="215">
      <c r="H215" s="58">
        <f>IF($A215="","",$A215&amp;"|"&amp;$B215&amp;"|"&amp;$C215&amp;"|"&amp;$D215)</f>
        <v/>
      </c>
    </row>
    <row r="216">
      <c r="H216" s="58">
        <f>IF($A216="","",$A216&amp;"|"&amp;$B216&amp;"|"&amp;$C216&amp;"|"&amp;$D216)</f>
        <v/>
      </c>
    </row>
    <row r="217">
      <c r="H217" s="58">
        <f>IF($A217="","",$A217&amp;"|"&amp;$B217&amp;"|"&amp;$C217&amp;"|"&amp;$D217)</f>
        <v/>
      </c>
    </row>
    <row r="218">
      <c r="H218" s="58">
        <f>IF($A218="","",$A218&amp;"|"&amp;$B218&amp;"|"&amp;$C218&amp;"|"&amp;$D218)</f>
        <v/>
      </c>
    </row>
    <row r="219">
      <c r="H219" s="58">
        <f>IF($A219="","",$A219&amp;"|"&amp;$B219&amp;"|"&amp;$C219&amp;"|"&amp;$D219)</f>
        <v/>
      </c>
    </row>
    <row r="220">
      <c r="H220" s="58">
        <f>IF($A220="","",$A220&amp;"|"&amp;$B220&amp;"|"&amp;$C220&amp;"|"&amp;$D220)</f>
        <v/>
      </c>
    </row>
    <row r="221">
      <c r="H221" s="58">
        <f>IF($A221="","",$A221&amp;"|"&amp;$B221&amp;"|"&amp;$C221&amp;"|"&amp;$D221)</f>
        <v/>
      </c>
    </row>
    <row r="222">
      <c r="H222" s="58">
        <f>IF($A222="","",$A222&amp;"|"&amp;$B222&amp;"|"&amp;$C222&amp;"|"&amp;$D222)</f>
        <v/>
      </c>
    </row>
    <row r="223">
      <c r="H223" s="58">
        <f>IF($A223="","",$A223&amp;"|"&amp;$B223&amp;"|"&amp;$C223&amp;"|"&amp;$D223)</f>
        <v/>
      </c>
    </row>
    <row r="224">
      <c r="H224" s="58">
        <f>IF($A224="","",$A224&amp;"|"&amp;$B224&amp;"|"&amp;$C224&amp;"|"&amp;$D224)</f>
        <v/>
      </c>
    </row>
    <row r="225">
      <c r="H225" s="58">
        <f>IF($A225="","",$A225&amp;"|"&amp;$B225&amp;"|"&amp;$C225&amp;"|"&amp;$D225)</f>
        <v/>
      </c>
    </row>
    <row r="226">
      <c r="H226" s="58">
        <f>IF($A226="","",$A226&amp;"|"&amp;$B226&amp;"|"&amp;$C226&amp;"|"&amp;$D226)</f>
        <v/>
      </c>
    </row>
    <row r="227">
      <c r="H227" s="58">
        <f>IF($A227="","",$A227&amp;"|"&amp;$B227&amp;"|"&amp;$C227&amp;"|"&amp;$D227)</f>
        <v/>
      </c>
    </row>
    <row r="228">
      <c r="H228" s="58">
        <f>IF($A228="","",$A228&amp;"|"&amp;$B228&amp;"|"&amp;$C228&amp;"|"&amp;$D228)</f>
        <v/>
      </c>
    </row>
    <row r="229">
      <c r="H229" s="58">
        <f>IF($A229="","",$A229&amp;"|"&amp;$B229&amp;"|"&amp;$C229&amp;"|"&amp;$D229)</f>
        <v/>
      </c>
    </row>
    <row r="230">
      <c r="H230" s="58">
        <f>IF($A230="","",$A230&amp;"|"&amp;$B230&amp;"|"&amp;$C230&amp;"|"&amp;$D230)</f>
        <v/>
      </c>
    </row>
    <row r="231">
      <c r="H231" s="58">
        <f>IF($A231="","",$A231&amp;"|"&amp;$B231&amp;"|"&amp;$C231&amp;"|"&amp;$D231)</f>
        <v/>
      </c>
    </row>
    <row r="232">
      <c r="H232" s="58">
        <f>IF($A232="","",$A232&amp;"|"&amp;$B232&amp;"|"&amp;$C232&amp;"|"&amp;$D232)</f>
        <v/>
      </c>
    </row>
    <row r="233">
      <c r="H233" s="58">
        <f>IF($A233="","",$A233&amp;"|"&amp;$B233&amp;"|"&amp;$C233&amp;"|"&amp;$D233)</f>
        <v/>
      </c>
    </row>
    <row r="234">
      <c r="H234" s="58">
        <f>IF($A234="","",$A234&amp;"|"&amp;$B234&amp;"|"&amp;$C234&amp;"|"&amp;$D234)</f>
        <v/>
      </c>
    </row>
    <row r="235">
      <c r="H235" s="58">
        <f>IF($A235="","",$A235&amp;"|"&amp;$B235&amp;"|"&amp;$C235&amp;"|"&amp;$D235)</f>
        <v/>
      </c>
    </row>
    <row r="236">
      <c r="H236" s="58">
        <f>IF($A236="","",$A236&amp;"|"&amp;$B236&amp;"|"&amp;$C236&amp;"|"&amp;$D236)</f>
        <v/>
      </c>
    </row>
    <row r="237">
      <c r="H237" s="58">
        <f>IF($A237="","",$A237&amp;"|"&amp;$B237&amp;"|"&amp;$C237&amp;"|"&amp;$D237)</f>
        <v/>
      </c>
    </row>
    <row r="238">
      <c r="H238" s="58">
        <f>IF($A238="","",$A238&amp;"|"&amp;$B238&amp;"|"&amp;$C238&amp;"|"&amp;$D238)</f>
        <v/>
      </c>
    </row>
    <row r="239">
      <c r="H239" s="58">
        <f>IF($A239="","",$A239&amp;"|"&amp;$B239&amp;"|"&amp;$C239&amp;"|"&amp;$D239)</f>
        <v/>
      </c>
    </row>
    <row r="240">
      <c r="H240" s="58">
        <f>IF($A240="","",$A240&amp;"|"&amp;$B240&amp;"|"&amp;$C240&amp;"|"&amp;$D240)</f>
        <v/>
      </c>
    </row>
    <row r="241">
      <c r="H241" s="58">
        <f>IF($A241="","",$A241&amp;"|"&amp;$B241&amp;"|"&amp;$C241&amp;"|"&amp;$D241)</f>
        <v/>
      </c>
    </row>
    <row r="242">
      <c r="H242" s="58">
        <f>IF($A242="","",$A242&amp;"|"&amp;$B242&amp;"|"&amp;$C242&amp;"|"&amp;$D242)</f>
        <v/>
      </c>
    </row>
    <row r="243">
      <c r="H243" s="58">
        <f>IF($A243="","",$A243&amp;"|"&amp;$B243&amp;"|"&amp;$C243&amp;"|"&amp;$D243)</f>
        <v/>
      </c>
    </row>
    <row r="244">
      <c r="H244" s="58">
        <f>IF($A244="","",$A244&amp;"|"&amp;$B244&amp;"|"&amp;$C244&amp;"|"&amp;$D244)</f>
        <v/>
      </c>
    </row>
    <row r="245">
      <c r="H245" s="58">
        <f>IF($A245="","",$A245&amp;"|"&amp;$B245&amp;"|"&amp;$C245&amp;"|"&amp;$D245)</f>
        <v/>
      </c>
    </row>
    <row r="246">
      <c r="H246" s="58">
        <f>IF($A246="","",$A246&amp;"|"&amp;$B246&amp;"|"&amp;$C246&amp;"|"&amp;$D246)</f>
        <v/>
      </c>
    </row>
    <row r="247">
      <c r="H247" s="58">
        <f>IF($A247="","",$A247&amp;"|"&amp;$B247&amp;"|"&amp;$C247&amp;"|"&amp;$D247)</f>
        <v/>
      </c>
    </row>
    <row r="248">
      <c r="H248" s="58">
        <f>IF($A248="","",$A248&amp;"|"&amp;$B248&amp;"|"&amp;$C248&amp;"|"&amp;$D248)</f>
        <v/>
      </c>
    </row>
    <row r="249">
      <c r="H249" s="58">
        <f>IF($A249="","",$A249&amp;"|"&amp;$B249&amp;"|"&amp;$C249&amp;"|"&amp;$D249)</f>
        <v/>
      </c>
    </row>
    <row r="250">
      <c r="H250" s="58">
        <f>IF($A250="","",$A250&amp;"|"&amp;$B250&amp;"|"&amp;$C250&amp;"|"&amp;$D250)</f>
        <v/>
      </c>
    </row>
    <row r="251">
      <c r="H251" s="58">
        <f>IF($A251="","",$A251&amp;"|"&amp;$B251&amp;"|"&amp;$C251&amp;"|"&amp;$D251)</f>
        <v/>
      </c>
    </row>
    <row r="252">
      <c r="H252" s="58">
        <f>IF($A252="","",$A252&amp;"|"&amp;$B252&amp;"|"&amp;$C252&amp;"|"&amp;$D252)</f>
        <v/>
      </c>
    </row>
    <row r="253">
      <c r="H253" s="58">
        <f>IF($A253="","",$A253&amp;"|"&amp;$B253&amp;"|"&amp;$C253&amp;"|"&amp;$D253)</f>
        <v/>
      </c>
    </row>
    <row r="254">
      <c r="H254" s="58">
        <f>IF($A254="","",$A254&amp;"|"&amp;$B254&amp;"|"&amp;$C254&amp;"|"&amp;$D254)</f>
        <v/>
      </c>
    </row>
    <row r="255">
      <c r="H255" s="58">
        <f>IF($A255="","",$A255&amp;"|"&amp;$B255&amp;"|"&amp;$C255&amp;"|"&amp;$D255)</f>
        <v/>
      </c>
    </row>
    <row r="256">
      <c r="H256" s="58">
        <f>IF($A256="","",$A256&amp;"|"&amp;$B256&amp;"|"&amp;$C256&amp;"|"&amp;$D256)</f>
        <v/>
      </c>
    </row>
    <row r="257">
      <c r="H257" s="58">
        <f>IF($A257="","",$A257&amp;"|"&amp;$B257&amp;"|"&amp;$C257&amp;"|"&amp;$D257)</f>
        <v/>
      </c>
    </row>
    <row r="258">
      <c r="H258" s="58">
        <f>IF($A258="","",$A258&amp;"|"&amp;$B258&amp;"|"&amp;$C258&amp;"|"&amp;$D258)</f>
        <v/>
      </c>
    </row>
    <row r="259">
      <c r="H259" s="58">
        <f>IF($A259="","",$A259&amp;"|"&amp;$B259&amp;"|"&amp;$C259&amp;"|"&amp;$D259)</f>
        <v/>
      </c>
    </row>
    <row r="260">
      <c r="H260" s="58">
        <f>IF($A260="","",$A260&amp;"|"&amp;$B260&amp;"|"&amp;$C260&amp;"|"&amp;$D260)</f>
        <v/>
      </c>
    </row>
    <row r="261">
      <c r="H261" s="58">
        <f>IF($A261="","",$A261&amp;"|"&amp;$B261&amp;"|"&amp;$C261&amp;"|"&amp;$D261)</f>
        <v/>
      </c>
    </row>
    <row r="262">
      <c r="H262" s="58">
        <f>IF($A262="","",$A262&amp;"|"&amp;$B262&amp;"|"&amp;$C262&amp;"|"&amp;$D262)</f>
        <v/>
      </c>
    </row>
    <row r="263">
      <c r="H263" s="58">
        <f>IF($A263="","",$A263&amp;"|"&amp;$B263&amp;"|"&amp;$C263&amp;"|"&amp;$D263)</f>
        <v/>
      </c>
    </row>
    <row r="264">
      <c r="H264" s="58">
        <f>IF($A264="","",$A264&amp;"|"&amp;$B264&amp;"|"&amp;$C264&amp;"|"&amp;$D264)</f>
        <v/>
      </c>
    </row>
    <row r="265">
      <c r="H265" s="58">
        <f>IF($A265="","",$A265&amp;"|"&amp;$B265&amp;"|"&amp;$C265&amp;"|"&amp;$D265)</f>
        <v/>
      </c>
    </row>
    <row r="266">
      <c r="H266" s="58">
        <f>IF($A266="","",$A266&amp;"|"&amp;$B266&amp;"|"&amp;$C266&amp;"|"&amp;$D266)</f>
        <v/>
      </c>
    </row>
    <row r="267">
      <c r="H267" s="58">
        <f>IF($A267="","",$A267&amp;"|"&amp;$B267&amp;"|"&amp;$C267&amp;"|"&amp;$D267)</f>
        <v/>
      </c>
    </row>
    <row r="268">
      <c r="H268" s="58">
        <f>IF($A268="","",$A268&amp;"|"&amp;$B268&amp;"|"&amp;$C268&amp;"|"&amp;$D268)</f>
        <v/>
      </c>
    </row>
    <row r="269">
      <c r="H269" s="58">
        <f>IF($A269="","",$A269&amp;"|"&amp;$B269&amp;"|"&amp;$C269&amp;"|"&amp;$D269)</f>
        <v/>
      </c>
    </row>
    <row r="270">
      <c r="H270" s="58">
        <f>IF($A270="","",$A270&amp;"|"&amp;$B270&amp;"|"&amp;$C270&amp;"|"&amp;$D270)</f>
        <v/>
      </c>
    </row>
    <row r="271">
      <c r="H271" s="58">
        <f>IF($A271="","",$A271&amp;"|"&amp;$B271&amp;"|"&amp;$C271&amp;"|"&amp;$D271)</f>
        <v/>
      </c>
    </row>
    <row r="272">
      <c r="H272" s="58">
        <f>IF($A272="","",$A272&amp;"|"&amp;$B272&amp;"|"&amp;$C272&amp;"|"&amp;$D272)</f>
        <v/>
      </c>
    </row>
    <row r="273">
      <c r="H273" s="58">
        <f>IF($A273="","",$A273&amp;"|"&amp;$B273&amp;"|"&amp;$C273&amp;"|"&amp;$D273)</f>
        <v/>
      </c>
    </row>
    <row r="274">
      <c r="H274" s="58">
        <f>IF($A274="","",$A274&amp;"|"&amp;$B274&amp;"|"&amp;$C274&amp;"|"&amp;$D274)</f>
        <v/>
      </c>
    </row>
    <row r="275">
      <c r="H275" s="58">
        <f>IF($A275="","",$A275&amp;"|"&amp;$B275&amp;"|"&amp;$C275&amp;"|"&amp;$D275)</f>
        <v/>
      </c>
    </row>
    <row r="276">
      <c r="H276" s="58">
        <f>IF($A276="","",$A276&amp;"|"&amp;$B276&amp;"|"&amp;$C276&amp;"|"&amp;$D276)</f>
        <v/>
      </c>
    </row>
    <row r="277">
      <c r="H277" s="58">
        <f>IF($A277="","",$A277&amp;"|"&amp;$B277&amp;"|"&amp;$C277&amp;"|"&amp;$D277)</f>
        <v/>
      </c>
    </row>
    <row r="278">
      <c r="H278" s="58">
        <f>IF($A278="","",$A278&amp;"|"&amp;$B278&amp;"|"&amp;$C278&amp;"|"&amp;$D278)</f>
        <v/>
      </c>
    </row>
    <row r="279">
      <c r="H279" s="58">
        <f>IF($A279="","",$A279&amp;"|"&amp;$B279&amp;"|"&amp;$C279&amp;"|"&amp;$D279)</f>
        <v/>
      </c>
    </row>
    <row r="280">
      <c r="H280" s="58">
        <f>IF($A280="","",$A280&amp;"|"&amp;$B280&amp;"|"&amp;$C280&amp;"|"&amp;$D280)</f>
        <v/>
      </c>
    </row>
    <row r="281">
      <c r="H281" s="58">
        <f>IF($A281="","",$A281&amp;"|"&amp;$B281&amp;"|"&amp;$C281&amp;"|"&amp;$D281)</f>
        <v/>
      </c>
    </row>
    <row r="282">
      <c r="H282" s="58">
        <f>IF($A282="","",$A282&amp;"|"&amp;$B282&amp;"|"&amp;$C282&amp;"|"&amp;$D282)</f>
        <v/>
      </c>
    </row>
    <row r="283">
      <c r="H283" s="58">
        <f>IF($A283="","",$A283&amp;"|"&amp;$B283&amp;"|"&amp;$C283&amp;"|"&amp;$D283)</f>
        <v/>
      </c>
    </row>
    <row r="284">
      <c r="H284" s="58">
        <f>IF($A284="","",$A284&amp;"|"&amp;$B284&amp;"|"&amp;$C284&amp;"|"&amp;$D284)</f>
        <v/>
      </c>
    </row>
    <row r="285">
      <c r="H285" s="58">
        <f>IF($A285="","",$A285&amp;"|"&amp;$B285&amp;"|"&amp;$C285&amp;"|"&amp;$D285)</f>
        <v/>
      </c>
    </row>
    <row r="286">
      <c r="H286" s="58">
        <f>IF($A286="","",$A286&amp;"|"&amp;$B286&amp;"|"&amp;$C286&amp;"|"&amp;$D286)</f>
        <v/>
      </c>
    </row>
    <row r="287">
      <c r="H287" s="58">
        <f>IF($A287="","",$A287&amp;"|"&amp;$B287&amp;"|"&amp;$C287&amp;"|"&amp;$D287)</f>
        <v/>
      </c>
    </row>
    <row r="288">
      <c r="H288" s="58">
        <f>IF($A288="","",$A288&amp;"|"&amp;$B288&amp;"|"&amp;$C288&amp;"|"&amp;$D288)</f>
        <v/>
      </c>
    </row>
    <row r="289">
      <c r="H289" s="58">
        <f>IF($A289="","",$A289&amp;"|"&amp;$B289&amp;"|"&amp;$C289&amp;"|"&amp;$D289)</f>
        <v/>
      </c>
    </row>
    <row r="290">
      <c r="H290" s="58">
        <f>IF($A290="","",$A290&amp;"|"&amp;$B290&amp;"|"&amp;$C290&amp;"|"&amp;$D290)</f>
        <v/>
      </c>
    </row>
    <row r="291">
      <c r="H291" s="58">
        <f>IF($A291="","",$A291&amp;"|"&amp;$B291&amp;"|"&amp;$C291&amp;"|"&amp;$D291)</f>
        <v/>
      </c>
    </row>
    <row r="292">
      <c r="H292" s="58">
        <f>IF($A292="","",$A292&amp;"|"&amp;$B292&amp;"|"&amp;$C292&amp;"|"&amp;$D292)</f>
        <v/>
      </c>
    </row>
    <row r="293">
      <c r="H293" s="58">
        <f>IF($A293="","",$A293&amp;"|"&amp;$B293&amp;"|"&amp;$C293&amp;"|"&amp;$D293)</f>
        <v/>
      </c>
    </row>
    <row r="294">
      <c r="H294" s="58">
        <f>IF($A294="","",$A294&amp;"|"&amp;$B294&amp;"|"&amp;$C294&amp;"|"&amp;$D294)</f>
        <v/>
      </c>
    </row>
    <row r="295">
      <c r="H295" s="58">
        <f>IF($A295="","",$A295&amp;"|"&amp;$B295&amp;"|"&amp;$C295&amp;"|"&amp;$D295)</f>
        <v/>
      </c>
    </row>
    <row r="296">
      <c r="H296" s="58">
        <f>IF($A296="","",$A296&amp;"|"&amp;$B296&amp;"|"&amp;$C296&amp;"|"&amp;$D296)</f>
        <v/>
      </c>
    </row>
    <row r="297">
      <c r="H297" s="58">
        <f>IF($A297="","",$A297&amp;"|"&amp;$B297&amp;"|"&amp;$C297&amp;"|"&amp;$D297)</f>
        <v/>
      </c>
    </row>
    <row r="298">
      <c r="H298" s="58">
        <f>IF($A298="","",$A298&amp;"|"&amp;$B298&amp;"|"&amp;$C298&amp;"|"&amp;$D298)</f>
        <v/>
      </c>
    </row>
    <row r="299">
      <c r="H299" s="58">
        <f>IF($A299="","",$A299&amp;"|"&amp;$B299&amp;"|"&amp;$C299&amp;"|"&amp;$D299)</f>
        <v/>
      </c>
    </row>
    <row r="300">
      <c r="H300" s="58">
        <f>IF($A300="","",$A300&amp;"|"&amp;$B300&amp;"|"&amp;$C300&amp;"|"&amp;$D300)</f>
        <v/>
      </c>
    </row>
    <row r="301">
      <c r="H301" s="58">
        <f>IF($A301="","",$A301&amp;"|"&amp;$B301&amp;"|"&amp;$C301&amp;"|"&amp;$D301)</f>
        <v/>
      </c>
    </row>
    <row r="302">
      <c r="H302" s="58">
        <f>IF($A302="","",$A302&amp;"|"&amp;$B302&amp;"|"&amp;$C302&amp;"|"&amp;$D302)</f>
        <v/>
      </c>
    </row>
    <row r="303">
      <c r="H303" s="58">
        <f>IF($A303="","",$A303&amp;"|"&amp;$B303&amp;"|"&amp;$C303&amp;"|"&amp;$D303)</f>
        <v/>
      </c>
    </row>
    <row r="304">
      <c r="H304" s="58">
        <f>IF($A304="","",$A304&amp;"|"&amp;$B304&amp;"|"&amp;$C304&amp;"|"&amp;$D304)</f>
        <v/>
      </c>
    </row>
    <row r="305">
      <c r="H305" s="58">
        <f>IF($A305="","",$A305&amp;"|"&amp;$B305&amp;"|"&amp;$C305&amp;"|"&amp;$D305)</f>
        <v/>
      </c>
    </row>
    <row r="306">
      <c r="H306" s="58">
        <f>IF($A306="","",$A306&amp;"|"&amp;$B306&amp;"|"&amp;$C306&amp;"|"&amp;$D306)</f>
        <v/>
      </c>
    </row>
    <row r="307">
      <c r="H307" s="58">
        <f>IF($A307="","",$A307&amp;"|"&amp;$B307&amp;"|"&amp;$C307&amp;"|"&amp;$D307)</f>
        <v/>
      </c>
    </row>
    <row r="308">
      <c r="H308" s="58">
        <f>IF($A308="","",$A308&amp;"|"&amp;$B308&amp;"|"&amp;$C308&amp;"|"&amp;$D308)</f>
        <v/>
      </c>
    </row>
    <row r="309">
      <c r="H309" s="58">
        <f>IF($A309="","",$A309&amp;"|"&amp;$B309&amp;"|"&amp;$C309&amp;"|"&amp;$D309)</f>
        <v/>
      </c>
    </row>
    <row r="310">
      <c r="H310" s="58">
        <f>IF($A310="","",$A310&amp;"|"&amp;$B310&amp;"|"&amp;$C310&amp;"|"&amp;$D310)</f>
        <v/>
      </c>
    </row>
    <row r="311">
      <c r="H311" s="58">
        <f>IF($A311="","",$A311&amp;"|"&amp;$B311&amp;"|"&amp;$C311&amp;"|"&amp;$D311)</f>
        <v/>
      </c>
    </row>
    <row r="312">
      <c r="H312" s="58">
        <f>IF($A312="","",$A312&amp;"|"&amp;$B312&amp;"|"&amp;$C312&amp;"|"&amp;$D312)</f>
        <v/>
      </c>
    </row>
    <row r="313">
      <c r="H313" s="58">
        <f>IF($A313="","",$A313&amp;"|"&amp;$B313&amp;"|"&amp;$C313&amp;"|"&amp;$D313)</f>
        <v/>
      </c>
    </row>
    <row r="314">
      <c r="H314" s="58">
        <f>IF($A314="","",$A314&amp;"|"&amp;$B314&amp;"|"&amp;$C314&amp;"|"&amp;$D314)</f>
        <v/>
      </c>
    </row>
    <row r="315">
      <c r="H315" s="58">
        <f>IF($A315="","",$A315&amp;"|"&amp;$B315&amp;"|"&amp;$C315&amp;"|"&amp;$D315)</f>
        <v/>
      </c>
    </row>
    <row r="316">
      <c r="H316" s="58">
        <f>IF($A316="","",$A316&amp;"|"&amp;$B316&amp;"|"&amp;$C316&amp;"|"&amp;$D316)</f>
        <v/>
      </c>
    </row>
    <row r="317">
      <c r="H317" s="58">
        <f>IF($A317="","",$A317&amp;"|"&amp;$B317&amp;"|"&amp;$C317&amp;"|"&amp;$D317)</f>
        <v/>
      </c>
    </row>
    <row r="318">
      <c r="H318" s="58">
        <f>IF($A318="","",$A318&amp;"|"&amp;$B318&amp;"|"&amp;$C318&amp;"|"&amp;$D318)</f>
        <v/>
      </c>
    </row>
    <row r="319">
      <c r="H319" s="58">
        <f>IF($A319="","",$A319&amp;"|"&amp;$B319&amp;"|"&amp;$C319&amp;"|"&amp;$D319)</f>
        <v/>
      </c>
    </row>
    <row r="320">
      <c r="H320" s="58">
        <f>IF($A320="","",$A320&amp;"|"&amp;$B320&amp;"|"&amp;$C320&amp;"|"&amp;$D320)</f>
        <v/>
      </c>
    </row>
    <row r="321">
      <c r="H321" s="58">
        <f>IF($A321="","",$A321&amp;"|"&amp;$B321&amp;"|"&amp;$C321&amp;"|"&amp;$D321)</f>
        <v/>
      </c>
    </row>
    <row r="322">
      <c r="H322" s="58">
        <f>IF($A322="","",$A322&amp;"|"&amp;$B322&amp;"|"&amp;$C322&amp;"|"&amp;$D322)</f>
        <v/>
      </c>
    </row>
    <row r="323">
      <c r="H323" s="58">
        <f>IF($A323="","",$A323&amp;"|"&amp;$B323&amp;"|"&amp;$C323&amp;"|"&amp;$D323)</f>
        <v/>
      </c>
    </row>
    <row r="324">
      <c r="H324" s="58">
        <f>IF($A324="","",$A324&amp;"|"&amp;$B324&amp;"|"&amp;$C324&amp;"|"&amp;$D324)</f>
        <v/>
      </c>
    </row>
    <row r="325">
      <c r="H325" s="58">
        <f>IF($A325="","",$A325&amp;"|"&amp;$B325&amp;"|"&amp;$C325&amp;"|"&amp;$D325)</f>
        <v/>
      </c>
    </row>
    <row r="326">
      <c r="H326" s="58">
        <f>IF($A326="","",$A326&amp;"|"&amp;$B326&amp;"|"&amp;$C326&amp;"|"&amp;$D326)</f>
        <v/>
      </c>
    </row>
    <row r="327">
      <c r="H327" s="58">
        <f>IF($A327="","",$A327&amp;"|"&amp;$B327&amp;"|"&amp;$C327&amp;"|"&amp;$D327)</f>
        <v/>
      </c>
    </row>
    <row r="328">
      <c r="H328" s="58">
        <f>IF($A328="","",$A328&amp;"|"&amp;$B328&amp;"|"&amp;$C328&amp;"|"&amp;$D328)</f>
        <v/>
      </c>
    </row>
    <row r="329">
      <c r="H329" s="58">
        <f>IF($A329="","",$A329&amp;"|"&amp;$B329&amp;"|"&amp;$C329&amp;"|"&amp;$D329)</f>
        <v/>
      </c>
    </row>
    <row r="330">
      <c r="H330" s="58">
        <f>IF($A330="","",$A330&amp;"|"&amp;$B330&amp;"|"&amp;$C330&amp;"|"&amp;$D330)</f>
        <v/>
      </c>
    </row>
    <row r="331">
      <c r="H331" s="58">
        <f>IF($A331="","",$A331&amp;"|"&amp;$B331&amp;"|"&amp;$C331&amp;"|"&amp;$D331)</f>
        <v/>
      </c>
    </row>
    <row r="332">
      <c r="H332" s="58">
        <f>IF($A332="","",$A332&amp;"|"&amp;$B332&amp;"|"&amp;$C332&amp;"|"&amp;$D332)</f>
        <v/>
      </c>
    </row>
    <row r="333">
      <c r="H333" s="58">
        <f>IF($A333="","",$A333&amp;"|"&amp;$B333&amp;"|"&amp;$C333&amp;"|"&amp;$D333)</f>
        <v/>
      </c>
    </row>
    <row r="334">
      <c r="H334" s="58">
        <f>IF($A334="","",$A334&amp;"|"&amp;$B334&amp;"|"&amp;$C334&amp;"|"&amp;$D334)</f>
        <v/>
      </c>
    </row>
    <row r="335">
      <c r="H335" s="58">
        <f>IF($A335="","",$A335&amp;"|"&amp;$B335&amp;"|"&amp;$C335&amp;"|"&amp;$D335)</f>
        <v/>
      </c>
    </row>
    <row r="336">
      <c r="H336" s="58">
        <f>IF($A336="","",$A336&amp;"|"&amp;$B336&amp;"|"&amp;$C336&amp;"|"&amp;$D336)</f>
        <v/>
      </c>
    </row>
    <row r="337">
      <c r="H337" s="58">
        <f>IF($A337="","",$A337&amp;"|"&amp;$B337&amp;"|"&amp;$C337&amp;"|"&amp;$D337)</f>
        <v/>
      </c>
    </row>
    <row r="338">
      <c r="H338" s="58">
        <f>IF($A338="","",$A338&amp;"|"&amp;$B338&amp;"|"&amp;$C338&amp;"|"&amp;$D338)</f>
        <v/>
      </c>
    </row>
    <row r="339">
      <c r="H339" s="58">
        <f>IF($A339="","",$A339&amp;"|"&amp;$B339&amp;"|"&amp;$C339&amp;"|"&amp;$D339)</f>
        <v/>
      </c>
    </row>
    <row r="340">
      <c r="H340" s="58">
        <f>IF($A340="","",$A340&amp;"|"&amp;$B340&amp;"|"&amp;$C340&amp;"|"&amp;$D340)</f>
        <v/>
      </c>
    </row>
    <row r="341">
      <c r="H341" s="58">
        <f>IF($A341="","",$A341&amp;"|"&amp;$B341&amp;"|"&amp;$C341&amp;"|"&amp;$D341)</f>
        <v/>
      </c>
    </row>
    <row r="342">
      <c r="H342" s="58">
        <f>IF($A342="","",$A342&amp;"|"&amp;$B342&amp;"|"&amp;$C342&amp;"|"&amp;$D342)</f>
        <v/>
      </c>
    </row>
    <row r="343">
      <c r="H343" s="58">
        <f>IF($A343="","",$A343&amp;"|"&amp;$B343&amp;"|"&amp;$C343&amp;"|"&amp;$D343)</f>
        <v/>
      </c>
    </row>
    <row r="344">
      <c r="H344" s="58">
        <f>IF($A344="","",$A344&amp;"|"&amp;$B344&amp;"|"&amp;$C344&amp;"|"&amp;$D344)</f>
        <v/>
      </c>
    </row>
    <row r="345">
      <c r="H345" s="58">
        <f>IF($A345="","",$A345&amp;"|"&amp;$B345&amp;"|"&amp;$C345&amp;"|"&amp;$D345)</f>
        <v/>
      </c>
    </row>
    <row r="346">
      <c r="H346" s="58">
        <f>IF($A346="","",$A346&amp;"|"&amp;$B346&amp;"|"&amp;$C346&amp;"|"&amp;$D346)</f>
        <v/>
      </c>
    </row>
    <row r="347">
      <c r="H347" s="58">
        <f>IF($A347="","",$A347&amp;"|"&amp;$B347&amp;"|"&amp;$C347&amp;"|"&amp;$D347)</f>
        <v/>
      </c>
    </row>
    <row r="348">
      <c r="H348" s="58">
        <f>IF($A348="","",$A348&amp;"|"&amp;$B348&amp;"|"&amp;$C348&amp;"|"&amp;$D348)</f>
        <v/>
      </c>
    </row>
    <row r="349">
      <c r="H349" s="58">
        <f>IF($A349="","",$A349&amp;"|"&amp;$B349&amp;"|"&amp;$C349&amp;"|"&amp;$D349)</f>
        <v/>
      </c>
    </row>
    <row r="350">
      <c r="H350" s="58">
        <f>IF($A350="","",$A350&amp;"|"&amp;$B350&amp;"|"&amp;$C350&amp;"|"&amp;$D350)</f>
        <v/>
      </c>
    </row>
    <row r="351">
      <c r="H351" s="58">
        <f>IF($A351="","",$A351&amp;"|"&amp;$B351&amp;"|"&amp;$C351&amp;"|"&amp;$D351)</f>
        <v/>
      </c>
    </row>
    <row r="352">
      <c r="H352" s="58">
        <f>IF($A352="","",$A352&amp;"|"&amp;$B352&amp;"|"&amp;$C352&amp;"|"&amp;$D352)</f>
        <v/>
      </c>
    </row>
    <row r="353">
      <c r="H353" s="58">
        <f>IF($A353="","",$A353&amp;"|"&amp;$B353&amp;"|"&amp;$C353&amp;"|"&amp;$D353)</f>
        <v/>
      </c>
    </row>
    <row r="354">
      <c r="H354" s="58">
        <f>IF($A354="","",$A354&amp;"|"&amp;$B354&amp;"|"&amp;$C354&amp;"|"&amp;$D354)</f>
        <v/>
      </c>
    </row>
    <row r="355">
      <c r="H355" s="58">
        <f>IF($A355="","",$A355&amp;"|"&amp;$B355&amp;"|"&amp;$C355&amp;"|"&amp;$D355)</f>
        <v/>
      </c>
    </row>
    <row r="356">
      <c r="H356" s="58">
        <f>IF($A356="","",$A356&amp;"|"&amp;$B356&amp;"|"&amp;$C356&amp;"|"&amp;$D356)</f>
        <v/>
      </c>
    </row>
    <row r="357">
      <c r="H357" s="58">
        <f>IF($A357="","",$A357&amp;"|"&amp;$B357&amp;"|"&amp;$C357&amp;"|"&amp;$D357)</f>
        <v/>
      </c>
    </row>
    <row r="358">
      <c r="H358" s="58">
        <f>IF($A358="","",$A358&amp;"|"&amp;$B358&amp;"|"&amp;$C358&amp;"|"&amp;$D358)</f>
        <v/>
      </c>
    </row>
    <row r="359">
      <c r="H359" s="58">
        <f>IF($A359="","",$A359&amp;"|"&amp;$B359&amp;"|"&amp;$C359&amp;"|"&amp;$D359)</f>
        <v/>
      </c>
    </row>
    <row r="360">
      <c r="H360" s="58">
        <f>IF($A360="","",$A360&amp;"|"&amp;$B360&amp;"|"&amp;$C360&amp;"|"&amp;$D360)</f>
        <v/>
      </c>
    </row>
    <row r="361">
      <c r="H361" s="58">
        <f>IF($A361="","",$A361&amp;"|"&amp;$B361&amp;"|"&amp;$C361&amp;"|"&amp;$D361)</f>
        <v/>
      </c>
    </row>
    <row r="362">
      <c r="H362" s="58">
        <f>IF($A362="","",$A362&amp;"|"&amp;$B362&amp;"|"&amp;$C362&amp;"|"&amp;$D362)</f>
        <v/>
      </c>
    </row>
    <row r="363">
      <c r="H363" s="58">
        <f>IF($A363="","",$A363&amp;"|"&amp;$B363&amp;"|"&amp;$C363&amp;"|"&amp;$D363)</f>
        <v/>
      </c>
    </row>
    <row r="364">
      <c r="H364" s="58">
        <f>IF($A364="","",$A364&amp;"|"&amp;$B364&amp;"|"&amp;$C364&amp;"|"&amp;$D364)</f>
        <v/>
      </c>
    </row>
    <row r="365">
      <c r="H365" s="58">
        <f>IF($A365="","",$A365&amp;"|"&amp;$B365&amp;"|"&amp;$C365&amp;"|"&amp;$D365)</f>
        <v/>
      </c>
    </row>
    <row r="366">
      <c r="H366" s="58">
        <f>IF($A366="","",$A366&amp;"|"&amp;$B366&amp;"|"&amp;$C366&amp;"|"&amp;$D366)</f>
        <v/>
      </c>
    </row>
    <row r="367">
      <c r="H367" s="58">
        <f>IF($A367="","",$A367&amp;"|"&amp;$B367&amp;"|"&amp;$C367&amp;"|"&amp;$D367)</f>
        <v/>
      </c>
    </row>
    <row r="368">
      <c r="H368" s="58">
        <f>IF($A368="","",$A368&amp;"|"&amp;$B368&amp;"|"&amp;$C368&amp;"|"&amp;$D368)</f>
        <v/>
      </c>
    </row>
    <row r="369">
      <c r="H369" s="58">
        <f>IF($A369="","",$A369&amp;"|"&amp;$B369&amp;"|"&amp;$C369&amp;"|"&amp;$D369)</f>
        <v/>
      </c>
    </row>
    <row r="370">
      <c r="H370" s="58">
        <f>IF($A370="","",$A370&amp;"|"&amp;$B370&amp;"|"&amp;$C370&amp;"|"&amp;$D370)</f>
        <v/>
      </c>
    </row>
    <row r="371">
      <c r="H371" s="58">
        <f>IF($A371="","",$A371&amp;"|"&amp;$B371&amp;"|"&amp;$C371&amp;"|"&amp;$D371)</f>
        <v/>
      </c>
    </row>
    <row r="372">
      <c r="H372" s="58">
        <f>IF($A372="","",$A372&amp;"|"&amp;$B372&amp;"|"&amp;$C372&amp;"|"&amp;$D372)</f>
        <v/>
      </c>
    </row>
    <row r="373">
      <c r="H373" s="58">
        <f>IF($A373="","",$A373&amp;"|"&amp;$B373&amp;"|"&amp;$C373&amp;"|"&amp;$D373)</f>
        <v/>
      </c>
    </row>
    <row r="374">
      <c r="H374" s="58">
        <f>IF($A374="","",$A374&amp;"|"&amp;$B374&amp;"|"&amp;$C374&amp;"|"&amp;$D374)</f>
        <v/>
      </c>
    </row>
    <row r="375">
      <c r="H375" s="58">
        <f>IF($A375="","",$A375&amp;"|"&amp;$B375&amp;"|"&amp;$C375&amp;"|"&amp;$D375)</f>
        <v/>
      </c>
    </row>
    <row r="376">
      <c r="H376" s="58">
        <f>IF($A376="","",$A376&amp;"|"&amp;$B376&amp;"|"&amp;$C376&amp;"|"&amp;$D376)</f>
        <v/>
      </c>
    </row>
    <row r="377">
      <c r="H377" s="58">
        <f>IF($A377="","",$A377&amp;"|"&amp;$B377&amp;"|"&amp;$C377&amp;"|"&amp;$D377)</f>
        <v/>
      </c>
    </row>
    <row r="378">
      <c r="H378" s="58">
        <f>IF($A378="","",$A378&amp;"|"&amp;$B378&amp;"|"&amp;$C378&amp;"|"&amp;$D378)</f>
        <v/>
      </c>
    </row>
    <row r="379">
      <c r="H379" s="58">
        <f>IF($A379="","",$A379&amp;"|"&amp;$B379&amp;"|"&amp;$C379&amp;"|"&amp;$D379)</f>
        <v/>
      </c>
    </row>
    <row r="380">
      <c r="H380" s="58">
        <f>IF($A380="","",$A380&amp;"|"&amp;$B380&amp;"|"&amp;$C380&amp;"|"&amp;$D380)</f>
        <v/>
      </c>
    </row>
    <row r="381">
      <c r="H381" s="58">
        <f>IF($A381="","",$A381&amp;"|"&amp;$B381&amp;"|"&amp;$C381&amp;"|"&amp;$D381)</f>
        <v/>
      </c>
    </row>
    <row r="382">
      <c r="H382" s="58">
        <f>IF($A382="","",$A382&amp;"|"&amp;$B382&amp;"|"&amp;$C382&amp;"|"&amp;$D382)</f>
        <v/>
      </c>
    </row>
    <row r="383">
      <c r="H383" s="58">
        <f>IF($A383="","",$A383&amp;"|"&amp;$B383&amp;"|"&amp;$C383&amp;"|"&amp;$D383)</f>
        <v/>
      </c>
    </row>
    <row r="384">
      <c r="H384" s="58">
        <f>IF($A384="","",$A384&amp;"|"&amp;$B384&amp;"|"&amp;$C384&amp;"|"&amp;$D384)</f>
        <v/>
      </c>
    </row>
    <row r="385">
      <c r="H385" s="58">
        <f>IF($A385="","",$A385&amp;"|"&amp;$B385&amp;"|"&amp;$C385&amp;"|"&amp;$D385)</f>
        <v/>
      </c>
    </row>
    <row r="386">
      <c r="H386" s="58">
        <f>IF($A386="","",$A386&amp;"|"&amp;$B386&amp;"|"&amp;$C386&amp;"|"&amp;$D386)</f>
        <v/>
      </c>
    </row>
    <row r="387">
      <c r="H387" s="58">
        <f>IF($A387="","",$A387&amp;"|"&amp;$B387&amp;"|"&amp;$C387&amp;"|"&amp;$D387)</f>
        <v/>
      </c>
    </row>
    <row r="388">
      <c r="H388" s="58">
        <f>IF($A388="","",$A388&amp;"|"&amp;$B388&amp;"|"&amp;$C388&amp;"|"&amp;$D388)</f>
        <v/>
      </c>
    </row>
    <row r="389">
      <c r="H389" s="58">
        <f>IF($A389="","",$A389&amp;"|"&amp;$B389&amp;"|"&amp;$C389&amp;"|"&amp;$D389)</f>
        <v/>
      </c>
    </row>
    <row r="390">
      <c r="H390" s="58">
        <f>IF($A390="","",$A390&amp;"|"&amp;$B390&amp;"|"&amp;$C390&amp;"|"&amp;$D390)</f>
        <v/>
      </c>
    </row>
    <row r="391">
      <c r="H391" s="58">
        <f>IF($A391="","",$A391&amp;"|"&amp;$B391&amp;"|"&amp;$C391&amp;"|"&amp;$D391)</f>
        <v/>
      </c>
    </row>
    <row r="392">
      <c r="H392" s="58">
        <f>IF($A392="","",$A392&amp;"|"&amp;$B392&amp;"|"&amp;$C392&amp;"|"&amp;$D392)</f>
        <v/>
      </c>
    </row>
    <row r="393">
      <c r="H393" s="58">
        <f>IF($A393="","",$A393&amp;"|"&amp;$B393&amp;"|"&amp;$C393&amp;"|"&amp;$D393)</f>
        <v/>
      </c>
    </row>
    <row r="394">
      <c r="H394" s="58">
        <f>IF($A394="","",$A394&amp;"|"&amp;$B394&amp;"|"&amp;$C394&amp;"|"&amp;$D394)</f>
        <v/>
      </c>
    </row>
    <row r="395">
      <c r="H395" s="58">
        <f>IF($A395="","",$A395&amp;"|"&amp;$B395&amp;"|"&amp;$C395&amp;"|"&amp;$D395)</f>
        <v/>
      </c>
    </row>
    <row r="396">
      <c r="H396" s="58">
        <f>IF($A396="","",$A396&amp;"|"&amp;$B396&amp;"|"&amp;$C396&amp;"|"&amp;$D396)</f>
        <v/>
      </c>
    </row>
    <row r="397">
      <c r="H397" s="58">
        <f>IF($A397="","",$A397&amp;"|"&amp;$B397&amp;"|"&amp;$C397&amp;"|"&amp;$D397)</f>
        <v/>
      </c>
    </row>
    <row r="398">
      <c r="H398" s="58">
        <f>IF($A398="","",$A398&amp;"|"&amp;$B398&amp;"|"&amp;$C398&amp;"|"&amp;$D398)</f>
        <v/>
      </c>
    </row>
    <row r="399">
      <c r="H399" s="58">
        <f>IF($A399="","",$A399&amp;"|"&amp;$B399&amp;"|"&amp;$C399&amp;"|"&amp;$D399)</f>
        <v/>
      </c>
    </row>
    <row r="400">
      <c r="H400" s="58">
        <f>IF($A400="","",$A400&amp;"|"&amp;$B400&amp;"|"&amp;$C400&amp;"|"&amp;$D400)</f>
        <v/>
      </c>
    </row>
    <row r="401">
      <c r="H401" s="58">
        <f>IF($A401="","",$A401&amp;"|"&amp;$B401&amp;"|"&amp;$C401&amp;"|"&amp;$D401)</f>
        <v/>
      </c>
    </row>
    <row r="402">
      <c r="H402" s="58">
        <f>IF($A402="","",$A402&amp;"|"&amp;$B402&amp;"|"&amp;$C402&amp;"|"&amp;$D402)</f>
        <v/>
      </c>
    </row>
    <row r="403">
      <c r="H403" s="58">
        <f>IF($A403="","",$A403&amp;"|"&amp;$B403&amp;"|"&amp;$C403&amp;"|"&amp;$D403)</f>
        <v/>
      </c>
    </row>
    <row r="404">
      <c r="H404" s="58">
        <f>IF($A404="","",$A404&amp;"|"&amp;$B404&amp;"|"&amp;$C404&amp;"|"&amp;$D404)</f>
        <v/>
      </c>
    </row>
    <row r="405">
      <c r="H405" s="58">
        <f>IF($A405="","",$A405&amp;"|"&amp;$B405&amp;"|"&amp;$C405&amp;"|"&amp;$D405)</f>
        <v/>
      </c>
    </row>
    <row r="406">
      <c r="H406" s="58">
        <f>IF($A406="","",$A406&amp;"|"&amp;$B406&amp;"|"&amp;$C406&amp;"|"&amp;$D406)</f>
        <v/>
      </c>
    </row>
    <row r="407">
      <c r="H407" s="58">
        <f>IF($A407="","",$A407&amp;"|"&amp;$B407&amp;"|"&amp;$C407&amp;"|"&amp;$D407)</f>
        <v/>
      </c>
    </row>
    <row r="408">
      <c r="H408" s="58">
        <f>IF($A408="","",$A408&amp;"|"&amp;$B408&amp;"|"&amp;$C408&amp;"|"&amp;$D408)</f>
        <v/>
      </c>
    </row>
    <row r="409">
      <c r="H409" s="58">
        <f>IF($A409="","",$A409&amp;"|"&amp;$B409&amp;"|"&amp;$C409&amp;"|"&amp;$D409)</f>
        <v/>
      </c>
    </row>
    <row r="410">
      <c r="H410" s="58">
        <f>IF($A410="","",$A410&amp;"|"&amp;$B410&amp;"|"&amp;$C410&amp;"|"&amp;$D410)</f>
        <v/>
      </c>
    </row>
    <row r="411">
      <c r="H411" s="58">
        <f>IF($A411="","",$A411&amp;"|"&amp;$B411&amp;"|"&amp;$C411&amp;"|"&amp;$D411)</f>
        <v/>
      </c>
    </row>
    <row r="412">
      <c r="H412" s="58">
        <f>IF($A412="","",$A412&amp;"|"&amp;$B412&amp;"|"&amp;$C412&amp;"|"&amp;$D412)</f>
        <v/>
      </c>
    </row>
    <row r="413">
      <c r="H413" s="58">
        <f>IF($A413="","",$A413&amp;"|"&amp;$B413&amp;"|"&amp;$C413&amp;"|"&amp;$D413)</f>
        <v/>
      </c>
    </row>
    <row r="414">
      <c r="H414" s="58">
        <f>IF($A414="","",$A414&amp;"|"&amp;$B414&amp;"|"&amp;$C414&amp;"|"&amp;$D414)</f>
        <v/>
      </c>
    </row>
    <row r="415">
      <c r="H415" s="58">
        <f>IF($A415="","",$A415&amp;"|"&amp;$B415&amp;"|"&amp;$C415&amp;"|"&amp;$D415)</f>
        <v/>
      </c>
    </row>
    <row r="416">
      <c r="H416" s="58">
        <f>IF($A416="","",$A416&amp;"|"&amp;$B416&amp;"|"&amp;$C416&amp;"|"&amp;$D416)</f>
        <v/>
      </c>
    </row>
    <row r="417">
      <c r="H417" s="58">
        <f>IF($A417="","",$A417&amp;"|"&amp;$B417&amp;"|"&amp;$C417&amp;"|"&amp;$D417)</f>
        <v/>
      </c>
    </row>
    <row r="418">
      <c r="H418" s="58">
        <f>IF($A418="","",$A418&amp;"|"&amp;$B418&amp;"|"&amp;$C418&amp;"|"&amp;$D418)</f>
        <v/>
      </c>
    </row>
    <row r="419">
      <c r="H419" s="58">
        <f>IF($A419="","",$A419&amp;"|"&amp;$B419&amp;"|"&amp;$C419&amp;"|"&amp;$D419)</f>
        <v/>
      </c>
    </row>
    <row r="420">
      <c r="H420" s="58">
        <f>IF($A420="","",$A420&amp;"|"&amp;$B420&amp;"|"&amp;$C420&amp;"|"&amp;$D420)</f>
        <v/>
      </c>
    </row>
    <row r="421">
      <c r="H421" s="58">
        <f>IF($A421="","",$A421&amp;"|"&amp;$B421&amp;"|"&amp;$C421&amp;"|"&amp;$D421)</f>
        <v/>
      </c>
    </row>
    <row r="422">
      <c r="H422" s="58">
        <f>IF($A422="","",$A422&amp;"|"&amp;$B422&amp;"|"&amp;$C422&amp;"|"&amp;$D422)</f>
        <v/>
      </c>
    </row>
    <row r="423">
      <c r="H423" s="58">
        <f>IF($A423="","",$A423&amp;"|"&amp;$B423&amp;"|"&amp;$C423&amp;"|"&amp;$D423)</f>
        <v/>
      </c>
    </row>
    <row r="424">
      <c r="H424" s="58">
        <f>IF($A424="","",$A424&amp;"|"&amp;$B424&amp;"|"&amp;$C424&amp;"|"&amp;$D424)</f>
        <v/>
      </c>
    </row>
    <row r="425">
      <c r="H425" s="58">
        <f>IF($A425="","",$A425&amp;"|"&amp;$B425&amp;"|"&amp;$C425&amp;"|"&amp;$D425)</f>
        <v/>
      </c>
    </row>
    <row r="426">
      <c r="H426" s="58">
        <f>IF($A426="","",$A426&amp;"|"&amp;$B426&amp;"|"&amp;$C426&amp;"|"&amp;$D426)</f>
        <v/>
      </c>
    </row>
    <row r="427">
      <c r="H427" s="58">
        <f>IF($A427="","",$A427&amp;"|"&amp;$B427&amp;"|"&amp;$C427&amp;"|"&amp;$D427)</f>
        <v/>
      </c>
    </row>
    <row r="428">
      <c r="H428" s="58">
        <f>IF($A428="","",$A428&amp;"|"&amp;$B428&amp;"|"&amp;$C428&amp;"|"&amp;$D428)</f>
        <v/>
      </c>
    </row>
    <row r="429">
      <c r="H429" s="58">
        <f>IF($A429="","",$A429&amp;"|"&amp;$B429&amp;"|"&amp;$C429&amp;"|"&amp;$D429)</f>
        <v/>
      </c>
    </row>
    <row r="430">
      <c r="H430" s="58">
        <f>IF($A430="","",$A430&amp;"|"&amp;$B430&amp;"|"&amp;$C430&amp;"|"&amp;$D430)</f>
        <v/>
      </c>
    </row>
    <row r="431">
      <c r="H431" s="58">
        <f>IF($A431="","",$A431&amp;"|"&amp;$B431&amp;"|"&amp;$C431&amp;"|"&amp;$D431)</f>
        <v/>
      </c>
    </row>
    <row r="432">
      <c r="H432" s="58">
        <f>IF($A432="","",$A432&amp;"|"&amp;$B432&amp;"|"&amp;$C432&amp;"|"&amp;$D432)</f>
        <v/>
      </c>
    </row>
    <row r="433">
      <c r="H433" s="58">
        <f>IF($A433="","",$A433&amp;"|"&amp;$B433&amp;"|"&amp;$C433&amp;"|"&amp;$D433)</f>
        <v/>
      </c>
    </row>
    <row r="434">
      <c r="H434" s="58">
        <f>IF($A434="","",$A434&amp;"|"&amp;$B434&amp;"|"&amp;$C434&amp;"|"&amp;$D434)</f>
        <v/>
      </c>
    </row>
    <row r="435">
      <c r="H435" s="58">
        <f>IF($A435="","",$A435&amp;"|"&amp;$B435&amp;"|"&amp;$C435&amp;"|"&amp;$D435)</f>
        <v/>
      </c>
    </row>
    <row r="436">
      <c r="H436" s="58">
        <f>IF($A436="","",$A436&amp;"|"&amp;$B436&amp;"|"&amp;$C436&amp;"|"&amp;$D436)</f>
        <v/>
      </c>
    </row>
    <row r="437">
      <c r="H437" s="58">
        <f>IF($A437="","",$A437&amp;"|"&amp;$B437&amp;"|"&amp;$C437&amp;"|"&amp;$D437)</f>
        <v/>
      </c>
    </row>
    <row r="438">
      <c r="H438" s="58">
        <f>IF($A438="","",$A438&amp;"|"&amp;$B438&amp;"|"&amp;$C438&amp;"|"&amp;$D438)</f>
        <v/>
      </c>
    </row>
    <row r="439">
      <c r="H439" s="58">
        <f>IF($A439="","",$A439&amp;"|"&amp;$B439&amp;"|"&amp;$C439&amp;"|"&amp;$D439)</f>
        <v/>
      </c>
    </row>
    <row r="440">
      <c r="H440" s="58">
        <f>IF($A440="","",$A440&amp;"|"&amp;$B440&amp;"|"&amp;$C440&amp;"|"&amp;$D440)</f>
        <v/>
      </c>
    </row>
    <row r="441">
      <c r="H441" s="58">
        <f>IF($A441="","",$A441&amp;"|"&amp;$B441&amp;"|"&amp;$C441&amp;"|"&amp;$D441)</f>
        <v/>
      </c>
    </row>
    <row r="442">
      <c r="H442" s="58">
        <f>IF($A442="","",$A442&amp;"|"&amp;$B442&amp;"|"&amp;$C442&amp;"|"&amp;$D442)</f>
        <v/>
      </c>
    </row>
    <row r="443">
      <c r="H443" s="58">
        <f>IF($A443="","",$A443&amp;"|"&amp;$B443&amp;"|"&amp;$C443&amp;"|"&amp;$D443)</f>
        <v/>
      </c>
    </row>
    <row r="444">
      <c r="H444" s="58">
        <f>IF($A444="","",$A444&amp;"|"&amp;$B444&amp;"|"&amp;$C444&amp;"|"&amp;$D444)</f>
        <v/>
      </c>
    </row>
    <row r="445">
      <c r="H445" s="58">
        <f>IF($A445="","",$A445&amp;"|"&amp;$B445&amp;"|"&amp;$C445&amp;"|"&amp;$D445)</f>
        <v/>
      </c>
    </row>
    <row r="446">
      <c r="H446" s="58">
        <f>IF($A446="","",$A446&amp;"|"&amp;$B446&amp;"|"&amp;$C446&amp;"|"&amp;$D446)</f>
        <v/>
      </c>
    </row>
    <row r="447">
      <c r="H447" s="58">
        <f>IF($A447="","",$A447&amp;"|"&amp;$B447&amp;"|"&amp;$C447&amp;"|"&amp;$D447)</f>
        <v/>
      </c>
    </row>
    <row r="448">
      <c r="H448" s="58">
        <f>IF($A448="","",$A448&amp;"|"&amp;$B448&amp;"|"&amp;$C448&amp;"|"&amp;$D448)</f>
        <v/>
      </c>
    </row>
    <row r="449">
      <c r="H449" s="58">
        <f>IF($A449="","",$A449&amp;"|"&amp;$B449&amp;"|"&amp;$C449&amp;"|"&amp;$D449)</f>
        <v/>
      </c>
    </row>
    <row r="450">
      <c r="H450" s="58">
        <f>IF($A450="","",$A450&amp;"|"&amp;$B450&amp;"|"&amp;$C450&amp;"|"&amp;$D450)</f>
        <v/>
      </c>
    </row>
    <row r="451">
      <c r="H451" s="58">
        <f>IF($A451="","",$A451&amp;"|"&amp;$B451&amp;"|"&amp;$C451&amp;"|"&amp;$D451)</f>
        <v/>
      </c>
    </row>
    <row r="452">
      <c r="H452" s="58">
        <f>IF($A452="","",$A452&amp;"|"&amp;$B452&amp;"|"&amp;$C452&amp;"|"&amp;$D452)</f>
        <v/>
      </c>
    </row>
    <row r="453">
      <c r="H453" s="58">
        <f>IF($A453="","",$A453&amp;"|"&amp;$B453&amp;"|"&amp;$C453&amp;"|"&amp;$D453)</f>
        <v/>
      </c>
    </row>
    <row r="454">
      <c r="H454" s="58">
        <f>IF($A454="","",$A454&amp;"|"&amp;$B454&amp;"|"&amp;$C454&amp;"|"&amp;$D454)</f>
        <v/>
      </c>
    </row>
    <row r="455">
      <c r="H455" s="58">
        <f>IF($A455="","",$A455&amp;"|"&amp;$B455&amp;"|"&amp;$C455&amp;"|"&amp;$D455)</f>
        <v/>
      </c>
    </row>
    <row r="456">
      <c r="H456" s="58">
        <f>IF($A456="","",$A456&amp;"|"&amp;$B456&amp;"|"&amp;$C456&amp;"|"&amp;$D456)</f>
        <v/>
      </c>
    </row>
    <row r="457">
      <c r="H457" s="58">
        <f>IF($A457="","",$A457&amp;"|"&amp;$B457&amp;"|"&amp;$C457&amp;"|"&amp;$D457)</f>
        <v/>
      </c>
    </row>
    <row r="458">
      <c r="H458" s="58">
        <f>IF($A458="","",$A458&amp;"|"&amp;$B458&amp;"|"&amp;$C458&amp;"|"&amp;$D458)</f>
        <v/>
      </c>
    </row>
    <row r="459">
      <c r="H459" s="58">
        <f>IF($A459="","",$A459&amp;"|"&amp;$B459&amp;"|"&amp;$C459&amp;"|"&amp;$D459)</f>
        <v/>
      </c>
    </row>
    <row r="460">
      <c r="H460" s="58">
        <f>IF($A460="","",$A460&amp;"|"&amp;$B460&amp;"|"&amp;$C460&amp;"|"&amp;$D460)</f>
        <v/>
      </c>
    </row>
    <row r="461">
      <c r="H461" s="58">
        <f>IF($A461="","",$A461&amp;"|"&amp;$B461&amp;"|"&amp;$C461&amp;"|"&amp;$D461)</f>
        <v/>
      </c>
    </row>
    <row r="462">
      <c r="H462" s="58">
        <f>IF($A462="","",$A462&amp;"|"&amp;$B462&amp;"|"&amp;$C462&amp;"|"&amp;$D462)</f>
        <v/>
      </c>
    </row>
    <row r="463">
      <c r="H463" s="58">
        <f>IF($A463="","",$A463&amp;"|"&amp;$B463&amp;"|"&amp;$C463&amp;"|"&amp;$D463)</f>
        <v/>
      </c>
    </row>
    <row r="464">
      <c r="H464" s="58">
        <f>IF($A464="","",$A464&amp;"|"&amp;$B464&amp;"|"&amp;$C464&amp;"|"&amp;$D464)</f>
        <v/>
      </c>
    </row>
    <row r="465">
      <c r="H465" s="58">
        <f>IF($A465="","",$A465&amp;"|"&amp;$B465&amp;"|"&amp;$C465&amp;"|"&amp;$D465)</f>
        <v/>
      </c>
    </row>
    <row r="466">
      <c r="H466" s="58">
        <f>IF($A466="","",$A466&amp;"|"&amp;$B466&amp;"|"&amp;$C466&amp;"|"&amp;$D466)</f>
        <v/>
      </c>
    </row>
    <row r="467">
      <c r="H467" s="58">
        <f>IF($A467="","",$A467&amp;"|"&amp;$B467&amp;"|"&amp;$C467&amp;"|"&amp;$D467)</f>
        <v/>
      </c>
    </row>
    <row r="468">
      <c r="H468" s="58">
        <f>IF($A468="","",$A468&amp;"|"&amp;$B468&amp;"|"&amp;$C468&amp;"|"&amp;$D468)</f>
        <v/>
      </c>
    </row>
    <row r="469">
      <c r="H469" s="58">
        <f>IF($A469="","",$A469&amp;"|"&amp;$B469&amp;"|"&amp;$C469&amp;"|"&amp;$D469)</f>
        <v/>
      </c>
    </row>
    <row r="470">
      <c r="H470" s="58">
        <f>IF($A470="","",$A470&amp;"|"&amp;$B470&amp;"|"&amp;$C470&amp;"|"&amp;$D470)</f>
        <v/>
      </c>
    </row>
    <row r="471">
      <c r="H471" s="58">
        <f>IF($A471="","",$A471&amp;"|"&amp;$B471&amp;"|"&amp;$C471&amp;"|"&amp;$D471)</f>
        <v/>
      </c>
    </row>
    <row r="472">
      <c r="H472" s="58">
        <f>IF($A472="","",$A472&amp;"|"&amp;$B472&amp;"|"&amp;$C472&amp;"|"&amp;$D472)</f>
        <v/>
      </c>
    </row>
    <row r="473">
      <c r="H473" s="58">
        <f>IF($A473="","",$A473&amp;"|"&amp;$B473&amp;"|"&amp;$C473&amp;"|"&amp;$D473)</f>
        <v/>
      </c>
    </row>
    <row r="474">
      <c r="H474" s="58">
        <f>IF($A474="","",$A474&amp;"|"&amp;$B474&amp;"|"&amp;$C474&amp;"|"&amp;$D474)</f>
        <v/>
      </c>
    </row>
    <row r="475">
      <c r="H475" s="58">
        <f>IF($A475="","",$A475&amp;"|"&amp;$B475&amp;"|"&amp;$C475&amp;"|"&amp;$D475)</f>
        <v/>
      </c>
    </row>
    <row r="476">
      <c r="H476" s="58">
        <f>IF($A476="","",$A476&amp;"|"&amp;$B476&amp;"|"&amp;$C476&amp;"|"&amp;$D476)</f>
        <v/>
      </c>
    </row>
    <row r="477">
      <c r="H477" s="58">
        <f>IF($A477="","",$A477&amp;"|"&amp;$B477&amp;"|"&amp;$C477&amp;"|"&amp;$D477)</f>
        <v/>
      </c>
    </row>
    <row r="478">
      <c r="H478" s="58">
        <f>IF($A478="","",$A478&amp;"|"&amp;$B478&amp;"|"&amp;$C478&amp;"|"&amp;$D478)</f>
        <v/>
      </c>
    </row>
    <row r="479">
      <c r="H479" s="58">
        <f>IF($A479="","",$A479&amp;"|"&amp;$B479&amp;"|"&amp;$C479&amp;"|"&amp;$D479)</f>
        <v/>
      </c>
    </row>
    <row r="480">
      <c r="H480" s="58">
        <f>IF($A480="","",$A480&amp;"|"&amp;$B480&amp;"|"&amp;$C480&amp;"|"&amp;$D480)</f>
        <v/>
      </c>
    </row>
    <row r="481">
      <c r="H481" s="58">
        <f>IF($A481="","",$A481&amp;"|"&amp;$B481&amp;"|"&amp;$C481&amp;"|"&amp;$D481)</f>
        <v/>
      </c>
    </row>
    <row r="482">
      <c r="H482" s="58">
        <f>IF($A482="","",$A482&amp;"|"&amp;$B482&amp;"|"&amp;$C482&amp;"|"&amp;$D482)</f>
        <v/>
      </c>
    </row>
    <row r="483">
      <c r="H483" s="58">
        <f>IF($A483="","",$A483&amp;"|"&amp;$B483&amp;"|"&amp;$C483&amp;"|"&amp;$D483)</f>
        <v/>
      </c>
    </row>
    <row r="484">
      <c r="H484" s="58">
        <f>IF($A484="","",$A484&amp;"|"&amp;$B484&amp;"|"&amp;$C484&amp;"|"&amp;$D484)</f>
        <v/>
      </c>
    </row>
    <row r="485">
      <c r="H485" s="58">
        <f>IF($A485="","",$A485&amp;"|"&amp;$B485&amp;"|"&amp;$C485&amp;"|"&amp;$D485)</f>
        <v/>
      </c>
    </row>
    <row r="486">
      <c r="H486" s="58">
        <f>IF($A486="","",$A486&amp;"|"&amp;$B486&amp;"|"&amp;$C486&amp;"|"&amp;$D486)</f>
        <v/>
      </c>
    </row>
    <row r="487">
      <c r="H487" s="58">
        <f>IF($A487="","",$A487&amp;"|"&amp;$B487&amp;"|"&amp;$C487&amp;"|"&amp;$D487)</f>
        <v/>
      </c>
    </row>
    <row r="488">
      <c r="H488" s="58">
        <f>IF($A488="","",$A488&amp;"|"&amp;$B488&amp;"|"&amp;$C488&amp;"|"&amp;$D488)</f>
        <v/>
      </c>
    </row>
    <row r="489">
      <c r="H489" s="58">
        <f>IF($A489="","",$A489&amp;"|"&amp;$B489&amp;"|"&amp;$C489&amp;"|"&amp;$D489)</f>
        <v/>
      </c>
    </row>
    <row r="490">
      <c r="H490" s="58">
        <f>IF($A490="","",$A490&amp;"|"&amp;$B490&amp;"|"&amp;$C490&amp;"|"&amp;$D490)</f>
        <v/>
      </c>
    </row>
    <row r="491">
      <c r="H491" s="58">
        <f>IF($A491="","",$A491&amp;"|"&amp;$B491&amp;"|"&amp;$C491&amp;"|"&amp;$D491)</f>
        <v/>
      </c>
    </row>
    <row r="492">
      <c r="H492" s="58">
        <f>IF($A492="","",$A492&amp;"|"&amp;$B492&amp;"|"&amp;$C492&amp;"|"&amp;$D492)</f>
        <v/>
      </c>
    </row>
    <row r="493">
      <c r="H493" s="58">
        <f>IF($A493="","",$A493&amp;"|"&amp;$B493&amp;"|"&amp;$C493&amp;"|"&amp;$D493)</f>
        <v/>
      </c>
    </row>
    <row r="494">
      <c r="H494" s="58">
        <f>IF($A494="","",$A494&amp;"|"&amp;$B494&amp;"|"&amp;$C494&amp;"|"&amp;$D494)</f>
        <v/>
      </c>
    </row>
    <row r="495">
      <c r="H495" s="58">
        <f>IF($A495="","",$A495&amp;"|"&amp;$B495&amp;"|"&amp;$C495&amp;"|"&amp;$D495)</f>
        <v/>
      </c>
    </row>
    <row r="496">
      <c r="H496" s="58">
        <f>IF($A496="","",$A496&amp;"|"&amp;$B496&amp;"|"&amp;$C496&amp;"|"&amp;$D496)</f>
        <v/>
      </c>
    </row>
    <row r="497">
      <c r="H497" s="58">
        <f>IF($A497="","",$A497&amp;"|"&amp;$B497&amp;"|"&amp;$C497&amp;"|"&amp;$D497)</f>
        <v/>
      </c>
    </row>
    <row r="498">
      <c r="H498" s="58">
        <f>IF($A498="","",$A498&amp;"|"&amp;$B498&amp;"|"&amp;$C498&amp;"|"&amp;$D498)</f>
        <v/>
      </c>
    </row>
    <row r="499">
      <c r="H499" s="58">
        <f>IF($A499="","",$A499&amp;"|"&amp;$B499&amp;"|"&amp;$C499&amp;"|"&amp;$D499)</f>
        <v/>
      </c>
    </row>
    <row r="500">
      <c r="H500" s="58">
        <f>IF($A500="","",$A500&amp;"|"&amp;$B500&amp;"|"&amp;$C500&amp;"|"&amp;$D500)</f>
        <v/>
      </c>
    </row>
    <row r="501">
      <c r="H501" s="58">
        <f>IF($A501="","",$A501&amp;"|"&amp;$B501&amp;"|"&amp;$C501&amp;"|"&amp;$D501)</f>
        <v/>
      </c>
    </row>
    <row r="502">
      <c r="H502" s="58">
        <f>IF($A502="","",$A502&amp;"|"&amp;$B502&amp;"|"&amp;$C502&amp;"|"&amp;$D502)</f>
        <v/>
      </c>
    </row>
    <row r="503">
      <c r="H503" s="58">
        <f>IF($A503="","",$A503&amp;"|"&amp;$B503&amp;"|"&amp;$C503&amp;"|"&amp;$D503)</f>
        <v/>
      </c>
    </row>
    <row r="504">
      <c r="H504" s="58">
        <f>IF($A504="","",$A504&amp;"|"&amp;$B504&amp;"|"&amp;$C504&amp;"|"&amp;$D504)</f>
        <v/>
      </c>
    </row>
    <row r="505">
      <c r="H505" s="58">
        <f>IF($A505="","",$A505&amp;"|"&amp;$B505&amp;"|"&amp;$C505&amp;"|"&amp;$D505)</f>
        <v/>
      </c>
    </row>
    <row r="506">
      <c r="H506" s="58">
        <f>IF($A506="","",$A506&amp;"|"&amp;$B506&amp;"|"&amp;$C506&amp;"|"&amp;$D506)</f>
        <v/>
      </c>
    </row>
    <row r="507">
      <c r="H507" s="58">
        <f>IF($A507="","",$A507&amp;"|"&amp;$B507&amp;"|"&amp;$C507&amp;"|"&amp;$D507)</f>
        <v/>
      </c>
    </row>
    <row r="508">
      <c r="H508" s="58">
        <f>IF($A508="","",$A508&amp;"|"&amp;$B508&amp;"|"&amp;$C508&amp;"|"&amp;$D508)</f>
        <v/>
      </c>
    </row>
    <row r="509">
      <c r="H509" s="58">
        <f>IF($A509="","",$A509&amp;"|"&amp;$B509&amp;"|"&amp;$C509&amp;"|"&amp;$D509)</f>
        <v/>
      </c>
    </row>
    <row r="510">
      <c r="H510" s="58">
        <f>IF($A510="","",$A510&amp;"|"&amp;$B510&amp;"|"&amp;$C510&amp;"|"&amp;$D510)</f>
        <v/>
      </c>
    </row>
    <row r="511">
      <c r="H511" s="58">
        <f>IF($A511="","",$A511&amp;"|"&amp;$B511&amp;"|"&amp;$C511&amp;"|"&amp;$D511)</f>
        <v/>
      </c>
    </row>
    <row r="512">
      <c r="H512" s="58">
        <f>IF($A512="","",$A512&amp;"|"&amp;$B512&amp;"|"&amp;$C512&amp;"|"&amp;$D512)</f>
        <v/>
      </c>
    </row>
    <row r="513">
      <c r="H513" s="58">
        <f>IF($A513="","",$A513&amp;"|"&amp;$B513&amp;"|"&amp;$C513&amp;"|"&amp;$D513)</f>
        <v/>
      </c>
    </row>
    <row r="514">
      <c r="H514" s="58">
        <f>IF($A514="","",$A514&amp;"|"&amp;$B514&amp;"|"&amp;$C514&amp;"|"&amp;$D514)</f>
        <v/>
      </c>
    </row>
    <row r="515">
      <c r="H515" s="58">
        <f>IF($A515="","",$A515&amp;"|"&amp;$B515&amp;"|"&amp;$C515&amp;"|"&amp;$D515)</f>
        <v/>
      </c>
    </row>
    <row r="516">
      <c r="H516" s="58">
        <f>IF($A516="","",$A516&amp;"|"&amp;$B516&amp;"|"&amp;$C516&amp;"|"&amp;$D516)</f>
        <v/>
      </c>
    </row>
    <row r="517">
      <c r="H517" s="58">
        <f>IF($A517="","",$A517&amp;"|"&amp;$B517&amp;"|"&amp;$C517&amp;"|"&amp;$D517)</f>
        <v/>
      </c>
    </row>
    <row r="518">
      <c r="H518" s="58">
        <f>IF($A518="","",$A518&amp;"|"&amp;$B518&amp;"|"&amp;$C518&amp;"|"&amp;$D518)</f>
        <v/>
      </c>
    </row>
    <row r="519">
      <c r="H519" s="58">
        <f>IF($A519="","",$A519&amp;"|"&amp;$B519&amp;"|"&amp;$C519&amp;"|"&amp;$D519)</f>
        <v/>
      </c>
    </row>
    <row r="520">
      <c r="H520" s="58">
        <f>IF($A520="","",$A520&amp;"|"&amp;$B520&amp;"|"&amp;$C520&amp;"|"&amp;$D520)</f>
        <v/>
      </c>
    </row>
    <row r="521">
      <c r="H521" s="58">
        <f>IF($A521="","",$A521&amp;"|"&amp;$B521&amp;"|"&amp;$C521&amp;"|"&amp;$D521)</f>
        <v/>
      </c>
    </row>
    <row r="522">
      <c r="H522" s="58">
        <f>IF($A522="","",$A522&amp;"|"&amp;$B522&amp;"|"&amp;$C522&amp;"|"&amp;$D522)</f>
        <v/>
      </c>
    </row>
    <row r="523">
      <c r="H523" s="58">
        <f>IF($A523="","",$A523&amp;"|"&amp;$B523&amp;"|"&amp;$C523&amp;"|"&amp;$D523)</f>
        <v/>
      </c>
    </row>
    <row r="524">
      <c r="H524" s="58">
        <f>IF($A524="","",$A524&amp;"|"&amp;$B524&amp;"|"&amp;$C524&amp;"|"&amp;$D524)</f>
        <v/>
      </c>
    </row>
    <row r="525">
      <c r="H525" s="58">
        <f>IF($A525="","",$A525&amp;"|"&amp;$B525&amp;"|"&amp;$C525&amp;"|"&amp;$D525)</f>
        <v/>
      </c>
    </row>
    <row r="526">
      <c r="H526" s="58">
        <f>IF($A526="","",$A526&amp;"|"&amp;$B526&amp;"|"&amp;$C526&amp;"|"&amp;$D526)</f>
        <v/>
      </c>
    </row>
    <row r="527">
      <c r="H527" s="58">
        <f>IF($A527="","",$A527&amp;"|"&amp;$B527&amp;"|"&amp;$C527&amp;"|"&amp;$D527)</f>
        <v/>
      </c>
    </row>
    <row r="528">
      <c r="H528" s="58">
        <f>IF($A528="","",$A528&amp;"|"&amp;$B528&amp;"|"&amp;$C528&amp;"|"&amp;$D528)</f>
        <v/>
      </c>
    </row>
    <row r="529">
      <c r="H529" s="58">
        <f>IF($A529="","",$A529&amp;"|"&amp;$B529&amp;"|"&amp;$C529&amp;"|"&amp;$D529)</f>
        <v/>
      </c>
    </row>
    <row r="530">
      <c r="H530" s="58">
        <f>IF($A530="","",$A530&amp;"|"&amp;$B530&amp;"|"&amp;$C530&amp;"|"&amp;$D530)</f>
        <v/>
      </c>
    </row>
    <row r="531">
      <c r="H531" s="58">
        <f>IF($A531="","",$A531&amp;"|"&amp;$B531&amp;"|"&amp;$C531&amp;"|"&amp;$D531)</f>
        <v/>
      </c>
    </row>
    <row r="532">
      <c r="H532" s="58">
        <f>IF($A532="","",$A532&amp;"|"&amp;$B532&amp;"|"&amp;$C532&amp;"|"&amp;$D532)</f>
        <v/>
      </c>
    </row>
    <row r="533">
      <c r="H533" s="58">
        <f>IF($A533="","",$A533&amp;"|"&amp;$B533&amp;"|"&amp;$C533&amp;"|"&amp;$D533)</f>
        <v/>
      </c>
    </row>
    <row r="534">
      <c r="H534" s="58">
        <f>IF($A534="","",$A534&amp;"|"&amp;$B534&amp;"|"&amp;$C534&amp;"|"&amp;$D534)</f>
        <v/>
      </c>
    </row>
    <row r="535">
      <c r="H535" s="58">
        <f>IF($A535="","",$A535&amp;"|"&amp;$B535&amp;"|"&amp;$C535&amp;"|"&amp;$D535)</f>
        <v/>
      </c>
    </row>
    <row r="536">
      <c r="H536" s="58">
        <f>IF($A536="","",$A536&amp;"|"&amp;$B536&amp;"|"&amp;$C536&amp;"|"&amp;$D536)</f>
        <v/>
      </c>
    </row>
    <row r="537">
      <c r="H537" s="58">
        <f>IF($A537="","",$A537&amp;"|"&amp;$B537&amp;"|"&amp;$C537&amp;"|"&amp;$D537)</f>
        <v/>
      </c>
    </row>
    <row r="538">
      <c r="H538" s="58">
        <f>IF($A538="","",$A538&amp;"|"&amp;$B538&amp;"|"&amp;$C538&amp;"|"&amp;$D538)</f>
        <v/>
      </c>
    </row>
    <row r="539">
      <c r="H539" s="58">
        <f>IF($A539="","",$A539&amp;"|"&amp;$B539&amp;"|"&amp;$C539&amp;"|"&amp;$D539)</f>
        <v/>
      </c>
    </row>
    <row r="540">
      <c r="H540" s="58">
        <f>IF($A540="","",$A540&amp;"|"&amp;$B540&amp;"|"&amp;$C540&amp;"|"&amp;$D540)</f>
        <v/>
      </c>
    </row>
    <row r="541">
      <c r="H541" s="58">
        <f>IF($A541="","",$A541&amp;"|"&amp;$B541&amp;"|"&amp;$C541&amp;"|"&amp;$D541)</f>
        <v/>
      </c>
    </row>
    <row r="542">
      <c r="H542" s="58">
        <f>IF($A542="","",$A542&amp;"|"&amp;$B542&amp;"|"&amp;$C542&amp;"|"&amp;$D542)</f>
        <v/>
      </c>
    </row>
    <row r="543">
      <c r="H543" s="58">
        <f>IF($A543="","",$A543&amp;"|"&amp;$B543&amp;"|"&amp;$C543&amp;"|"&amp;$D543)</f>
        <v/>
      </c>
    </row>
    <row r="544">
      <c r="H544" s="58">
        <f>IF($A544="","",$A544&amp;"|"&amp;$B544&amp;"|"&amp;$C544&amp;"|"&amp;$D544)</f>
        <v/>
      </c>
    </row>
    <row r="545">
      <c r="H545" s="58">
        <f>IF($A545="","",$A545&amp;"|"&amp;$B545&amp;"|"&amp;$C545&amp;"|"&amp;$D545)</f>
        <v/>
      </c>
    </row>
    <row r="546">
      <c r="H546" s="58">
        <f>IF($A546="","",$A546&amp;"|"&amp;$B546&amp;"|"&amp;$C546&amp;"|"&amp;$D546)</f>
        <v/>
      </c>
    </row>
    <row r="547">
      <c r="H547" s="58">
        <f>IF($A547="","",$A547&amp;"|"&amp;$B547&amp;"|"&amp;$C547&amp;"|"&amp;$D547)</f>
        <v/>
      </c>
    </row>
    <row r="548">
      <c r="H548" s="58">
        <f>IF($A548="","",$A548&amp;"|"&amp;$B548&amp;"|"&amp;$C548&amp;"|"&amp;$D548)</f>
        <v/>
      </c>
    </row>
    <row r="549">
      <c r="H549" s="58">
        <f>IF($A549="","",$A549&amp;"|"&amp;$B549&amp;"|"&amp;$C549&amp;"|"&amp;$D549)</f>
        <v/>
      </c>
    </row>
    <row r="550">
      <c r="H550" s="58">
        <f>IF($A550="","",$A550&amp;"|"&amp;$B550&amp;"|"&amp;$C550&amp;"|"&amp;$D550)</f>
        <v/>
      </c>
    </row>
    <row r="551">
      <c r="H551" s="58">
        <f>IF($A551="","",$A551&amp;"|"&amp;$B551&amp;"|"&amp;$C551&amp;"|"&amp;$D551)</f>
        <v/>
      </c>
    </row>
    <row r="552">
      <c r="H552" s="58">
        <f>IF($A552="","",$A552&amp;"|"&amp;$B552&amp;"|"&amp;$C552&amp;"|"&amp;$D552)</f>
        <v/>
      </c>
    </row>
    <row r="553">
      <c r="H553" s="58">
        <f>IF($A553="","",$A553&amp;"|"&amp;$B553&amp;"|"&amp;$C553&amp;"|"&amp;$D553)</f>
        <v/>
      </c>
    </row>
    <row r="554">
      <c r="H554" s="58">
        <f>IF($A554="","",$A554&amp;"|"&amp;$B554&amp;"|"&amp;$C554&amp;"|"&amp;$D554)</f>
        <v/>
      </c>
    </row>
    <row r="555">
      <c r="H555" s="58">
        <f>IF($A555="","",$A555&amp;"|"&amp;$B555&amp;"|"&amp;$C555&amp;"|"&amp;$D555)</f>
        <v/>
      </c>
    </row>
    <row r="556">
      <c r="H556" s="58">
        <f>IF($A556="","",$A556&amp;"|"&amp;$B556&amp;"|"&amp;$C556&amp;"|"&amp;$D556)</f>
        <v/>
      </c>
    </row>
    <row r="557">
      <c r="H557" s="58">
        <f>IF($A557="","",$A557&amp;"|"&amp;$B557&amp;"|"&amp;$C557&amp;"|"&amp;$D557)</f>
        <v/>
      </c>
    </row>
    <row r="558">
      <c r="H558" s="58">
        <f>IF($A558="","",$A558&amp;"|"&amp;$B558&amp;"|"&amp;$C558&amp;"|"&amp;$D558)</f>
        <v/>
      </c>
    </row>
    <row r="559">
      <c r="H559" s="58">
        <f>IF($A559="","",$A559&amp;"|"&amp;$B559&amp;"|"&amp;$C559&amp;"|"&amp;$D559)</f>
        <v/>
      </c>
    </row>
    <row r="560">
      <c r="H560" s="58">
        <f>IF($A560="","",$A560&amp;"|"&amp;$B560&amp;"|"&amp;$C560&amp;"|"&amp;$D560)</f>
        <v/>
      </c>
    </row>
    <row r="561">
      <c r="H561" s="58">
        <f>IF($A561="","",$A561&amp;"|"&amp;$B561&amp;"|"&amp;$C561&amp;"|"&amp;$D561)</f>
        <v/>
      </c>
    </row>
    <row r="562">
      <c r="H562" s="58">
        <f>IF($A562="","",$A562&amp;"|"&amp;$B562&amp;"|"&amp;$C562&amp;"|"&amp;$D562)</f>
        <v/>
      </c>
    </row>
    <row r="563">
      <c r="H563" s="58">
        <f>IF($A563="","",$A563&amp;"|"&amp;$B563&amp;"|"&amp;$C563&amp;"|"&amp;$D563)</f>
        <v/>
      </c>
    </row>
    <row r="564">
      <c r="H564" s="58">
        <f>IF($A564="","",$A564&amp;"|"&amp;$B564&amp;"|"&amp;$C564&amp;"|"&amp;$D564)</f>
        <v/>
      </c>
    </row>
    <row r="565">
      <c r="H565" s="58">
        <f>IF($A565="","",$A565&amp;"|"&amp;$B565&amp;"|"&amp;$C565&amp;"|"&amp;$D565)</f>
        <v/>
      </c>
    </row>
    <row r="566">
      <c r="H566" s="58">
        <f>IF($A566="","",$A566&amp;"|"&amp;$B566&amp;"|"&amp;$C566&amp;"|"&amp;$D566)</f>
        <v/>
      </c>
    </row>
    <row r="567">
      <c r="H567" s="58">
        <f>IF($A567="","",$A567&amp;"|"&amp;$B567&amp;"|"&amp;$C567&amp;"|"&amp;$D567)</f>
        <v/>
      </c>
    </row>
    <row r="568">
      <c r="H568" s="58">
        <f>IF($A568="","",$A568&amp;"|"&amp;$B568&amp;"|"&amp;$C568&amp;"|"&amp;$D568)</f>
        <v/>
      </c>
    </row>
    <row r="569">
      <c r="H569" s="58">
        <f>IF($A569="","",$A569&amp;"|"&amp;$B569&amp;"|"&amp;$C569&amp;"|"&amp;$D569)</f>
        <v/>
      </c>
    </row>
    <row r="570">
      <c r="H570" s="58">
        <f>IF($A570="","",$A570&amp;"|"&amp;$B570&amp;"|"&amp;$C570&amp;"|"&amp;$D570)</f>
        <v/>
      </c>
    </row>
    <row r="571">
      <c r="H571" s="58">
        <f>IF($A571="","",$A571&amp;"|"&amp;$B571&amp;"|"&amp;$C571&amp;"|"&amp;$D571)</f>
        <v/>
      </c>
    </row>
    <row r="572">
      <c r="H572" s="58">
        <f>IF($A572="","",$A572&amp;"|"&amp;$B572&amp;"|"&amp;$C572&amp;"|"&amp;$D572)</f>
        <v/>
      </c>
    </row>
    <row r="573">
      <c r="H573" s="58">
        <f>IF($A573="","",$A573&amp;"|"&amp;$B573&amp;"|"&amp;$C573&amp;"|"&amp;$D573)</f>
        <v/>
      </c>
    </row>
    <row r="574">
      <c r="H574" s="58">
        <f>IF($A574="","",$A574&amp;"|"&amp;$B574&amp;"|"&amp;$C574&amp;"|"&amp;$D574)</f>
        <v/>
      </c>
    </row>
    <row r="575">
      <c r="H575" s="58">
        <f>IF($A575="","",$A575&amp;"|"&amp;$B575&amp;"|"&amp;$C575&amp;"|"&amp;$D575)</f>
        <v/>
      </c>
    </row>
    <row r="576">
      <c r="H576" s="58">
        <f>IF($A576="","",$A576&amp;"|"&amp;$B576&amp;"|"&amp;$C576&amp;"|"&amp;$D576)</f>
        <v/>
      </c>
    </row>
    <row r="577">
      <c r="H577" s="58">
        <f>IF($A577="","",$A577&amp;"|"&amp;$B577&amp;"|"&amp;$C577&amp;"|"&amp;$D577)</f>
        <v/>
      </c>
    </row>
    <row r="578">
      <c r="H578" s="58">
        <f>IF($A578="","",$A578&amp;"|"&amp;$B578&amp;"|"&amp;$C578&amp;"|"&amp;$D578)</f>
        <v/>
      </c>
    </row>
    <row r="579">
      <c r="H579" s="58">
        <f>IF($A579="","",$A579&amp;"|"&amp;$B579&amp;"|"&amp;$C579&amp;"|"&amp;$D579)</f>
        <v/>
      </c>
    </row>
    <row r="580">
      <c r="H580" s="58">
        <f>IF($A580="","",$A580&amp;"|"&amp;$B580&amp;"|"&amp;$C580&amp;"|"&amp;$D580)</f>
        <v/>
      </c>
    </row>
    <row r="581">
      <c r="H581" s="58">
        <f>IF($A581="","",$A581&amp;"|"&amp;$B581&amp;"|"&amp;$C581&amp;"|"&amp;$D581)</f>
        <v/>
      </c>
    </row>
    <row r="582">
      <c r="H582" s="58">
        <f>IF($A582="","",$A582&amp;"|"&amp;$B582&amp;"|"&amp;$C582&amp;"|"&amp;$D582)</f>
        <v/>
      </c>
    </row>
    <row r="583">
      <c r="H583" s="58">
        <f>IF($A583="","",$A583&amp;"|"&amp;$B583&amp;"|"&amp;$C583&amp;"|"&amp;$D583)</f>
        <v/>
      </c>
    </row>
    <row r="584">
      <c r="H584" s="58">
        <f>IF($A584="","",$A584&amp;"|"&amp;$B584&amp;"|"&amp;$C584&amp;"|"&amp;$D584)</f>
        <v/>
      </c>
    </row>
    <row r="585">
      <c r="H585" s="58">
        <f>IF($A585="","",$A585&amp;"|"&amp;$B585&amp;"|"&amp;$C585&amp;"|"&amp;$D585)</f>
        <v/>
      </c>
    </row>
    <row r="586">
      <c r="H586" s="58">
        <f>IF($A586="","",$A586&amp;"|"&amp;$B586&amp;"|"&amp;$C586&amp;"|"&amp;$D586)</f>
        <v/>
      </c>
    </row>
    <row r="587">
      <c r="H587" s="58">
        <f>IF($A587="","",$A587&amp;"|"&amp;$B587&amp;"|"&amp;$C587&amp;"|"&amp;$D587)</f>
        <v/>
      </c>
    </row>
    <row r="588">
      <c r="H588" s="58">
        <f>IF($A588="","",$A588&amp;"|"&amp;$B588&amp;"|"&amp;$C588&amp;"|"&amp;$D588)</f>
        <v/>
      </c>
    </row>
    <row r="589">
      <c r="H589" s="58">
        <f>IF($A589="","",$A589&amp;"|"&amp;$B589&amp;"|"&amp;$C589&amp;"|"&amp;$D589)</f>
        <v/>
      </c>
    </row>
    <row r="590">
      <c r="H590" s="58">
        <f>IF($A590="","",$A590&amp;"|"&amp;$B590&amp;"|"&amp;$C590&amp;"|"&amp;$D590)</f>
        <v/>
      </c>
    </row>
    <row r="591">
      <c r="H591" s="58">
        <f>IF($A591="","",$A591&amp;"|"&amp;$B591&amp;"|"&amp;$C591&amp;"|"&amp;$D591)</f>
        <v/>
      </c>
    </row>
    <row r="592">
      <c r="H592" s="58">
        <f>IF($A592="","",$A592&amp;"|"&amp;$B592&amp;"|"&amp;$C592&amp;"|"&amp;$D592)</f>
        <v/>
      </c>
    </row>
    <row r="593">
      <c r="H593" s="58">
        <f>IF($A593="","",$A593&amp;"|"&amp;$B593&amp;"|"&amp;$C593&amp;"|"&amp;$D593)</f>
        <v/>
      </c>
    </row>
    <row r="594">
      <c r="H594" s="58">
        <f>IF($A594="","",$A594&amp;"|"&amp;$B594&amp;"|"&amp;$C594&amp;"|"&amp;$D594)</f>
        <v/>
      </c>
    </row>
    <row r="595">
      <c r="H595" s="58">
        <f>IF($A595="","",$A595&amp;"|"&amp;$B595&amp;"|"&amp;$C595&amp;"|"&amp;$D595)</f>
        <v/>
      </c>
    </row>
    <row r="596">
      <c r="H596" s="58">
        <f>IF($A596="","",$A596&amp;"|"&amp;$B596&amp;"|"&amp;$C596&amp;"|"&amp;$D596)</f>
        <v/>
      </c>
    </row>
    <row r="597">
      <c r="H597" s="58">
        <f>IF($A597="","",$A597&amp;"|"&amp;$B597&amp;"|"&amp;$C597&amp;"|"&amp;$D597)</f>
        <v/>
      </c>
    </row>
    <row r="598">
      <c r="H598" s="58">
        <f>IF($A598="","",$A598&amp;"|"&amp;$B598&amp;"|"&amp;$C598&amp;"|"&amp;$D598)</f>
        <v/>
      </c>
    </row>
    <row r="599">
      <c r="H599" s="58">
        <f>IF($A599="","",$A599&amp;"|"&amp;$B599&amp;"|"&amp;$C599&amp;"|"&amp;$D599)</f>
        <v/>
      </c>
    </row>
    <row r="600">
      <c r="H600" s="58">
        <f>IF($A600="","",$A600&amp;"|"&amp;$B600&amp;"|"&amp;$C600&amp;"|"&amp;$D600)</f>
        <v/>
      </c>
    </row>
    <row r="601">
      <c r="H601" s="58">
        <f>IF($A601="","",$A601&amp;"|"&amp;$B601&amp;"|"&amp;$C601&amp;"|"&amp;$D601)</f>
        <v/>
      </c>
    </row>
    <row r="602">
      <c r="H602" s="58">
        <f>IF($A602="","",$A602&amp;"|"&amp;$B602&amp;"|"&amp;$C602&amp;"|"&amp;$D602)</f>
        <v/>
      </c>
    </row>
    <row r="603">
      <c r="H603" s="58">
        <f>IF($A603="","",$A603&amp;"|"&amp;$B603&amp;"|"&amp;$C603&amp;"|"&amp;$D603)</f>
        <v/>
      </c>
    </row>
    <row r="604">
      <c r="H604" s="58">
        <f>IF($A604="","",$A604&amp;"|"&amp;$B604&amp;"|"&amp;$C604&amp;"|"&amp;$D604)</f>
        <v/>
      </c>
    </row>
    <row r="605">
      <c r="H605" s="58">
        <f>IF($A605="","",$A605&amp;"|"&amp;$B605&amp;"|"&amp;$C605&amp;"|"&amp;$D605)</f>
        <v/>
      </c>
    </row>
    <row r="606">
      <c r="H606" s="58">
        <f>IF($A606="","",$A606&amp;"|"&amp;$B606&amp;"|"&amp;$C606&amp;"|"&amp;$D606)</f>
        <v/>
      </c>
    </row>
    <row r="607">
      <c r="H607" s="58">
        <f>IF($A607="","",$A607&amp;"|"&amp;$B607&amp;"|"&amp;$C607&amp;"|"&amp;$D607)</f>
        <v/>
      </c>
    </row>
    <row r="608">
      <c r="H608" s="58">
        <f>IF($A608="","",$A608&amp;"|"&amp;$B608&amp;"|"&amp;$C608&amp;"|"&amp;$D608)</f>
        <v/>
      </c>
    </row>
    <row r="609">
      <c r="H609" s="58">
        <f>IF($A609="","",$A609&amp;"|"&amp;$B609&amp;"|"&amp;$C609&amp;"|"&amp;$D609)</f>
        <v/>
      </c>
    </row>
    <row r="610">
      <c r="H610" s="58">
        <f>IF($A610="","",$A610&amp;"|"&amp;$B610&amp;"|"&amp;$C610&amp;"|"&amp;$D610)</f>
        <v/>
      </c>
    </row>
    <row r="611">
      <c r="H611" s="58">
        <f>IF($A611="","",$A611&amp;"|"&amp;$B611&amp;"|"&amp;$C611&amp;"|"&amp;$D611)</f>
        <v/>
      </c>
    </row>
    <row r="612">
      <c r="H612" s="58">
        <f>IF($A612="","",$A612&amp;"|"&amp;$B612&amp;"|"&amp;$C612&amp;"|"&amp;$D612)</f>
        <v/>
      </c>
    </row>
    <row r="613">
      <c r="H613" s="58">
        <f>IF($A613="","",$A613&amp;"|"&amp;$B613&amp;"|"&amp;$C613&amp;"|"&amp;$D613)</f>
        <v/>
      </c>
    </row>
    <row r="614">
      <c r="H614" s="58">
        <f>IF($A614="","",$A614&amp;"|"&amp;$B614&amp;"|"&amp;$C614&amp;"|"&amp;$D614)</f>
        <v/>
      </c>
    </row>
    <row r="615">
      <c r="H615" s="58">
        <f>IF($A615="","",$A615&amp;"|"&amp;$B615&amp;"|"&amp;$C615&amp;"|"&amp;$D615)</f>
        <v/>
      </c>
    </row>
    <row r="616">
      <c r="H616" s="58">
        <f>IF($A616="","",$A616&amp;"|"&amp;$B616&amp;"|"&amp;$C616&amp;"|"&amp;$D616)</f>
        <v/>
      </c>
    </row>
    <row r="617">
      <c r="H617" s="58">
        <f>IF($A617="","",$A617&amp;"|"&amp;$B617&amp;"|"&amp;$C617&amp;"|"&amp;$D617)</f>
        <v/>
      </c>
    </row>
    <row r="618">
      <c r="H618" s="58">
        <f>IF($A618="","",$A618&amp;"|"&amp;$B618&amp;"|"&amp;$C618&amp;"|"&amp;$D618)</f>
        <v/>
      </c>
    </row>
    <row r="619">
      <c r="H619" s="58">
        <f>IF($A619="","",$A619&amp;"|"&amp;$B619&amp;"|"&amp;$C619&amp;"|"&amp;$D619)</f>
        <v/>
      </c>
    </row>
    <row r="620">
      <c r="H620" s="58">
        <f>IF($A620="","",$A620&amp;"|"&amp;$B620&amp;"|"&amp;$C620&amp;"|"&amp;$D620)</f>
        <v/>
      </c>
    </row>
    <row r="621">
      <c r="H621" s="58">
        <f>IF($A621="","",$A621&amp;"|"&amp;$B621&amp;"|"&amp;$C621&amp;"|"&amp;$D621)</f>
        <v/>
      </c>
    </row>
    <row r="622">
      <c r="H622" s="58">
        <f>IF($A622="","",$A622&amp;"|"&amp;$B622&amp;"|"&amp;$C622&amp;"|"&amp;$D622)</f>
        <v/>
      </c>
    </row>
    <row r="623">
      <c r="H623" s="58">
        <f>IF($A623="","",$A623&amp;"|"&amp;$B623&amp;"|"&amp;$C623&amp;"|"&amp;$D623)</f>
        <v/>
      </c>
    </row>
    <row r="624">
      <c r="H624" s="58">
        <f>IF($A624="","",$A624&amp;"|"&amp;$B624&amp;"|"&amp;$C624&amp;"|"&amp;$D624)</f>
        <v/>
      </c>
    </row>
    <row r="625">
      <c r="H625" s="58">
        <f>IF($A625="","",$A625&amp;"|"&amp;$B625&amp;"|"&amp;$C625&amp;"|"&amp;$D625)</f>
        <v/>
      </c>
    </row>
    <row r="626">
      <c r="H626" s="58">
        <f>IF($A626="","",$A626&amp;"|"&amp;$B626&amp;"|"&amp;$C626&amp;"|"&amp;$D626)</f>
        <v/>
      </c>
    </row>
    <row r="627">
      <c r="H627" s="58">
        <f>IF($A627="","",$A627&amp;"|"&amp;$B627&amp;"|"&amp;$C627&amp;"|"&amp;$D627)</f>
        <v/>
      </c>
    </row>
    <row r="628">
      <c r="H628" s="58">
        <f>IF($A628="","",$A628&amp;"|"&amp;$B628&amp;"|"&amp;$C628&amp;"|"&amp;$D628)</f>
        <v/>
      </c>
    </row>
    <row r="629">
      <c r="H629" s="58">
        <f>IF($A629="","",$A629&amp;"|"&amp;$B629&amp;"|"&amp;$C629&amp;"|"&amp;$D629)</f>
        <v/>
      </c>
    </row>
    <row r="630">
      <c r="H630" s="58">
        <f>IF($A630="","",$A630&amp;"|"&amp;$B630&amp;"|"&amp;$C630&amp;"|"&amp;$D630)</f>
        <v/>
      </c>
    </row>
    <row r="631">
      <c r="H631" s="58">
        <f>IF($A631="","",$A631&amp;"|"&amp;$B631&amp;"|"&amp;$C631&amp;"|"&amp;$D631)</f>
        <v/>
      </c>
    </row>
    <row r="632">
      <c r="H632" s="58">
        <f>IF($A632="","",$A632&amp;"|"&amp;$B632&amp;"|"&amp;$C632&amp;"|"&amp;$D632)</f>
        <v/>
      </c>
    </row>
    <row r="633">
      <c r="H633" s="58">
        <f>IF($A633="","",$A633&amp;"|"&amp;$B633&amp;"|"&amp;$C633&amp;"|"&amp;$D633)</f>
        <v/>
      </c>
    </row>
    <row r="634">
      <c r="H634" s="58">
        <f>IF($A634="","",$A634&amp;"|"&amp;$B634&amp;"|"&amp;$C634&amp;"|"&amp;$D634)</f>
        <v/>
      </c>
    </row>
    <row r="635">
      <c r="H635" s="58">
        <f>IF($A635="","",$A635&amp;"|"&amp;$B635&amp;"|"&amp;$C635&amp;"|"&amp;$D635)</f>
        <v/>
      </c>
    </row>
    <row r="636">
      <c r="H636" s="58">
        <f>IF($A636="","",$A636&amp;"|"&amp;$B636&amp;"|"&amp;$C636&amp;"|"&amp;$D636)</f>
        <v/>
      </c>
    </row>
    <row r="637">
      <c r="H637" s="58">
        <f>IF($A637="","",$A637&amp;"|"&amp;$B637&amp;"|"&amp;$C637&amp;"|"&amp;$D637)</f>
        <v/>
      </c>
    </row>
    <row r="638">
      <c r="H638" s="58">
        <f>IF($A638="","",$A638&amp;"|"&amp;$B638&amp;"|"&amp;$C638&amp;"|"&amp;$D638)</f>
        <v/>
      </c>
    </row>
    <row r="639">
      <c r="H639" s="58">
        <f>IF($A639="","",$A639&amp;"|"&amp;$B639&amp;"|"&amp;$C639&amp;"|"&amp;$D639)</f>
        <v/>
      </c>
    </row>
    <row r="640">
      <c r="H640" s="58">
        <f>IF($A640="","",$A640&amp;"|"&amp;$B640&amp;"|"&amp;$C640&amp;"|"&amp;$D640)</f>
        <v/>
      </c>
    </row>
    <row r="641">
      <c r="H641" s="58">
        <f>IF($A641="","",$A641&amp;"|"&amp;$B641&amp;"|"&amp;$C641&amp;"|"&amp;$D641)</f>
        <v/>
      </c>
    </row>
    <row r="642">
      <c r="H642" s="58">
        <f>IF($A642="","",$A642&amp;"|"&amp;$B642&amp;"|"&amp;$C642&amp;"|"&amp;$D642)</f>
        <v/>
      </c>
    </row>
    <row r="643">
      <c r="H643" s="58">
        <f>IF($A643="","",$A643&amp;"|"&amp;$B643&amp;"|"&amp;$C643&amp;"|"&amp;$D643)</f>
        <v/>
      </c>
    </row>
    <row r="644">
      <c r="H644" s="58">
        <f>IF($A644="","",$A644&amp;"|"&amp;$B644&amp;"|"&amp;$C644&amp;"|"&amp;$D644)</f>
        <v/>
      </c>
    </row>
    <row r="645">
      <c r="H645" s="58">
        <f>IF($A645="","",$A645&amp;"|"&amp;$B645&amp;"|"&amp;$C645&amp;"|"&amp;$D645)</f>
        <v/>
      </c>
    </row>
    <row r="646">
      <c r="H646" s="58">
        <f>IF($A646="","",$A646&amp;"|"&amp;$B646&amp;"|"&amp;$C646&amp;"|"&amp;$D646)</f>
        <v/>
      </c>
    </row>
    <row r="647">
      <c r="H647" s="58">
        <f>IF($A647="","",$A647&amp;"|"&amp;$B647&amp;"|"&amp;$C647&amp;"|"&amp;$D647)</f>
        <v/>
      </c>
    </row>
    <row r="648">
      <c r="H648" s="58">
        <f>IF($A648="","",$A648&amp;"|"&amp;$B648&amp;"|"&amp;$C648&amp;"|"&amp;$D648)</f>
        <v/>
      </c>
    </row>
    <row r="649">
      <c r="H649" s="58">
        <f>IF($A649="","",$A649&amp;"|"&amp;$B649&amp;"|"&amp;$C649&amp;"|"&amp;$D649)</f>
        <v/>
      </c>
    </row>
    <row r="650">
      <c r="H650" s="58">
        <f>IF($A650="","",$A650&amp;"|"&amp;$B650&amp;"|"&amp;$C650&amp;"|"&amp;$D650)</f>
        <v/>
      </c>
    </row>
    <row r="651">
      <c r="H651" s="58">
        <f>IF($A651="","",$A651&amp;"|"&amp;$B651&amp;"|"&amp;$C651&amp;"|"&amp;$D651)</f>
        <v/>
      </c>
    </row>
    <row r="652">
      <c r="H652" s="58">
        <f>IF($A652="","",$A652&amp;"|"&amp;$B652&amp;"|"&amp;$C652&amp;"|"&amp;$D652)</f>
        <v/>
      </c>
    </row>
    <row r="653">
      <c r="H653" s="58">
        <f>IF($A653="","",$A653&amp;"|"&amp;$B653&amp;"|"&amp;$C653&amp;"|"&amp;$D653)</f>
        <v/>
      </c>
    </row>
    <row r="654">
      <c r="H654" s="58">
        <f>IF($A654="","",$A654&amp;"|"&amp;$B654&amp;"|"&amp;$C654&amp;"|"&amp;$D654)</f>
        <v/>
      </c>
    </row>
    <row r="655">
      <c r="H655" s="58">
        <f>IF($A655="","",$A655&amp;"|"&amp;$B655&amp;"|"&amp;$C655&amp;"|"&amp;$D655)</f>
        <v/>
      </c>
    </row>
    <row r="656">
      <c r="H656" s="58">
        <f>IF($A656="","",$A656&amp;"|"&amp;$B656&amp;"|"&amp;$C656&amp;"|"&amp;$D656)</f>
        <v/>
      </c>
    </row>
    <row r="657">
      <c r="H657" s="58">
        <f>IF($A657="","",$A657&amp;"|"&amp;$B657&amp;"|"&amp;$C657&amp;"|"&amp;$D657)</f>
        <v/>
      </c>
    </row>
    <row r="658">
      <c r="H658" s="58">
        <f>IF($A658="","",$A658&amp;"|"&amp;$B658&amp;"|"&amp;$C658&amp;"|"&amp;$D658)</f>
        <v/>
      </c>
    </row>
    <row r="659">
      <c r="H659" s="58">
        <f>IF($A659="","",$A659&amp;"|"&amp;$B659&amp;"|"&amp;$C659&amp;"|"&amp;$D659)</f>
        <v/>
      </c>
    </row>
    <row r="660">
      <c r="H660" s="58">
        <f>IF($A660="","",$A660&amp;"|"&amp;$B660&amp;"|"&amp;$C660&amp;"|"&amp;$D660)</f>
        <v/>
      </c>
    </row>
    <row r="661">
      <c r="H661" s="58">
        <f>IF($A661="","",$A661&amp;"|"&amp;$B661&amp;"|"&amp;$C661&amp;"|"&amp;$D661)</f>
        <v/>
      </c>
    </row>
    <row r="662">
      <c r="H662" s="58">
        <f>IF($A662="","",$A662&amp;"|"&amp;$B662&amp;"|"&amp;$C662&amp;"|"&amp;$D662)</f>
        <v/>
      </c>
    </row>
    <row r="663">
      <c r="H663" s="58">
        <f>IF($A663="","",$A663&amp;"|"&amp;$B663&amp;"|"&amp;$C663&amp;"|"&amp;$D663)</f>
        <v/>
      </c>
    </row>
    <row r="664">
      <c r="H664" s="58">
        <f>IF($A664="","",$A664&amp;"|"&amp;$B664&amp;"|"&amp;$C664&amp;"|"&amp;$D664)</f>
        <v/>
      </c>
    </row>
    <row r="665">
      <c r="H665" s="58">
        <f>IF($A665="","",$A665&amp;"|"&amp;$B665&amp;"|"&amp;$C665&amp;"|"&amp;$D665)</f>
        <v/>
      </c>
    </row>
    <row r="666">
      <c r="H666" s="58">
        <f>IF($A666="","",$A666&amp;"|"&amp;$B666&amp;"|"&amp;$C666&amp;"|"&amp;$D666)</f>
        <v/>
      </c>
    </row>
    <row r="667">
      <c r="H667" s="58">
        <f>IF($A667="","",$A667&amp;"|"&amp;$B667&amp;"|"&amp;$C667&amp;"|"&amp;$D667)</f>
        <v/>
      </c>
    </row>
    <row r="668">
      <c r="H668" s="58">
        <f>IF($A668="","",$A668&amp;"|"&amp;$B668&amp;"|"&amp;$C668&amp;"|"&amp;$D668)</f>
        <v/>
      </c>
    </row>
    <row r="669">
      <c r="H669" s="58">
        <f>IF($A669="","",$A669&amp;"|"&amp;$B669&amp;"|"&amp;$C669&amp;"|"&amp;$D669)</f>
        <v/>
      </c>
    </row>
    <row r="670">
      <c r="H670" s="58">
        <f>IF($A670="","",$A670&amp;"|"&amp;$B670&amp;"|"&amp;$C670&amp;"|"&amp;$D670)</f>
        <v/>
      </c>
    </row>
    <row r="671">
      <c r="H671" s="58">
        <f>IF($A671="","",$A671&amp;"|"&amp;$B671&amp;"|"&amp;$C671&amp;"|"&amp;$D671)</f>
        <v/>
      </c>
    </row>
    <row r="672">
      <c r="H672" s="58">
        <f>IF($A672="","",$A672&amp;"|"&amp;$B672&amp;"|"&amp;$C672&amp;"|"&amp;$D672)</f>
        <v/>
      </c>
    </row>
    <row r="673">
      <c r="H673" s="58">
        <f>IF($A673="","",$A673&amp;"|"&amp;$B673&amp;"|"&amp;$C673&amp;"|"&amp;$D673)</f>
        <v/>
      </c>
    </row>
    <row r="674">
      <c r="H674" s="58">
        <f>IF($A674="","",$A674&amp;"|"&amp;$B674&amp;"|"&amp;$C674&amp;"|"&amp;$D674)</f>
        <v/>
      </c>
    </row>
    <row r="675">
      <c r="H675" s="58">
        <f>IF($A675="","",$A675&amp;"|"&amp;$B675&amp;"|"&amp;$C675&amp;"|"&amp;$D675)</f>
        <v/>
      </c>
    </row>
    <row r="676">
      <c r="H676" s="58">
        <f>IF($A676="","",$A676&amp;"|"&amp;$B676&amp;"|"&amp;$C676&amp;"|"&amp;$D676)</f>
        <v/>
      </c>
    </row>
    <row r="677">
      <c r="H677" s="58">
        <f>IF($A677="","",$A677&amp;"|"&amp;$B677&amp;"|"&amp;$C677&amp;"|"&amp;$D677)</f>
        <v/>
      </c>
    </row>
    <row r="678">
      <c r="H678" s="58">
        <f>IF($A678="","",$A678&amp;"|"&amp;$B678&amp;"|"&amp;$C678&amp;"|"&amp;$D678)</f>
        <v/>
      </c>
    </row>
    <row r="679">
      <c r="H679" s="58">
        <f>IF($A679="","",$A679&amp;"|"&amp;$B679&amp;"|"&amp;$C679&amp;"|"&amp;$D679)</f>
        <v/>
      </c>
    </row>
    <row r="680">
      <c r="H680" s="58">
        <f>IF($A680="","",$A680&amp;"|"&amp;$B680&amp;"|"&amp;$C680&amp;"|"&amp;$D680)</f>
        <v/>
      </c>
    </row>
    <row r="681">
      <c r="H681" s="58">
        <f>IF($A681="","",$A681&amp;"|"&amp;$B681&amp;"|"&amp;$C681&amp;"|"&amp;$D681)</f>
        <v/>
      </c>
    </row>
    <row r="682">
      <c r="H682" s="58">
        <f>IF($A682="","",$A682&amp;"|"&amp;$B682&amp;"|"&amp;$C682&amp;"|"&amp;$D682)</f>
        <v/>
      </c>
    </row>
    <row r="683">
      <c r="H683" s="58">
        <f>IF($A683="","",$A683&amp;"|"&amp;$B683&amp;"|"&amp;$C683&amp;"|"&amp;$D683)</f>
        <v/>
      </c>
    </row>
    <row r="684">
      <c r="H684" s="58">
        <f>IF($A684="","",$A684&amp;"|"&amp;$B684&amp;"|"&amp;$C684&amp;"|"&amp;$D684)</f>
        <v/>
      </c>
    </row>
    <row r="685">
      <c r="H685" s="58">
        <f>IF($A685="","",$A685&amp;"|"&amp;$B685&amp;"|"&amp;$C685&amp;"|"&amp;$D685)</f>
        <v/>
      </c>
    </row>
    <row r="686">
      <c r="H686" s="58">
        <f>IF($A686="","",$A686&amp;"|"&amp;$B686&amp;"|"&amp;$C686&amp;"|"&amp;$D686)</f>
        <v/>
      </c>
    </row>
    <row r="687">
      <c r="H687" s="58">
        <f>IF($A687="","",$A687&amp;"|"&amp;$B687&amp;"|"&amp;$C687&amp;"|"&amp;$D687)</f>
        <v/>
      </c>
    </row>
    <row r="688">
      <c r="H688" s="58">
        <f>IF($A688="","",$A688&amp;"|"&amp;$B688&amp;"|"&amp;$C688&amp;"|"&amp;$D688)</f>
        <v/>
      </c>
    </row>
    <row r="689">
      <c r="H689" s="58">
        <f>IF($A689="","",$A689&amp;"|"&amp;$B689&amp;"|"&amp;$C689&amp;"|"&amp;$D689)</f>
        <v/>
      </c>
    </row>
    <row r="690">
      <c r="H690" s="58">
        <f>IF($A690="","",$A690&amp;"|"&amp;$B690&amp;"|"&amp;$C690&amp;"|"&amp;$D690)</f>
        <v/>
      </c>
    </row>
    <row r="691">
      <c r="H691" s="58">
        <f>IF($A691="","",$A691&amp;"|"&amp;$B691&amp;"|"&amp;$C691&amp;"|"&amp;$D691)</f>
        <v/>
      </c>
    </row>
    <row r="692">
      <c r="H692" s="58">
        <f>IF($A692="","",$A692&amp;"|"&amp;$B692&amp;"|"&amp;$C692&amp;"|"&amp;$D692)</f>
        <v/>
      </c>
    </row>
    <row r="693">
      <c r="H693" s="58">
        <f>IF($A693="","",$A693&amp;"|"&amp;$B693&amp;"|"&amp;$C693&amp;"|"&amp;$D693)</f>
        <v/>
      </c>
    </row>
    <row r="694">
      <c r="H694" s="58">
        <f>IF($A694="","",$A694&amp;"|"&amp;$B694&amp;"|"&amp;$C694&amp;"|"&amp;$D694)</f>
        <v/>
      </c>
    </row>
    <row r="695">
      <c r="H695" s="58">
        <f>IF($A695="","",$A695&amp;"|"&amp;$B695&amp;"|"&amp;$C695&amp;"|"&amp;$D695)</f>
        <v/>
      </c>
    </row>
    <row r="696">
      <c r="H696" s="58">
        <f>IF($A696="","",$A696&amp;"|"&amp;$B696&amp;"|"&amp;$C696&amp;"|"&amp;$D696)</f>
        <v/>
      </c>
    </row>
    <row r="697">
      <c r="H697" s="58">
        <f>IF($A697="","",$A697&amp;"|"&amp;$B697&amp;"|"&amp;$C697&amp;"|"&amp;$D697)</f>
        <v/>
      </c>
    </row>
    <row r="698">
      <c r="H698" s="58">
        <f>IF($A698="","",$A698&amp;"|"&amp;$B698&amp;"|"&amp;$C698&amp;"|"&amp;$D698)</f>
        <v/>
      </c>
    </row>
    <row r="699">
      <c r="H699" s="58">
        <f>IF($A699="","",$A699&amp;"|"&amp;$B699&amp;"|"&amp;$C699&amp;"|"&amp;$D699)</f>
        <v/>
      </c>
    </row>
    <row r="700">
      <c r="H700" s="58">
        <f>IF($A700="","",$A700&amp;"|"&amp;$B700&amp;"|"&amp;$C700&amp;"|"&amp;$D700)</f>
        <v/>
      </c>
    </row>
    <row r="701">
      <c r="H701" s="58">
        <f>IF($A701="","",$A701&amp;"|"&amp;$B701&amp;"|"&amp;$C701&amp;"|"&amp;$D701)</f>
        <v/>
      </c>
    </row>
    <row r="702">
      <c r="H702" s="58">
        <f>IF($A702="","",$A702&amp;"|"&amp;$B702&amp;"|"&amp;$C702&amp;"|"&amp;$D702)</f>
        <v/>
      </c>
    </row>
    <row r="703">
      <c r="H703" s="58">
        <f>IF($A703="","",$A703&amp;"|"&amp;$B703&amp;"|"&amp;$C703&amp;"|"&amp;$D703)</f>
        <v/>
      </c>
    </row>
    <row r="704">
      <c r="H704" s="58">
        <f>IF($A704="","",$A704&amp;"|"&amp;$B704&amp;"|"&amp;$C704&amp;"|"&amp;$D704)</f>
        <v/>
      </c>
    </row>
    <row r="705">
      <c r="H705" s="58">
        <f>IF($A705="","",$A705&amp;"|"&amp;$B705&amp;"|"&amp;$C705&amp;"|"&amp;$D705)</f>
        <v/>
      </c>
    </row>
    <row r="706">
      <c r="H706" s="58">
        <f>IF($A706="","",$A706&amp;"|"&amp;$B706&amp;"|"&amp;$C706&amp;"|"&amp;$D706)</f>
        <v/>
      </c>
    </row>
    <row r="707">
      <c r="H707" s="58">
        <f>IF($A707="","",$A707&amp;"|"&amp;$B707&amp;"|"&amp;$C707&amp;"|"&amp;$D707)</f>
        <v/>
      </c>
    </row>
    <row r="708">
      <c r="H708" s="58">
        <f>IF($A708="","",$A708&amp;"|"&amp;$B708&amp;"|"&amp;$C708&amp;"|"&amp;$D708)</f>
        <v/>
      </c>
    </row>
    <row r="709">
      <c r="H709" s="58">
        <f>IF($A709="","",$A709&amp;"|"&amp;$B709&amp;"|"&amp;$C709&amp;"|"&amp;$D709)</f>
        <v/>
      </c>
    </row>
    <row r="710">
      <c r="H710" s="58">
        <f>IF($A710="","",$A710&amp;"|"&amp;$B710&amp;"|"&amp;$C710&amp;"|"&amp;$D710)</f>
        <v/>
      </c>
    </row>
    <row r="711">
      <c r="H711" s="58">
        <f>IF($A711="","",$A711&amp;"|"&amp;$B711&amp;"|"&amp;$C711&amp;"|"&amp;$D711)</f>
        <v/>
      </c>
    </row>
    <row r="712">
      <c r="H712" s="58">
        <f>IF($A712="","",$A712&amp;"|"&amp;$B712&amp;"|"&amp;$C712&amp;"|"&amp;$D712)</f>
        <v/>
      </c>
    </row>
    <row r="713">
      <c r="H713" s="58">
        <f>IF($A713="","",$A713&amp;"|"&amp;$B713&amp;"|"&amp;$C713&amp;"|"&amp;$D713)</f>
        <v/>
      </c>
    </row>
    <row r="714">
      <c r="H714" s="58">
        <f>IF($A714="","",$A714&amp;"|"&amp;$B714&amp;"|"&amp;$C714&amp;"|"&amp;$D714)</f>
        <v/>
      </c>
    </row>
    <row r="715">
      <c r="H715" s="58">
        <f>IF($A715="","",$A715&amp;"|"&amp;$B715&amp;"|"&amp;$C715&amp;"|"&amp;$D715)</f>
        <v/>
      </c>
    </row>
    <row r="716">
      <c r="H716" s="58">
        <f>IF($A716="","",$A716&amp;"|"&amp;$B716&amp;"|"&amp;$C716&amp;"|"&amp;$D716)</f>
        <v/>
      </c>
    </row>
    <row r="717">
      <c r="H717" s="58">
        <f>IF($A717="","",$A717&amp;"|"&amp;$B717&amp;"|"&amp;$C717&amp;"|"&amp;$D717)</f>
        <v/>
      </c>
    </row>
    <row r="718">
      <c r="H718" s="58">
        <f>IF($A718="","",$A718&amp;"|"&amp;$B718&amp;"|"&amp;$C718&amp;"|"&amp;$D718)</f>
        <v/>
      </c>
    </row>
    <row r="719">
      <c r="H719" s="58">
        <f>IF($A719="","",$A719&amp;"|"&amp;$B719&amp;"|"&amp;$C719&amp;"|"&amp;$D719)</f>
        <v/>
      </c>
    </row>
    <row r="720">
      <c r="H720" s="58">
        <f>IF($A720="","",$A720&amp;"|"&amp;$B720&amp;"|"&amp;$C720&amp;"|"&amp;$D720)</f>
        <v/>
      </c>
    </row>
    <row r="721">
      <c r="H721" s="58">
        <f>IF($A721="","",$A721&amp;"|"&amp;$B721&amp;"|"&amp;$C721&amp;"|"&amp;$D721)</f>
        <v/>
      </c>
    </row>
    <row r="722">
      <c r="H722" s="58">
        <f>IF($A722="","",$A722&amp;"|"&amp;$B722&amp;"|"&amp;$C722&amp;"|"&amp;$D722)</f>
        <v/>
      </c>
    </row>
    <row r="723">
      <c r="H723" s="58">
        <f>IF($A723="","",$A723&amp;"|"&amp;$B723&amp;"|"&amp;$C723&amp;"|"&amp;$D723)</f>
        <v/>
      </c>
    </row>
    <row r="724">
      <c r="H724" s="58">
        <f>IF($A724="","",$A724&amp;"|"&amp;$B724&amp;"|"&amp;$C724&amp;"|"&amp;$D724)</f>
        <v/>
      </c>
    </row>
    <row r="725">
      <c r="H725" s="58">
        <f>IF($A725="","",$A725&amp;"|"&amp;$B725&amp;"|"&amp;$C725&amp;"|"&amp;$D725)</f>
        <v/>
      </c>
    </row>
    <row r="726">
      <c r="H726" s="58">
        <f>IF($A726="","",$A726&amp;"|"&amp;$B726&amp;"|"&amp;$C726&amp;"|"&amp;$D726)</f>
        <v/>
      </c>
    </row>
    <row r="727">
      <c r="H727" s="58">
        <f>IF($A727="","",$A727&amp;"|"&amp;$B727&amp;"|"&amp;$C727&amp;"|"&amp;$D727)</f>
        <v/>
      </c>
    </row>
    <row r="728">
      <c r="H728" s="58">
        <f>IF($A728="","",$A728&amp;"|"&amp;$B728&amp;"|"&amp;$C728&amp;"|"&amp;$D728)</f>
        <v/>
      </c>
    </row>
    <row r="729">
      <c r="H729" s="58">
        <f>IF($A729="","",$A729&amp;"|"&amp;$B729&amp;"|"&amp;$C729&amp;"|"&amp;$D729)</f>
        <v/>
      </c>
    </row>
    <row r="730">
      <c r="H730" s="58">
        <f>IF($A730="","",$A730&amp;"|"&amp;$B730&amp;"|"&amp;$C730&amp;"|"&amp;$D730)</f>
        <v/>
      </c>
    </row>
    <row r="731">
      <c r="H731" s="58">
        <f>IF($A731="","",$A731&amp;"|"&amp;$B731&amp;"|"&amp;$C731&amp;"|"&amp;$D731)</f>
        <v/>
      </c>
    </row>
    <row r="732">
      <c r="H732" s="58">
        <f>IF($A732="","",$A732&amp;"|"&amp;$B732&amp;"|"&amp;$C732&amp;"|"&amp;$D732)</f>
        <v/>
      </c>
    </row>
    <row r="733">
      <c r="H733" s="58">
        <f>IF($A733="","",$A733&amp;"|"&amp;$B733&amp;"|"&amp;$C733&amp;"|"&amp;$D733)</f>
        <v/>
      </c>
    </row>
    <row r="734">
      <c r="H734" s="58">
        <f>IF($A734="","",$A734&amp;"|"&amp;$B734&amp;"|"&amp;$C734&amp;"|"&amp;$D734)</f>
        <v/>
      </c>
    </row>
    <row r="735">
      <c r="H735" s="58">
        <f>IF($A735="","",$A735&amp;"|"&amp;$B735&amp;"|"&amp;$C735&amp;"|"&amp;$D735)</f>
        <v/>
      </c>
    </row>
    <row r="736">
      <c r="H736" s="58">
        <f>IF($A736="","",$A736&amp;"|"&amp;$B736&amp;"|"&amp;$C736&amp;"|"&amp;$D736)</f>
        <v/>
      </c>
    </row>
    <row r="737">
      <c r="H737" s="58">
        <f>IF($A737="","",$A737&amp;"|"&amp;$B737&amp;"|"&amp;$C737&amp;"|"&amp;$D737)</f>
        <v/>
      </c>
    </row>
    <row r="738">
      <c r="H738" s="58">
        <f>IF($A738="","",$A738&amp;"|"&amp;$B738&amp;"|"&amp;$C738&amp;"|"&amp;$D738)</f>
        <v/>
      </c>
    </row>
    <row r="739">
      <c r="H739" s="58">
        <f>IF($A739="","",$A739&amp;"|"&amp;$B739&amp;"|"&amp;$C739&amp;"|"&amp;$D739)</f>
        <v/>
      </c>
    </row>
    <row r="740">
      <c r="H740" s="58">
        <f>IF($A740="","",$A740&amp;"|"&amp;$B740&amp;"|"&amp;$C740&amp;"|"&amp;$D740)</f>
        <v/>
      </c>
    </row>
    <row r="741">
      <c r="H741" s="58">
        <f>IF($A741="","",$A741&amp;"|"&amp;$B741&amp;"|"&amp;$C741&amp;"|"&amp;$D741)</f>
        <v/>
      </c>
    </row>
    <row r="742">
      <c r="H742" s="58">
        <f>IF($A742="","",$A742&amp;"|"&amp;$B742&amp;"|"&amp;$C742&amp;"|"&amp;$D742)</f>
        <v/>
      </c>
    </row>
    <row r="743">
      <c r="H743" s="58">
        <f>IF($A743="","",$A743&amp;"|"&amp;$B743&amp;"|"&amp;$C743&amp;"|"&amp;$D743)</f>
        <v/>
      </c>
    </row>
    <row r="744">
      <c r="H744" s="58">
        <f>IF($A744="","",$A744&amp;"|"&amp;$B744&amp;"|"&amp;$C744&amp;"|"&amp;$D744)</f>
        <v/>
      </c>
    </row>
    <row r="745">
      <c r="H745" s="58">
        <f>IF($A745="","",$A745&amp;"|"&amp;$B745&amp;"|"&amp;$C745&amp;"|"&amp;$D745)</f>
        <v/>
      </c>
    </row>
    <row r="746">
      <c r="H746" s="58">
        <f>IF($A746="","",$A746&amp;"|"&amp;$B746&amp;"|"&amp;$C746&amp;"|"&amp;$D746)</f>
        <v/>
      </c>
    </row>
    <row r="747">
      <c r="H747" s="58">
        <f>IF($A747="","",$A747&amp;"|"&amp;$B747&amp;"|"&amp;$C747&amp;"|"&amp;$D747)</f>
        <v/>
      </c>
    </row>
    <row r="748">
      <c r="H748" s="58">
        <f>IF($A748="","",$A748&amp;"|"&amp;$B748&amp;"|"&amp;$C748&amp;"|"&amp;$D748)</f>
        <v/>
      </c>
    </row>
    <row r="749">
      <c r="H749" s="58">
        <f>IF($A749="","",$A749&amp;"|"&amp;$B749&amp;"|"&amp;$C749&amp;"|"&amp;$D749)</f>
        <v/>
      </c>
    </row>
    <row r="750">
      <c r="H750" s="58">
        <f>IF($A750="","",$A750&amp;"|"&amp;$B750&amp;"|"&amp;$C750&amp;"|"&amp;$D750)</f>
        <v/>
      </c>
    </row>
    <row r="751">
      <c r="H751" s="58">
        <f>IF($A751="","",$A751&amp;"|"&amp;$B751&amp;"|"&amp;$C751&amp;"|"&amp;$D751)</f>
        <v/>
      </c>
    </row>
    <row r="752">
      <c r="H752" s="58">
        <f>IF($A752="","",$A752&amp;"|"&amp;$B752&amp;"|"&amp;$C752&amp;"|"&amp;$D752)</f>
        <v/>
      </c>
    </row>
    <row r="753">
      <c r="H753" s="58">
        <f>IF($A753="","",$A753&amp;"|"&amp;$B753&amp;"|"&amp;$C753&amp;"|"&amp;$D753)</f>
        <v/>
      </c>
    </row>
    <row r="754">
      <c r="H754" s="58">
        <f>IF($A754="","",$A754&amp;"|"&amp;$B754&amp;"|"&amp;$C754&amp;"|"&amp;$D754)</f>
        <v/>
      </c>
    </row>
    <row r="755">
      <c r="H755" s="58">
        <f>IF($A755="","",$A755&amp;"|"&amp;$B755&amp;"|"&amp;$C755&amp;"|"&amp;$D755)</f>
        <v/>
      </c>
    </row>
    <row r="756">
      <c r="H756" s="58">
        <f>IF($A756="","",$A756&amp;"|"&amp;$B756&amp;"|"&amp;$C756&amp;"|"&amp;$D756)</f>
        <v/>
      </c>
    </row>
    <row r="757">
      <c r="H757" s="58">
        <f>IF($A757="","",$A757&amp;"|"&amp;$B757&amp;"|"&amp;$C757&amp;"|"&amp;$D757)</f>
        <v/>
      </c>
    </row>
    <row r="758">
      <c r="H758" s="58">
        <f>IF($A758="","",$A758&amp;"|"&amp;$B758&amp;"|"&amp;$C758&amp;"|"&amp;$D758)</f>
        <v/>
      </c>
    </row>
    <row r="759">
      <c r="H759" s="58">
        <f>IF($A759="","",$A759&amp;"|"&amp;$B759&amp;"|"&amp;$C759&amp;"|"&amp;$D759)</f>
        <v/>
      </c>
    </row>
    <row r="760">
      <c r="H760" s="58">
        <f>IF($A760="","",$A760&amp;"|"&amp;$B760&amp;"|"&amp;$C760&amp;"|"&amp;$D760)</f>
        <v/>
      </c>
    </row>
    <row r="761">
      <c r="H761" s="58">
        <f>IF($A761="","",$A761&amp;"|"&amp;$B761&amp;"|"&amp;$C761&amp;"|"&amp;$D761)</f>
        <v/>
      </c>
    </row>
    <row r="762">
      <c r="H762" s="58">
        <f>IF($A762="","",$A762&amp;"|"&amp;$B762&amp;"|"&amp;$C762&amp;"|"&amp;$D762)</f>
        <v/>
      </c>
    </row>
    <row r="763">
      <c r="H763" s="58">
        <f>IF($A763="","",$A763&amp;"|"&amp;$B763&amp;"|"&amp;$C763&amp;"|"&amp;$D763)</f>
        <v/>
      </c>
    </row>
    <row r="764">
      <c r="H764" s="58">
        <f>IF($A764="","",$A764&amp;"|"&amp;$B764&amp;"|"&amp;$C764&amp;"|"&amp;$D764)</f>
        <v/>
      </c>
    </row>
    <row r="765">
      <c r="H765" s="58">
        <f>IF($A765="","",$A765&amp;"|"&amp;$B765&amp;"|"&amp;$C765&amp;"|"&amp;$D765)</f>
        <v/>
      </c>
    </row>
    <row r="766">
      <c r="H766" s="58">
        <f>IF($A766="","",$A766&amp;"|"&amp;$B766&amp;"|"&amp;$C766&amp;"|"&amp;$D766)</f>
        <v/>
      </c>
    </row>
    <row r="767">
      <c r="H767" s="58">
        <f>IF($A767="","",$A767&amp;"|"&amp;$B767&amp;"|"&amp;$C767&amp;"|"&amp;$D767)</f>
        <v/>
      </c>
    </row>
    <row r="768">
      <c r="H768" s="58">
        <f>IF($A768="","",$A768&amp;"|"&amp;$B768&amp;"|"&amp;$C768&amp;"|"&amp;$D768)</f>
        <v/>
      </c>
    </row>
    <row r="769">
      <c r="H769" s="58">
        <f>IF($A769="","",$A769&amp;"|"&amp;$B769&amp;"|"&amp;$C769&amp;"|"&amp;$D769)</f>
        <v/>
      </c>
    </row>
    <row r="770">
      <c r="H770" s="58">
        <f>IF($A770="","",$A770&amp;"|"&amp;$B770&amp;"|"&amp;$C770&amp;"|"&amp;$D770)</f>
        <v/>
      </c>
    </row>
    <row r="771">
      <c r="H771" s="58">
        <f>IF($A771="","",$A771&amp;"|"&amp;$B771&amp;"|"&amp;$C771&amp;"|"&amp;$D771)</f>
        <v/>
      </c>
    </row>
    <row r="772">
      <c r="H772" s="58">
        <f>IF($A772="","",$A772&amp;"|"&amp;$B772&amp;"|"&amp;$C772&amp;"|"&amp;$D772)</f>
        <v/>
      </c>
    </row>
    <row r="773">
      <c r="H773" s="58">
        <f>IF($A773="","",$A773&amp;"|"&amp;$B773&amp;"|"&amp;$C773&amp;"|"&amp;$D773)</f>
        <v/>
      </c>
    </row>
    <row r="774">
      <c r="H774" s="58">
        <f>IF($A774="","",$A774&amp;"|"&amp;$B774&amp;"|"&amp;$C774&amp;"|"&amp;$D774)</f>
        <v/>
      </c>
    </row>
    <row r="775">
      <c r="H775" s="58">
        <f>IF($A775="","",$A775&amp;"|"&amp;$B775&amp;"|"&amp;$C775&amp;"|"&amp;$D775)</f>
        <v/>
      </c>
    </row>
    <row r="776">
      <c r="H776" s="58">
        <f>IF($A776="","",$A776&amp;"|"&amp;$B776&amp;"|"&amp;$C776&amp;"|"&amp;$D776)</f>
        <v/>
      </c>
    </row>
    <row r="777">
      <c r="H777" s="58">
        <f>IF($A777="","",$A777&amp;"|"&amp;$B777&amp;"|"&amp;$C777&amp;"|"&amp;$D777)</f>
        <v/>
      </c>
    </row>
    <row r="778">
      <c r="H778" s="58">
        <f>IF($A778="","",$A778&amp;"|"&amp;$B778&amp;"|"&amp;$C778&amp;"|"&amp;$D778)</f>
        <v/>
      </c>
    </row>
    <row r="779">
      <c r="H779" s="58">
        <f>IF($A779="","",$A779&amp;"|"&amp;$B779&amp;"|"&amp;$C779&amp;"|"&amp;$D779)</f>
        <v/>
      </c>
    </row>
    <row r="780">
      <c r="H780" s="58">
        <f>IF($A780="","",$A780&amp;"|"&amp;$B780&amp;"|"&amp;$C780&amp;"|"&amp;$D780)</f>
        <v/>
      </c>
    </row>
    <row r="781">
      <c r="H781" s="58">
        <f>IF($A781="","",$A781&amp;"|"&amp;$B781&amp;"|"&amp;$C781&amp;"|"&amp;$D781)</f>
        <v/>
      </c>
    </row>
    <row r="782">
      <c r="H782" s="58">
        <f>IF($A782="","",$A782&amp;"|"&amp;$B782&amp;"|"&amp;$C782&amp;"|"&amp;$D782)</f>
        <v/>
      </c>
    </row>
    <row r="783">
      <c r="H783" s="58">
        <f>IF($A783="","",$A783&amp;"|"&amp;$B783&amp;"|"&amp;$C783&amp;"|"&amp;$D783)</f>
        <v/>
      </c>
    </row>
    <row r="784">
      <c r="H784" s="58">
        <f>IF($A784="","",$A784&amp;"|"&amp;$B784&amp;"|"&amp;$C784&amp;"|"&amp;$D784)</f>
        <v/>
      </c>
    </row>
    <row r="785">
      <c r="H785" s="58">
        <f>IF($A785="","",$A785&amp;"|"&amp;$B785&amp;"|"&amp;$C785&amp;"|"&amp;$D785)</f>
        <v/>
      </c>
    </row>
    <row r="786">
      <c r="H786" s="58">
        <f>IF($A786="","",$A786&amp;"|"&amp;$B786&amp;"|"&amp;$C786&amp;"|"&amp;$D786)</f>
        <v/>
      </c>
    </row>
    <row r="787">
      <c r="H787" s="58">
        <f>IF($A787="","",$A787&amp;"|"&amp;$B787&amp;"|"&amp;$C787&amp;"|"&amp;$D787)</f>
        <v/>
      </c>
    </row>
    <row r="788">
      <c r="H788" s="58">
        <f>IF($A788="","",$A788&amp;"|"&amp;$B788&amp;"|"&amp;$C788&amp;"|"&amp;$D788)</f>
        <v/>
      </c>
    </row>
    <row r="789">
      <c r="H789" s="58">
        <f>IF($A789="","",$A789&amp;"|"&amp;$B789&amp;"|"&amp;$C789&amp;"|"&amp;$D789)</f>
        <v/>
      </c>
    </row>
    <row r="790">
      <c r="H790" s="58">
        <f>IF($A790="","",$A790&amp;"|"&amp;$B790&amp;"|"&amp;$C790&amp;"|"&amp;$D790)</f>
        <v/>
      </c>
    </row>
    <row r="791">
      <c r="H791" s="58">
        <f>IF($A791="","",$A791&amp;"|"&amp;$B791&amp;"|"&amp;$C791&amp;"|"&amp;$D791)</f>
        <v/>
      </c>
    </row>
    <row r="792">
      <c r="H792" s="58">
        <f>IF($A792="","",$A792&amp;"|"&amp;$B792&amp;"|"&amp;$C792&amp;"|"&amp;$D792)</f>
        <v/>
      </c>
    </row>
    <row r="793">
      <c r="H793" s="58">
        <f>IF($A793="","",$A793&amp;"|"&amp;$B793&amp;"|"&amp;$C793&amp;"|"&amp;$D793)</f>
        <v/>
      </c>
    </row>
    <row r="794">
      <c r="H794" s="58">
        <f>IF($A794="","",$A794&amp;"|"&amp;$B794&amp;"|"&amp;$C794&amp;"|"&amp;$D794)</f>
        <v/>
      </c>
    </row>
    <row r="795">
      <c r="H795" s="58">
        <f>IF($A795="","",$A795&amp;"|"&amp;$B795&amp;"|"&amp;$C795&amp;"|"&amp;$D795)</f>
        <v/>
      </c>
    </row>
    <row r="796">
      <c r="H796" s="58">
        <f>IF($A796="","",$A796&amp;"|"&amp;$B796&amp;"|"&amp;$C796&amp;"|"&amp;$D796)</f>
        <v/>
      </c>
    </row>
    <row r="797">
      <c r="H797" s="58">
        <f>IF($A797="","",$A797&amp;"|"&amp;$B797&amp;"|"&amp;$C797&amp;"|"&amp;$D797)</f>
        <v/>
      </c>
    </row>
    <row r="798">
      <c r="H798" s="58">
        <f>IF($A798="","",$A798&amp;"|"&amp;$B798&amp;"|"&amp;$C798&amp;"|"&amp;$D798)</f>
        <v/>
      </c>
    </row>
    <row r="799">
      <c r="H799" s="58">
        <f>IF($A799="","",$A799&amp;"|"&amp;$B799&amp;"|"&amp;$C799&amp;"|"&amp;$D799)</f>
        <v/>
      </c>
    </row>
    <row r="800">
      <c r="H800" s="58">
        <f>IF($A800="","",$A800&amp;"|"&amp;$B800&amp;"|"&amp;$C800&amp;"|"&amp;$D800)</f>
        <v/>
      </c>
    </row>
    <row r="801">
      <c r="H801" s="58">
        <f>IF($A801="","",$A801&amp;"|"&amp;$B801&amp;"|"&amp;$C801&amp;"|"&amp;$D801)</f>
        <v/>
      </c>
    </row>
    <row r="802">
      <c r="H802" s="58">
        <f>IF($A802="","",$A802&amp;"|"&amp;$B802&amp;"|"&amp;$C802&amp;"|"&amp;$D802)</f>
        <v/>
      </c>
    </row>
    <row r="803">
      <c r="H803" s="58">
        <f>IF($A803="","",$A803&amp;"|"&amp;$B803&amp;"|"&amp;$C803&amp;"|"&amp;$D803)</f>
        <v/>
      </c>
    </row>
    <row r="804">
      <c r="H804" s="58">
        <f>IF($A804="","",$A804&amp;"|"&amp;$B804&amp;"|"&amp;$C804&amp;"|"&amp;$D804)</f>
        <v/>
      </c>
    </row>
    <row r="805">
      <c r="H805" s="58">
        <f>IF($A805="","",$A805&amp;"|"&amp;$B805&amp;"|"&amp;$C805&amp;"|"&amp;$D805)</f>
        <v/>
      </c>
    </row>
    <row r="806">
      <c r="H806" s="58">
        <f>IF($A806="","",$A806&amp;"|"&amp;$B806&amp;"|"&amp;$C806&amp;"|"&amp;$D806)</f>
        <v/>
      </c>
    </row>
    <row r="807">
      <c r="H807" s="58">
        <f>IF($A807="","",$A807&amp;"|"&amp;$B807&amp;"|"&amp;$C807&amp;"|"&amp;$D807)</f>
        <v/>
      </c>
    </row>
    <row r="808">
      <c r="H808" s="58">
        <f>IF($A808="","",$A808&amp;"|"&amp;$B808&amp;"|"&amp;$C808&amp;"|"&amp;$D808)</f>
        <v/>
      </c>
    </row>
    <row r="809">
      <c r="H809" s="58">
        <f>IF($A809="","",$A809&amp;"|"&amp;$B809&amp;"|"&amp;$C809&amp;"|"&amp;$D809)</f>
        <v/>
      </c>
    </row>
    <row r="810">
      <c r="H810" s="58">
        <f>IF($A810="","",$A810&amp;"|"&amp;$B810&amp;"|"&amp;$C810&amp;"|"&amp;$D810)</f>
        <v/>
      </c>
    </row>
    <row r="811">
      <c r="H811" s="58">
        <f>IF($A811="","",$A811&amp;"|"&amp;$B811&amp;"|"&amp;$C811&amp;"|"&amp;$D811)</f>
        <v/>
      </c>
    </row>
    <row r="812">
      <c r="H812" s="58">
        <f>IF($A812="","",$A812&amp;"|"&amp;$B812&amp;"|"&amp;$C812&amp;"|"&amp;$D812)</f>
        <v/>
      </c>
    </row>
    <row r="813">
      <c r="H813" s="58">
        <f>IF($A813="","",$A813&amp;"|"&amp;$B813&amp;"|"&amp;$C813&amp;"|"&amp;$D813)</f>
        <v/>
      </c>
    </row>
    <row r="814">
      <c r="H814" s="58">
        <f>IF($A814="","",$A814&amp;"|"&amp;$B814&amp;"|"&amp;$C814&amp;"|"&amp;$D814)</f>
        <v/>
      </c>
    </row>
    <row r="815">
      <c r="H815" s="58">
        <f>IF($A815="","",$A815&amp;"|"&amp;$B815&amp;"|"&amp;$C815&amp;"|"&amp;$D815)</f>
        <v/>
      </c>
    </row>
    <row r="816">
      <c r="H816" s="58">
        <f>IF($A816="","",$A816&amp;"|"&amp;$B816&amp;"|"&amp;$C816&amp;"|"&amp;$D816)</f>
        <v/>
      </c>
    </row>
    <row r="817">
      <c r="H817" s="58">
        <f>IF($A817="","",$A817&amp;"|"&amp;$B817&amp;"|"&amp;$C817&amp;"|"&amp;$D817)</f>
        <v/>
      </c>
    </row>
    <row r="818">
      <c r="H818" s="58">
        <f>IF($A818="","",$A818&amp;"|"&amp;$B818&amp;"|"&amp;$C818&amp;"|"&amp;$D818)</f>
        <v/>
      </c>
    </row>
    <row r="819">
      <c r="H819" s="58">
        <f>IF($A819="","",$A819&amp;"|"&amp;$B819&amp;"|"&amp;$C819&amp;"|"&amp;$D819)</f>
        <v/>
      </c>
    </row>
    <row r="820">
      <c r="H820" s="58">
        <f>IF($A820="","",$A820&amp;"|"&amp;$B820&amp;"|"&amp;$C820&amp;"|"&amp;$D820)</f>
        <v/>
      </c>
    </row>
    <row r="821">
      <c r="H821" s="58">
        <f>IF($A821="","",$A821&amp;"|"&amp;$B821&amp;"|"&amp;$C821&amp;"|"&amp;$D821)</f>
        <v/>
      </c>
    </row>
    <row r="822">
      <c r="H822" s="58">
        <f>IF($A822="","",$A822&amp;"|"&amp;$B822&amp;"|"&amp;$C822&amp;"|"&amp;$D822)</f>
        <v/>
      </c>
    </row>
    <row r="823">
      <c r="H823" s="58">
        <f>IF($A823="","",$A823&amp;"|"&amp;$B823&amp;"|"&amp;$C823&amp;"|"&amp;$D823)</f>
        <v/>
      </c>
    </row>
    <row r="824">
      <c r="H824" s="58">
        <f>IF($A824="","",$A824&amp;"|"&amp;$B824&amp;"|"&amp;$C824&amp;"|"&amp;$D824)</f>
        <v/>
      </c>
    </row>
    <row r="825">
      <c r="H825" s="58">
        <f>IF($A825="","",$A825&amp;"|"&amp;$B825&amp;"|"&amp;$C825&amp;"|"&amp;$D825)</f>
        <v/>
      </c>
    </row>
    <row r="826">
      <c r="H826" s="58">
        <f>IF($A826="","",$A826&amp;"|"&amp;$B826&amp;"|"&amp;$C826&amp;"|"&amp;$D826)</f>
        <v/>
      </c>
    </row>
    <row r="827">
      <c r="H827" s="58">
        <f>IF($A827="","",$A827&amp;"|"&amp;$B827&amp;"|"&amp;$C827&amp;"|"&amp;$D827)</f>
        <v/>
      </c>
    </row>
    <row r="828">
      <c r="H828" s="58">
        <f>IF($A828="","",$A828&amp;"|"&amp;$B828&amp;"|"&amp;$C828&amp;"|"&amp;$D828)</f>
        <v/>
      </c>
    </row>
    <row r="829">
      <c r="H829" s="58">
        <f>IF($A829="","",$A829&amp;"|"&amp;$B829&amp;"|"&amp;$C829&amp;"|"&amp;$D829)</f>
        <v/>
      </c>
    </row>
    <row r="830">
      <c r="H830" s="58">
        <f>IF($A830="","",$A830&amp;"|"&amp;$B830&amp;"|"&amp;$C830&amp;"|"&amp;$D830)</f>
        <v/>
      </c>
    </row>
    <row r="831">
      <c r="H831" s="58">
        <f>IF($A831="","",$A831&amp;"|"&amp;$B831&amp;"|"&amp;$C831&amp;"|"&amp;$D831)</f>
        <v/>
      </c>
    </row>
    <row r="832">
      <c r="H832" s="58">
        <f>IF($A832="","",$A832&amp;"|"&amp;$B832&amp;"|"&amp;$C832&amp;"|"&amp;$D832)</f>
        <v/>
      </c>
    </row>
    <row r="833">
      <c r="H833" s="58">
        <f>IF($A833="","",$A833&amp;"|"&amp;$B833&amp;"|"&amp;$C833&amp;"|"&amp;$D833)</f>
        <v/>
      </c>
    </row>
    <row r="834">
      <c r="H834" s="58">
        <f>IF($A834="","",$A834&amp;"|"&amp;$B834&amp;"|"&amp;$C834&amp;"|"&amp;$D834)</f>
        <v/>
      </c>
    </row>
    <row r="835">
      <c r="H835" s="58">
        <f>IF($A835="","",$A835&amp;"|"&amp;$B835&amp;"|"&amp;$C835&amp;"|"&amp;$D835)</f>
        <v/>
      </c>
    </row>
    <row r="836">
      <c r="H836" s="58">
        <f>IF($A836="","",$A836&amp;"|"&amp;$B836&amp;"|"&amp;$C836&amp;"|"&amp;$D836)</f>
        <v/>
      </c>
    </row>
    <row r="837">
      <c r="H837" s="58">
        <f>IF($A837="","",$A837&amp;"|"&amp;$B837&amp;"|"&amp;$C837&amp;"|"&amp;$D837)</f>
        <v/>
      </c>
    </row>
    <row r="838">
      <c r="H838" s="58">
        <f>IF($A838="","",$A838&amp;"|"&amp;$B838&amp;"|"&amp;$C838&amp;"|"&amp;$D838)</f>
        <v/>
      </c>
    </row>
    <row r="839">
      <c r="H839" s="58">
        <f>IF($A839="","",$A839&amp;"|"&amp;$B839&amp;"|"&amp;$C839&amp;"|"&amp;$D839)</f>
        <v/>
      </c>
    </row>
    <row r="840">
      <c r="H840" s="58">
        <f>IF($A840="","",$A840&amp;"|"&amp;$B840&amp;"|"&amp;$C840&amp;"|"&amp;$D840)</f>
        <v/>
      </c>
    </row>
    <row r="841">
      <c r="H841" s="58">
        <f>IF($A841="","",$A841&amp;"|"&amp;$B841&amp;"|"&amp;$C841&amp;"|"&amp;$D841)</f>
        <v/>
      </c>
    </row>
    <row r="842">
      <c r="H842" s="58">
        <f>IF($A842="","",$A842&amp;"|"&amp;$B842&amp;"|"&amp;$C842&amp;"|"&amp;$D842)</f>
        <v/>
      </c>
    </row>
    <row r="843">
      <c r="H843" s="58">
        <f>IF($A843="","",$A843&amp;"|"&amp;$B843&amp;"|"&amp;$C843&amp;"|"&amp;$D843)</f>
        <v/>
      </c>
    </row>
    <row r="844">
      <c r="H844" s="58">
        <f>IF($A844="","",$A844&amp;"|"&amp;$B844&amp;"|"&amp;$C844&amp;"|"&amp;$D844)</f>
        <v/>
      </c>
    </row>
    <row r="845">
      <c r="H845" s="58">
        <f>IF($A845="","",$A845&amp;"|"&amp;$B845&amp;"|"&amp;$C845&amp;"|"&amp;$D845)</f>
        <v/>
      </c>
    </row>
    <row r="846">
      <c r="H846" s="58">
        <f>IF($A846="","",$A846&amp;"|"&amp;$B846&amp;"|"&amp;$C846&amp;"|"&amp;$D846)</f>
        <v/>
      </c>
    </row>
    <row r="847">
      <c r="H847" s="58">
        <f>IF($A847="","",$A847&amp;"|"&amp;$B847&amp;"|"&amp;$C847&amp;"|"&amp;$D847)</f>
        <v/>
      </c>
    </row>
    <row r="848">
      <c r="H848" s="58">
        <f>IF($A848="","",$A848&amp;"|"&amp;$B848&amp;"|"&amp;$C848&amp;"|"&amp;$D848)</f>
        <v/>
      </c>
    </row>
    <row r="849">
      <c r="H849" s="58">
        <f>IF($A849="","",$A849&amp;"|"&amp;$B849&amp;"|"&amp;$C849&amp;"|"&amp;$D849)</f>
        <v/>
      </c>
    </row>
    <row r="850">
      <c r="H850" s="58">
        <f>IF($A850="","",$A850&amp;"|"&amp;$B850&amp;"|"&amp;$C850&amp;"|"&amp;$D850)</f>
        <v/>
      </c>
    </row>
    <row r="851">
      <c r="H851" s="58">
        <f>IF($A851="","",$A851&amp;"|"&amp;$B851&amp;"|"&amp;$C851&amp;"|"&amp;$D851)</f>
        <v/>
      </c>
    </row>
    <row r="852">
      <c r="H852" s="58">
        <f>IF($A852="","",$A852&amp;"|"&amp;$B852&amp;"|"&amp;$C852&amp;"|"&amp;$D852)</f>
        <v/>
      </c>
    </row>
    <row r="853">
      <c r="H853" s="58">
        <f>IF($A853="","",$A853&amp;"|"&amp;$B853&amp;"|"&amp;$C853&amp;"|"&amp;$D853)</f>
        <v/>
      </c>
    </row>
    <row r="854">
      <c r="H854" s="58">
        <f>IF($A854="","",$A854&amp;"|"&amp;$B854&amp;"|"&amp;$C854&amp;"|"&amp;$D854)</f>
        <v/>
      </c>
    </row>
    <row r="855">
      <c r="H855" s="58">
        <f>IF($A855="","",$A855&amp;"|"&amp;$B855&amp;"|"&amp;$C855&amp;"|"&amp;$D855)</f>
        <v/>
      </c>
    </row>
    <row r="856">
      <c r="H856" s="58">
        <f>IF($A856="","",$A856&amp;"|"&amp;$B856&amp;"|"&amp;$C856&amp;"|"&amp;$D856)</f>
        <v/>
      </c>
    </row>
    <row r="857">
      <c r="H857" s="58">
        <f>IF($A857="","",$A857&amp;"|"&amp;$B857&amp;"|"&amp;$C857&amp;"|"&amp;$D857)</f>
        <v/>
      </c>
    </row>
    <row r="858">
      <c r="H858" s="58">
        <f>IF($A858="","",$A858&amp;"|"&amp;$B858&amp;"|"&amp;$C858&amp;"|"&amp;$D858)</f>
        <v/>
      </c>
    </row>
    <row r="859">
      <c r="H859" s="58">
        <f>IF($A859="","",$A859&amp;"|"&amp;$B859&amp;"|"&amp;$C859&amp;"|"&amp;$D859)</f>
        <v/>
      </c>
    </row>
    <row r="860">
      <c r="H860" s="58">
        <f>IF($A860="","",$A860&amp;"|"&amp;$B860&amp;"|"&amp;$C860&amp;"|"&amp;$D860)</f>
        <v/>
      </c>
    </row>
    <row r="861">
      <c r="H861" s="58">
        <f>IF($A861="","",$A861&amp;"|"&amp;$B861&amp;"|"&amp;$C861&amp;"|"&amp;$D861)</f>
        <v/>
      </c>
    </row>
    <row r="862">
      <c r="H862" s="58">
        <f>IF($A862="","",$A862&amp;"|"&amp;$B862&amp;"|"&amp;$C862&amp;"|"&amp;$D862)</f>
        <v/>
      </c>
    </row>
    <row r="863">
      <c r="H863" s="58">
        <f>IF($A863="","",$A863&amp;"|"&amp;$B863&amp;"|"&amp;$C863&amp;"|"&amp;$D863)</f>
        <v/>
      </c>
    </row>
    <row r="864">
      <c r="H864" s="58">
        <f>IF($A864="","",$A864&amp;"|"&amp;$B864&amp;"|"&amp;$C864&amp;"|"&amp;$D864)</f>
        <v/>
      </c>
    </row>
    <row r="865">
      <c r="H865" s="58">
        <f>IF($A865="","",$A865&amp;"|"&amp;$B865&amp;"|"&amp;$C865&amp;"|"&amp;$D865)</f>
        <v/>
      </c>
    </row>
    <row r="866">
      <c r="H866" s="58">
        <f>IF($A866="","",$A866&amp;"|"&amp;$B866&amp;"|"&amp;$C866&amp;"|"&amp;$D866)</f>
        <v/>
      </c>
    </row>
    <row r="867">
      <c r="H867" s="58">
        <f>IF($A867="","",$A867&amp;"|"&amp;$B867&amp;"|"&amp;$C867&amp;"|"&amp;$D867)</f>
        <v/>
      </c>
    </row>
    <row r="868">
      <c r="H868" s="58">
        <f>IF($A868="","",$A868&amp;"|"&amp;$B868&amp;"|"&amp;$C868&amp;"|"&amp;$D868)</f>
        <v/>
      </c>
    </row>
    <row r="869">
      <c r="H869" s="58">
        <f>IF($A869="","",$A869&amp;"|"&amp;$B869&amp;"|"&amp;$C869&amp;"|"&amp;$D869)</f>
        <v/>
      </c>
    </row>
    <row r="870">
      <c r="H870" s="58">
        <f>IF($A870="","",$A870&amp;"|"&amp;$B870&amp;"|"&amp;$C870&amp;"|"&amp;$D870)</f>
        <v/>
      </c>
    </row>
    <row r="871">
      <c r="H871" s="58">
        <f>IF($A871="","",$A871&amp;"|"&amp;$B871&amp;"|"&amp;$C871&amp;"|"&amp;$D871)</f>
        <v/>
      </c>
    </row>
    <row r="872">
      <c r="H872" s="58">
        <f>IF($A872="","",$A872&amp;"|"&amp;$B872&amp;"|"&amp;$C872&amp;"|"&amp;$D872)</f>
        <v/>
      </c>
    </row>
    <row r="873">
      <c r="H873" s="58">
        <f>IF($A873="","",$A873&amp;"|"&amp;$B873&amp;"|"&amp;$C873&amp;"|"&amp;$D873)</f>
        <v/>
      </c>
    </row>
    <row r="874">
      <c r="H874" s="58">
        <f>IF($A874="","",$A874&amp;"|"&amp;$B874&amp;"|"&amp;$C874&amp;"|"&amp;$D874)</f>
        <v/>
      </c>
    </row>
    <row r="875">
      <c r="H875" s="58">
        <f>IF($A875="","",$A875&amp;"|"&amp;$B875&amp;"|"&amp;$C875&amp;"|"&amp;$D875)</f>
        <v/>
      </c>
    </row>
    <row r="876">
      <c r="H876" s="58">
        <f>IF($A876="","",$A876&amp;"|"&amp;$B876&amp;"|"&amp;$C876&amp;"|"&amp;$D876)</f>
        <v/>
      </c>
    </row>
    <row r="877">
      <c r="H877" s="58">
        <f>IF($A877="","",$A877&amp;"|"&amp;$B877&amp;"|"&amp;$C877&amp;"|"&amp;$D877)</f>
        <v/>
      </c>
    </row>
    <row r="878">
      <c r="H878" s="58">
        <f>IF($A878="","",$A878&amp;"|"&amp;$B878&amp;"|"&amp;$C878&amp;"|"&amp;$D878)</f>
        <v/>
      </c>
    </row>
    <row r="879">
      <c r="H879" s="58">
        <f>IF($A879="","",$A879&amp;"|"&amp;$B879&amp;"|"&amp;$C879&amp;"|"&amp;$D879)</f>
        <v/>
      </c>
    </row>
    <row r="880">
      <c r="H880" s="58">
        <f>IF($A880="","",$A880&amp;"|"&amp;$B880&amp;"|"&amp;$C880&amp;"|"&amp;$D880)</f>
        <v/>
      </c>
    </row>
    <row r="881">
      <c r="H881" s="58">
        <f>IF($A881="","",$A881&amp;"|"&amp;$B881&amp;"|"&amp;$C881&amp;"|"&amp;$D881)</f>
        <v/>
      </c>
    </row>
    <row r="882">
      <c r="H882" s="58">
        <f>IF($A882="","",$A882&amp;"|"&amp;$B882&amp;"|"&amp;$C882&amp;"|"&amp;$D882)</f>
        <v/>
      </c>
    </row>
    <row r="883">
      <c r="H883" s="58">
        <f>IF($A883="","",$A883&amp;"|"&amp;$B883&amp;"|"&amp;$C883&amp;"|"&amp;$D883)</f>
        <v/>
      </c>
    </row>
    <row r="884">
      <c r="H884" s="58">
        <f>IF($A884="","",$A884&amp;"|"&amp;$B884&amp;"|"&amp;$C884&amp;"|"&amp;$D884)</f>
        <v/>
      </c>
    </row>
    <row r="885">
      <c r="H885" s="58">
        <f>IF($A885="","",$A885&amp;"|"&amp;$B885&amp;"|"&amp;$C885&amp;"|"&amp;$D885)</f>
        <v/>
      </c>
    </row>
    <row r="886">
      <c r="H886" s="58">
        <f>IF($A886="","",$A886&amp;"|"&amp;$B886&amp;"|"&amp;$C886&amp;"|"&amp;$D886)</f>
        <v/>
      </c>
    </row>
    <row r="887">
      <c r="H887" s="58">
        <f>IF($A887="","",$A887&amp;"|"&amp;$B887&amp;"|"&amp;$C887&amp;"|"&amp;$D887)</f>
        <v/>
      </c>
    </row>
    <row r="888">
      <c r="H888" s="58">
        <f>IF($A888="","",$A888&amp;"|"&amp;$B888&amp;"|"&amp;$C888&amp;"|"&amp;$D888)</f>
        <v/>
      </c>
    </row>
    <row r="889">
      <c r="H889" s="58">
        <f>IF($A889="","",$A889&amp;"|"&amp;$B889&amp;"|"&amp;$C889&amp;"|"&amp;$D889)</f>
        <v/>
      </c>
    </row>
    <row r="890">
      <c r="H890" s="58">
        <f>IF($A890="","",$A890&amp;"|"&amp;$B890&amp;"|"&amp;$C890&amp;"|"&amp;$D890)</f>
        <v/>
      </c>
    </row>
    <row r="891">
      <c r="H891" s="58">
        <f>IF($A891="","",$A891&amp;"|"&amp;$B891&amp;"|"&amp;$C891&amp;"|"&amp;$D891)</f>
        <v/>
      </c>
    </row>
    <row r="892">
      <c r="H892" s="58">
        <f>IF($A892="","",$A892&amp;"|"&amp;$B892&amp;"|"&amp;$C892&amp;"|"&amp;$D892)</f>
        <v/>
      </c>
    </row>
    <row r="893">
      <c r="H893" s="58">
        <f>IF($A893="","",$A893&amp;"|"&amp;$B893&amp;"|"&amp;$C893&amp;"|"&amp;$D893)</f>
        <v/>
      </c>
    </row>
    <row r="894">
      <c r="H894" s="58">
        <f>IF($A894="","",$A894&amp;"|"&amp;$B894&amp;"|"&amp;$C894&amp;"|"&amp;$D894)</f>
        <v/>
      </c>
    </row>
    <row r="895">
      <c r="H895" s="58">
        <f>IF($A895="","",$A895&amp;"|"&amp;$B895&amp;"|"&amp;$C895&amp;"|"&amp;$D895)</f>
        <v/>
      </c>
    </row>
    <row r="896">
      <c r="H896" s="58">
        <f>IF($A896="","",$A896&amp;"|"&amp;$B896&amp;"|"&amp;$C896&amp;"|"&amp;$D896)</f>
        <v/>
      </c>
    </row>
    <row r="897">
      <c r="H897" s="58">
        <f>IF($A897="","",$A897&amp;"|"&amp;$B897&amp;"|"&amp;$C897&amp;"|"&amp;$D897)</f>
        <v/>
      </c>
    </row>
    <row r="898">
      <c r="H898" s="58">
        <f>IF($A898="","",$A898&amp;"|"&amp;$B898&amp;"|"&amp;$C898&amp;"|"&amp;$D898)</f>
        <v/>
      </c>
    </row>
    <row r="899">
      <c r="H899" s="58">
        <f>IF($A899="","",$A899&amp;"|"&amp;$B899&amp;"|"&amp;$C899&amp;"|"&amp;$D899)</f>
        <v/>
      </c>
    </row>
    <row r="900">
      <c r="H900" s="58">
        <f>IF($A900="","",$A900&amp;"|"&amp;$B900&amp;"|"&amp;$C900&amp;"|"&amp;$D900)</f>
        <v/>
      </c>
    </row>
    <row r="901">
      <c r="H901" s="58">
        <f>IF($A901="","",$A901&amp;"|"&amp;$B901&amp;"|"&amp;$C901&amp;"|"&amp;$D901)</f>
        <v/>
      </c>
    </row>
    <row r="902">
      <c r="H902" s="58">
        <f>IF($A902="","",$A902&amp;"|"&amp;$B902&amp;"|"&amp;$C902&amp;"|"&amp;$D902)</f>
        <v/>
      </c>
    </row>
    <row r="903">
      <c r="H903" s="58">
        <f>IF($A903="","",$A903&amp;"|"&amp;$B903&amp;"|"&amp;$C903&amp;"|"&amp;$D903)</f>
        <v/>
      </c>
    </row>
    <row r="904">
      <c r="H904" s="58">
        <f>IF($A904="","",$A904&amp;"|"&amp;$B904&amp;"|"&amp;$C904&amp;"|"&amp;$D904)</f>
        <v/>
      </c>
    </row>
    <row r="905">
      <c r="H905" s="58">
        <f>IF($A905="","",$A905&amp;"|"&amp;$B905&amp;"|"&amp;$C905&amp;"|"&amp;$D905)</f>
        <v/>
      </c>
    </row>
    <row r="906">
      <c r="H906" s="58">
        <f>IF($A906="","",$A906&amp;"|"&amp;$B906&amp;"|"&amp;$C906&amp;"|"&amp;$D906)</f>
        <v/>
      </c>
    </row>
    <row r="907">
      <c r="H907" s="58">
        <f>IF($A907="","",$A907&amp;"|"&amp;$B907&amp;"|"&amp;$C907&amp;"|"&amp;$D907)</f>
        <v/>
      </c>
    </row>
    <row r="908">
      <c r="H908" s="58">
        <f>IF($A908="","",$A908&amp;"|"&amp;$B908&amp;"|"&amp;$C908&amp;"|"&amp;$D908)</f>
        <v/>
      </c>
    </row>
    <row r="909">
      <c r="H909" s="58">
        <f>IF($A909="","",$A909&amp;"|"&amp;$B909&amp;"|"&amp;$C909&amp;"|"&amp;$D909)</f>
        <v/>
      </c>
    </row>
    <row r="910">
      <c r="H910" s="58">
        <f>IF($A910="","",$A910&amp;"|"&amp;$B910&amp;"|"&amp;$C910&amp;"|"&amp;$D910)</f>
        <v/>
      </c>
    </row>
    <row r="911">
      <c r="H911" s="58">
        <f>IF($A911="","",$A911&amp;"|"&amp;$B911&amp;"|"&amp;$C911&amp;"|"&amp;$D911)</f>
        <v/>
      </c>
    </row>
    <row r="912">
      <c r="H912" s="58">
        <f>IF($A912="","",$A912&amp;"|"&amp;$B912&amp;"|"&amp;$C912&amp;"|"&amp;$D912)</f>
        <v/>
      </c>
    </row>
    <row r="913">
      <c r="H913" s="58">
        <f>IF($A913="","",$A913&amp;"|"&amp;$B913&amp;"|"&amp;$C913&amp;"|"&amp;$D913)</f>
        <v/>
      </c>
    </row>
    <row r="914">
      <c r="H914" s="58">
        <f>IF($A914="","",$A914&amp;"|"&amp;$B914&amp;"|"&amp;$C914&amp;"|"&amp;$D914)</f>
        <v/>
      </c>
    </row>
    <row r="915">
      <c r="H915" s="58">
        <f>IF($A915="","",$A915&amp;"|"&amp;$B915&amp;"|"&amp;$C915&amp;"|"&amp;$D915)</f>
        <v/>
      </c>
    </row>
    <row r="916">
      <c r="H916" s="58">
        <f>IF($A916="","",$A916&amp;"|"&amp;$B916&amp;"|"&amp;$C916&amp;"|"&amp;$D916)</f>
        <v/>
      </c>
    </row>
    <row r="917">
      <c r="H917" s="58">
        <f>IF($A917="","",$A917&amp;"|"&amp;$B917&amp;"|"&amp;$C917&amp;"|"&amp;$D917)</f>
        <v/>
      </c>
    </row>
    <row r="918">
      <c r="H918" s="58">
        <f>IF($A918="","",$A918&amp;"|"&amp;$B918&amp;"|"&amp;$C918&amp;"|"&amp;$D918)</f>
        <v/>
      </c>
    </row>
    <row r="919">
      <c r="H919" s="58">
        <f>IF($A919="","",$A919&amp;"|"&amp;$B919&amp;"|"&amp;$C919&amp;"|"&amp;$D919)</f>
        <v/>
      </c>
    </row>
    <row r="920">
      <c r="H920" s="58">
        <f>IF($A920="","",$A920&amp;"|"&amp;$B920&amp;"|"&amp;$C920&amp;"|"&amp;$D920)</f>
        <v/>
      </c>
    </row>
    <row r="921">
      <c r="H921" s="58">
        <f>IF($A921="","",$A921&amp;"|"&amp;$B921&amp;"|"&amp;$C921&amp;"|"&amp;$D921)</f>
        <v/>
      </c>
    </row>
    <row r="922">
      <c r="H922" s="58">
        <f>IF($A922="","",$A922&amp;"|"&amp;$B922&amp;"|"&amp;$C922&amp;"|"&amp;$D922)</f>
        <v/>
      </c>
    </row>
    <row r="923">
      <c r="H923" s="58">
        <f>IF($A923="","",$A923&amp;"|"&amp;$B923&amp;"|"&amp;$C923&amp;"|"&amp;$D923)</f>
        <v/>
      </c>
    </row>
    <row r="924">
      <c r="H924" s="58">
        <f>IF($A924="","",$A924&amp;"|"&amp;$B924&amp;"|"&amp;$C924&amp;"|"&amp;$D924)</f>
        <v/>
      </c>
    </row>
    <row r="925">
      <c r="H925" s="58">
        <f>IF($A925="","",$A925&amp;"|"&amp;$B925&amp;"|"&amp;$C925&amp;"|"&amp;$D925)</f>
        <v/>
      </c>
    </row>
    <row r="926">
      <c r="H926" s="58">
        <f>IF($A926="","",$A926&amp;"|"&amp;$B926&amp;"|"&amp;$C926&amp;"|"&amp;$D926)</f>
        <v/>
      </c>
    </row>
    <row r="927">
      <c r="H927" s="58">
        <f>IF($A927="","",$A927&amp;"|"&amp;$B927&amp;"|"&amp;$C927&amp;"|"&amp;$D927)</f>
        <v/>
      </c>
    </row>
    <row r="928">
      <c r="H928" s="58">
        <f>IF($A928="","",$A928&amp;"|"&amp;$B928&amp;"|"&amp;$C928&amp;"|"&amp;$D928)</f>
        <v/>
      </c>
    </row>
    <row r="929">
      <c r="H929" s="58">
        <f>IF($A929="","",$A929&amp;"|"&amp;$B929&amp;"|"&amp;$C929&amp;"|"&amp;$D929)</f>
        <v/>
      </c>
    </row>
    <row r="930">
      <c r="H930" s="58">
        <f>IF($A930="","",$A930&amp;"|"&amp;$B930&amp;"|"&amp;$C930&amp;"|"&amp;$D930)</f>
        <v/>
      </c>
    </row>
    <row r="931">
      <c r="H931" s="58">
        <f>IF($A931="","",$A931&amp;"|"&amp;$B931&amp;"|"&amp;$C931&amp;"|"&amp;$D931)</f>
        <v/>
      </c>
    </row>
    <row r="932">
      <c r="H932" s="58">
        <f>IF($A932="","",$A932&amp;"|"&amp;$B932&amp;"|"&amp;$C932&amp;"|"&amp;$D932)</f>
        <v/>
      </c>
    </row>
    <row r="933">
      <c r="H933" s="58">
        <f>IF($A933="","",$A933&amp;"|"&amp;$B933&amp;"|"&amp;$C933&amp;"|"&amp;$D933)</f>
        <v/>
      </c>
    </row>
    <row r="934">
      <c r="H934" s="58">
        <f>IF($A934="","",$A934&amp;"|"&amp;$B934&amp;"|"&amp;$C934&amp;"|"&amp;$D934)</f>
        <v/>
      </c>
    </row>
    <row r="935">
      <c r="H935" s="58">
        <f>IF($A935="","",$A935&amp;"|"&amp;$B935&amp;"|"&amp;$C935&amp;"|"&amp;$D935)</f>
        <v/>
      </c>
    </row>
    <row r="936">
      <c r="H936" s="58">
        <f>IF($A936="","",$A936&amp;"|"&amp;$B936&amp;"|"&amp;$C936&amp;"|"&amp;$D936)</f>
        <v/>
      </c>
    </row>
    <row r="937">
      <c r="H937" s="58">
        <f>IF($A937="","",$A937&amp;"|"&amp;$B937&amp;"|"&amp;$C937&amp;"|"&amp;$D937)</f>
        <v/>
      </c>
    </row>
    <row r="938">
      <c r="H938" s="58">
        <f>IF($A938="","",$A938&amp;"|"&amp;$B938&amp;"|"&amp;$C938&amp;"|"&amp;$D938)</f>
        <v/>
      </c>
    </row>
    <row r="939">
      <c r="H939" s="58">
        <f>IF($A939="","",$A939&amp;"|"&amp;$B939&amp;"|"&amp;$C939&amp;"|"&amp;$D939)</f>
        <v/>
      </c>
    </row>
    <row r="940">
      <c r="H940" s="58">
        <f>IF($A940="","",$A940&amp;"|"&amp;$B940&amp;"|"&amp;$C940&amp;"|"&amp;$D940)</f>
        <v/>
      </c>
    </row>
    <row r="941">
      <c r="H941" s="58">
        <f>IF($A941="","",$A941&amp;"|"&amp;$B941&amp;"|"&amp;$C941&amp;"|"&amp;$D941)</f>
        <v/>
      </c>
    </row>
    <row r="942">
      <c r="H942" s="58">
        <f>IF($A942="","",$A942&amp;"|"&amp;$B942&amp;"|"&amp;$C942&amp;"|"&amp;$D942)</f>
        <v/>
      </c>
    </row>
    <row r="943">
      <c r="H943" s="58">
        <f>IF($A943="","",$A943&amp;"|"&amp;$B943&amp;"|"&amp;$C943&amp;"|"&amp;$D943)</f>
        <v/>
      </c>
    </row>
    <row r="944">
      <c r="H944" s="58">
        <f>IF($A944="","",$A944&amp;"|"&amp;$B944&amp;"|"&amp;$C944&amp;"|"&amp;$D944)</f>
        <v/>
      </c>
    </row>
    <row r="945">
      <c r="H945" s="58">
        <f>IF($A945="","",$A945&amp;"|"&amp;$B945&amp;"|"&amp;$C945&amp;"|"&amp;$D945)</f>
        <v/>
      </c>
    </row>
    <row r="946">
      <c r="H946" s="58">
        <f>IF($A946="","",$A946&amp;"|"&amp;$B946&amp;"|"&amp;$C946&amp;"|"&amp;$D946)</f>
        <v/>
      </c>
    </row>
    <row r="947">
      <c r="H947" s="58">
        <f>IF($A947="","",$A947&amp;"|"&amp;$B947&amp;"|"&amp;$C947&amp;"|"&amp;$D947)</f>
        <v/>
      </c>
    </row>
    <row r="948">
      <c r="H948" s="58">
        <f>IF($A948="","",$A948&amp;"|"&amp;$B948&amp;"|"&amp;$C948&amp;"|"&amp;$D948)</f>
        <v/>
      </c>
    </row>
    <row r="949">
      <c r="H949" s="58">
        <f>IF($A949="","",$A949&amp;"|"&amp;$B949&amp;"|"&amp;$C949&amp;"|"&amp;$D949)</f>
        <v/>
      </c>
    </row>
    <row r="950">
      <c r="H950" s="58">
        <f>IF($A950="","",$A950&amp;"|"&amp;$B950&amp;"|"&amp;$C950&amp;"|"&amp;$D950)</f>
        <v/>
      </c>
    </row>
    <row r="951">
      <c r="H951" s="58">
        <f>IF($A951="","",$A951&amp;"|"&amp;$B951&amp;"|"&amp;$C951&amp;"|"&amp;$D951)</f>
        <v/>
      </c>
    </row>
    <row r="952">
      <c r="H952" s="58">
        <f>IF($A952="","",$A952&amp;"|"&amp;$B952&amp;"|"&amp;$C952&amp;"|"&amp;$D952)</f>
        <v/>
      </c>
    </row>
    <row r="953">
      <c r="H953" s="58">
        <f>IF($A953="","",$A953&amp;"|"&amp;$B953&amp;"|"&amp;$C953&amp;"|"&amp;$D953)</f>
        <v/>
      </c>
    </row>
    <row r="954">
      <c r="H954" s="58">
        <f>IF($A954="","",$A954&amp;"|"&amp;$B954&amp;"|"&amp;$C954&amp;"|"&amp;$D954)</f>
        <v/>
      </c>
    </row>
    <row r="955">
      <c r="H955" s="58">
        <f>IF($A955="","",$A955&amp;"|"&amp;$B955&amp;"|"&amp;$C955&amp;"|"&amp;$D955)</f>
        <v/>
      </c>
    </row>
    <row r="956">
      <c r="H956" s="58">
        <f>IF($A956="","",$A956&amp;"|"&amp;$B956&amp;"|"&amp;$C956&amp;"|"&amp;$D956)</f>
        <v/>
      </c>
    </row>
    <row r="957">
      <c r="H957" s="58">
        <f>IF($A957="","",$A957&amp;"|"&amp;$B957&amp;"|"&amp;$C957&amp;"|"&amp;$D957)</f>
        <v/>
      </c>
    </row>
    <row r="958">
      <c r="H958" s="58">
        <f>IF($A958="","",$A958&amp;"|"&amp;$B958&amp;"|"&amp;$C958&amp;"|"&amp;$D958)</f>
        <v/>
      </c>
    </row>
    <row r="959">
      <c r="H959" s="58">
        <f>IF($A959="","",$A959&amp;"|"&amp;$B959&amp;"|"&amp;$C959&amp;"|"&amp;$D959)</f>
        <v/>
      </c>
    </row>
    <row r="960">
      <c r="H960" s="58">
        <f>IF($A960="","",$A960&amp;"|"&amp;$B960&amp;"|"&amp;$C960&amp;"|"&amp;$D960)</f>
        <v/>
      </c>
    </row>
    <row r="961">
      <c r="H961" s="58">
        <f>IF($A961="","",$A961&amp;"|"&amp;$B961&amp;"|"&amp;$C961&amp;"|"&amp;$D961)</f>
        <v/>
      </c>
    </row>
    <row r="962">
      <c r="H962" s="58">
        <f>IF($A962="","",$A962&amp;"|"&amp;$B962&amp;"|"&amp;$C962&amp;"|"&amp;$D962)</f>
        <v/>
      </c>
    </row>
    <row r="963">
      <c r="H963" s="58">
        <f>IF($A963="","",$A963&amp;"|"&amp;$B963&amp;"|"&amp;$C963&amp;"|"&amp;$D963)</f>
        <v/>
      </c>
    </row>
    <row r="964">
      <c r="H964" s="58">
        <f>IF($A964="","",$A964&amp;"|"&amp;$B964&amp;"|"&amp;$C964&amp;"|"&amp;$D964)</f>
        <v/>
      </c>
    </row>
    <row r="965">
      <c r="H965" s="58">
        <f>IF($A965="","",$A965&amp;"|"&amp;$B965&amp;"|"&amp;$C965&amp;"|"&amp;$D965)</f>
        <v/>
      </c>
    </row>
    <row r="966">
      <c r="H966" s="58">
        <f>IF($A966="","",$A966&amp;"|"&amp;$B966&amp;"|"&amp;$C966&amp;"|"&amp;$D966)</f>
        <v/>
      </c>
    </row>
    <row r="967">
      <c r="H967" s="58">
        <f>IF($A967="","",$A967&amp;"|"&amp;$B967&amp;"|"&amp;$C967&amp;"|"&amp;$D967)</f>
        <v/>
      </c>
    </row>
    <row r="968">
      <c r="H968" s="58">
        <f>IF($A968="","",$A968&amp;"|"&amp;$B968&amp;"|"&amp;$C968&amp;"|"&amp;$D968)</f>
        <v/>
      </c>
    </row>
    <row r="969">
      <c r="H969" s="58">
        <f>IF($A969="","",$A969&amp;"|"&amp;$B969&amp;"|"&amp;$C969&amp;"|"&amp;$D969)</f>
        <v/>
      </c>
    </row>
    <row r="970">
      <c r="H970" s="58">
        <f>IF($A970="","",$A970&amp;"|"&amp;$B970&amp;"|"&amp;$C970&amp;"|"&amp;$D970)</f>
        <v/>
      </c>
    </row>
    <row r="971">
      <c r="H971" s="58">
        <f>IF($A971="","",$A971&amp;"|"&amp;$B971&amp;"|"&amp;$C971&amp;"|"&amp;$D971)</f>
        <v/>
      </c>
    </row>
    <row r="972">
      <c r="H972" s="58">
        <f>IF($A972="","",$A972&amp;"|"&amp;$B972&amp;"|"&amp;$C972&amp;"|"&amp;$D972)</f>
        <v/>
      </c>
    </row>
    <row r="973">
      <c r="H973" s="58">
        <f>IF($A973="","",$A973&amp;"|"&amp;$B973&amp;"|"&amp;$C973&amp;"|"&amp;$D973)</f>
        <v/>
      </c>
    </row>
    <row r="974">
      <c r="H974" s="58">
        <f>IF($A974="","",$A974&amp;"|"&amp;$B974&amp;"|"&amp;$C974&amp;"|"&amp;$D974)</f>
        <v/>
      </c>
    </row>
    <row r="975">
      <c r="H975" s="58">
        <f>IF($A975="","",$A975&amp;"|"&amp;$B975&amp;"|"&amp;$C975&amp;"|"&amp;$D975)</f>
        <v/>
      </c>
    </row>
    <row r="976">
      <c r="H976" s="58">
        <f>IF($A976="","",$A976&amp;"|"&amp;$B976&amp;"|"&amp;$C976&amp;"|"&amp;$D976)</f>
        <v/>
      </c>
    </row>
    <row r="977">
      <c r="H977" s="58">
        <f>IF($A977="","",$A977&amp;"|"&amp;$B977&amp;"|"&amp;$C977&amp;"|"&amp;$D977)</f>
        <v/>
      </c>
    </row>
    <row r="978">
      <c r="H978" s="58">
        <f>IF($A978="","",$A978&amp;"|"&amp;$B978&amp;"|"&amp;$C978&amp;"|"&amp;$D978)</f>
        <v/>
      </c>
    </row>
    <row r="979">
      <c r="H979" s="58">
        <f>IF($A979="","",$A979&amp;"|"&amp;$B979&amp;"|"&amp;$C979&amp;"|"&amp;$D979)</f>
        <v/>
      </c>
    </row>
    <row r="980">
      <c r="H980" s="58">
        <f>IF($A980="","",$A980&amp;"|"&amp;$B980&amp;"|"&amp;$C980&amp;"|"&amp;$D980)</f>
        <v/>
      </c>
    </row>
    <row r="981">
      <c r="H981" s="58">
        <f>IF($A981="","",$A981&amp;"|"&amp;$B981&amp;"|"&amp;$C981&amp;"|"&amp;$D981)</f>
        <v/>
      </c>
    </row>
    <row r="982">
      <c r="H982" s="58">
        <f>IF($A982="","",$A982&amp;"|"&amp;$B982&amp;"|"&amp;$C982&amp;"|"&amp;$D982)</f>
        <v/>
      </c>
    </row>
    <row r="983">
      <c r="H983" s="58">
        <f>IF($A983="","",$A983&amp;"|"&amp;$B983&amp;"|"&amp;$C983&amp;"|"&amp;$D983)</f>
        <v/>
      </c>
    </row>
    <row r="984">
      <c r="H984" s="58">
        <f>IF($A984="","",$A984&amp;"|"&amp;$B984&amp;"|"&amp;$C984&amp;"|"&amp;$D984)</f>
        <v/>
      </c>
    </row>
    <row r="985">
      <c r="H985" s="58">
        <f>IF($A985="","",$A985&amp;"|"&amp;$B985&amp;"|"&amp;$C985&amp;"|"&amp;$D985)</f>
        <v/>
      </c>
    </row>
    <row r="986">
      <c r="H986" s="58">
        <f>IF($A986="","",$A986&amp;"|"&amp;$B986&amp;"|"&amp;$C986&amp;"|"&amp;$D986)</f>
        <v/>
      </c>
    </row>
    <row r="987">
      <c r="H987" s="58">
        <f>IF($A987="","",$A987&amp;"|"&amp;$B987&amp;"|"&amp;$C987&amp;"|"&amp;$D987)</f>
        <v/>
      </c>
    </row>
    <row r="988">
      <c r="H988" s="58">
        <f>IF($A988="","",$A988&amp;"|"&amp;$B988&amp;"|"&amp;$C988&amp;"|"&amp;$D988)</f>
        <v/>
      </c>
    </row>
    <row r="989">
      <c r="H989" s="58">
        <f>IF($A989="","",$A989&amp;"|"&amp;$B989&amp;"|"&amp;$C989&amp;"|"&amp;$D989)</f>
        <v/>
      </c>
    </row>
    <row r="990">
      <c r="H990" s="58">
        <f>IF($A990="","",$A990&amp;"|"&amp;$B990&amp;"|"&amp;$C990&amp;"|"&amp;$D990)</f>
        <v/>
      </c>
    </row>
    <row r="991">
      <c r="H991" s="58">
        <f>IF($A991="","",$A991&amp;"|"&amp;$B991&amp;"|"&amp;$C991&amp;"|"&amp;$D991)</f>
        <v/>
      </c>
    </row>
    <row r="992">
      <c r="H992" s="58">
        <f>IF($A992="","",$A992&amp;"|"&amp;$B992&amp;"|"&amp;$C992&amp;"|"&amp;$D992)</f>
        <v/>
      </c>
    </row>
    <row r="993">
      <c r="H993" s="58">
        <f>IF($A993="","",$A993&amp;"|"&amp;$B993&amp;"|"&amp;$C993&amp;"|"&amp;$D993)</f>
        <v/>
      </c>
    </row>
    <row r="994">
      <c r="H994" s="58">
        <f>IF($A994="","",$A994&amp;"|"&amp;$B994&amp;"|"&amp;$C994&amp;"|"&amp;$D994)</f>
        <v/>
      </c>
    </row>
    <row r="995">
      <c r="H995" s="58">
        <f>IF($A995="","",$A995&amp;"|"&amp;$B995&amp;"|"&amp;$C995&amp;"|"&amp;$D995)</f>
        <v/>
      </c>
    </row>
    <row r="996">
      <c r="H996" s="58">
        <f>IF($A996="","",$A996&amp;"|"&amp;$B996&amp;"|"&amp;$C996&amp;"|"&amp;$D996)</f>
        <v/>
      </c>
    </row>
    <row r="997">
      <c r="H997" s="58">
        <f>IF($A997="","",$A997&amp;"|"&amp;$B997&amp;"|"&amp;$C997&amp;"|"&amp;$D997)</f>
        <v/>
      </c>
    </row>
    <row r="998">
      <c r="H998" s="58">
        <f>IF($A998="","",$A998&amp;"|"&amp;$B998&amp;"|"&amp;$C998&amp;"|"&amp;$D998)</f>
        <v/>
      </c>
    </row>
    <row r="999">
      <c r="H999" s="58">
        <f>IF($A999="","",$A999&amp;"|"&amp;$B999&amp;"|"&amp;$C999&amp;"|"&amp;$D999)</f>
        <v/>
      </c>
    </row>
    <row r="1000">
      <c r="H1000" s="58">
        <f>IF($A1000="","",$A1000&amp;"|"&amp;$B1000&amp;"|"&amp;$C1000&amp;"|"&amp;$D1000)</f>
        <v/>
      </c>
    </row>
    <row r="1001">
      <c r="H1001" s="58">
        <f>IF($A1001="","",$A1001&amp;"|"&amp;$B1001&amp;"|"&amp;$C1001&amp;"|"&amp;$D1001)</f>
        <v/>
      </c>
    </row>
    <row r="1002">
      <c r="H1002" s="58">
        <f>IF($A1002="","",$A1002&amp;"|"&amp;$B1002&amp;"|"&amp;$C1002&amp;"|"&amp;$D1002)</f>
        <v/>
      </c>
    </row>
    <row r="1003">
      <c r="H1003" s="58">
        <f>IF($A1003="","",$A1003&amp;"|"&amp;$B1003&amp;"|"&amp;$C1003&amp;"|"&amp;$D1003)</f>
        <v/>
      </c>
    </row>
    <row r="1004">
      <c r="H1004" s="58">
        <f>IF($A1004="","",$A1004&amp;"|"&amp;$B1004&amp;"|"&amp;$C1004&amp;"|"&amp;$D1004)</f>
        <v/>
      </c>
    </row>
    <row r="1005">
      <c r="H1005" s="58">
        <f>IF($A1005="","",$A1005&amp;"|"&amp;$B1005&amp;"|"&amp;$C1005&amp;"|"&amp;$D1005)</f>
        <v/>
      </c>
    </row>
    <row r="1006">
      <c r="H1006" s="58">
        <f>IF($A1006="","",$A1006&amp;"|"&amp;$B1006&amp;"|"&amp;$C1006&amp;"|"&amp;$D1006)</f>
        <v/>
      </c>
    </row>
    <row r="1007">
      <c r="H1007" s="58">
        <f>IF($A1007="","",$A1007&amp;"|"&amp;$B1007&amp;"|"&amp;$C1007&amp;"|"&amp;$D1007)</f>
        <v/>
      </c>
    </row>
    <row r="1008">
      <c r="H1008" s="58">
        <f>IF($A1008="","",$A1008&amp;"|"&amp;$B1008&amp;"|"&amp;$C1008&amp;"|"&amp;$D1008)</f>
        <v/>
      </c>
    </row>
    <row r="1009">
      <c r="H1009" s="58">
        <f>IF($A1009="","",$A1009&amp;"|"&amp;$B1009&amp;"|"&amp;$C1009&amp;"|"&amp;$D1009)</f>
        <v/>
      </c>
    </row>
    <row r="1010">
      <c r="H1010" s="58">
        <f>IF($A1010="","",$A1010&amp;"|"&amp;$B1010&amp;"|"&amp;$C1010&amp;"|"&amp;$D1010)</f>
        <v/>
      </c>
    </row>
    <row r="1011">
      <c r="H1011" s="58">
        <f>IF($A1011="","",$A1011&amp;"|"&amp;$B1011&amp;"|"&amp;$C1011&amp;"|"&amp;$D1011)</f>
        <v/>
      </c>
    </row>
    <row r="1012">
      <c r="H1012" s="58">
        <f>IF($A1012="","",$A1012&amp;"|"&amp;$B1012&amp;"|"&amp;$C1012&amp;"|"&amp;$D1012)</f>
        <v/>
      </c>
    </row>
    <row r="1013">
      <c r="H1013" s="58">
        <f>IF($A1013="","",$A1013&amp;"|"&amp;$B1013&amp;"|"&amp;$C1013&amp;"|"&amp;$D1013)</f>
        <v/>
      </c>
    </row>
    <row r="1014">
      <c r="H1014" s="58">
        <f>IF($A1014="","",$A1014&amp;"|"&amp;$B1014&amp;"|"&amp;$C1014&amp;"|"&amp;$D1014)</f>
        <v/>
      </c>
    </row>
    <row r="1015">
      <c r="H1015" s="58">
        <f>IF($A1015="","",$A1015&amp;"|"&amp;$B1015&amp;"|"&amp;$C1015&amp;"|"&amp;$D1015)</f>
        <v/>
      </c>
    </row>
    <row r="1016">
      <c r="H1016" s="58">
        <f>IF($A1016="","",$A1016&amp;"|"&amp;$B1016&amp;"|"&amp;$C1016&amp;"|"&amp;$D1016)</f>
        <v/>
      </c>
    </row>
    <row r="1017">
      <c r="H1017" s="58">
        <f>IF($A1017="","",$A1017&amp;"|"&amp;$B1017&amp;"|"&amp;$C1017&amp;"|"&amp;$D1017)</f>
        <v/>
      </c>
    </row>
    <row r="1018">
      <c r="H1018" s="58">
        <f>IF($A1018="","",$A1018&amp;"|"&amp;$B1018&amp;"|"&amp;$C1018&amp;"|"&amp;$D1018)</f>
        <v/>
      </c>
    </row>
    <row r="1019">
      <c r="H1019" s="58">
        <f>IF($A1019="","",$A1019&amp;"|"&amp;$B1019&amp;"|"&amp;$C1019&amp;"|"&amp;$D1019)</f>
        <v/>
      </c>
    </row>
    <row r="1020">
      <c r="H1020" s="58">
        <f>IF($A1020="","",$A1020&amp;"|"&amp;$B1020&amp;"|"&amp;$C1020&amp;"|"&amp;$D1020)</f>
        <v/>
      </c>
    </row>
    <row r="1021">
      <c r="H1021" s="58">
        <f>IF($A1021="","",$A1021&amp;"|"&amp;$B1021&amp;"|"&amp;$C1021&amp;"|"&amp;$D1021)</f>
        <v/>
      </c>
    </row>
    <row r="1022">
      <c r="H1022" s="58">
        <f>IF($A1022="","",$A1022&amp;"|"&amp;$B1022&amp;"|"&amp;$C1022&amp;"|"&amp;$D1022)</f>
        <v/>
      </c>
    </row>
    <row r="1023">
      <c r="H1023" s="58">
        <f>IF($A1023="","",$A1023&amp;"|"&amp;$B1023&amp;"|"&amp;$C1023&amp;"|"&amp;$D1023)</f>
        <v/>
      </c>
    </row>
    <row r="1024">
      <c r="H1024" s="58">
        <f>IF($A1024="","",$A1024&amp;"|"&amp;$B1024&amp;"|"&amp;$C1024&amp;"|"&amp;$D1024)</f>
        <v/>
      </c>
    </row>
    <row r="1025">
      <c r="H1025" s="58">
        <f>IF($A1025="","",$A1025&amp;"|"&amp;$B1025&amp;"|"&amp;$C1025&amp;"|"&amp;$D1025)</f>
        <v/>
      </c>
    </row>
    <row r="1026">
      <c r="H1026" s="58">
        <f>IF($A1026="","",$A1026&amp;"|"&amp;$B1026&amp;"|"&amp;$C1026&amp;"|"&amp;$D1026)</f>
        <v/>
      </c>
    </row>
    <row r="1027">
      <c r="H1027" s="58">
        <f>IF($A1027="","",$A1027&amp;"|"&amp;$B1027&amp;"|"&amp;$C1027&amp;"|"&amp;$D1027)</f>
        <v/>
      </c>
    </row>
    <row r="1028">
      <c r="H1028" s="58">
        <f>IF($A1028="","",$A1028&amp;"|"&amp;$B1028&amp;"|"&amp;$C1028&amp;"|"&amp;$D1028)</f>
        <v/>
      </c>
    </row>
    <row r="1029">
      <c r="H1029" s="58">
        <f>IF($A1029="","",$A1029&amp;"|"&amp;$B1029&amp;"|"&amp;$C1029&amp;"|"&amp;$D1029)</f>
        <v/>
      </c>
    </row>
    <row r="1030">
      <c r="H1030" s="58">
        <f>IF($A1030="","",$A1030&amp;"|"&amp;$B1030&amp;"|"&amp;$C1030&amp;"|"&amp;$D1030)</f>
        <v/>
      </c>
    </row>
    <row r="1031">
      <c r="H1031" s="58">
        <f>IF($A1031="","",$A1031&amp;"|"&amp;$B1031&amp;"|"&amp;$C1031&amp;"|"&amp;$D1031)</f>
        <v/>
      </c>
    </row>
    <row r="1032">
      <c r="H1032" s="58">
        <f>IF($A1032="","",$A1032&amp;"|"&amp;$B1032&amp;"|"&amp;$C1032&amp;"|"&amp;$D1032)</f>
        <v/>
      </c>
    </row>
    <row r="1033">
      <c r="H1033" s="58">
        <f>IF($A1033="","",$A1033&amp;"|"&amp;$B1033&amp;"|"&amp;$C1033&amp;"|"&amp;$D1033)</f>
        <v/>
      </c>
    </row>
    <row r="1034">
      <c r="H1034" s="58">
        <f>IF($A1034="","",$A1034&amp;"|"&amp;$B1034&amp;"|"&amp;$C1034&amp;"|"&amp;$D1034)</f>
        <v/>
      </c>
    </row>
    <row r="1035">
      <c r="H1035" s="58">
        <f>IF($A1035="","",$A1035&amp;"|"&amp;$B1035&amp;"|"&amp;$C1035&amp;"|"&amp;$D1035)</f>
        <v/>
      </c>
    </row>
    <row r="1036">
      <c r="H1036" s="58">
        <f>IF($A1036="","",$A1036&amp;"|"&amp;$B1036&amp;"|"&amp;$C1036&amp;"|"&amp;$D1036)</f>
        <v/>
      </c>
    </row>
    <row r="1037">
      <c r="H1037" s="58">
        <f>IF($A1037="","",$A1037&amp;"|"&amp;$B1037&amp;"|"&amp;$C1037&amp;"|"&amp;$D1037)</f>
        <v/>
      </c>
    </row>
    <row r="1038">
      <c r="H1038" s="58">
        <f>IF($A1038="","",$A1038&amp;"|"&amp;$B1038&amp;"|"&amp;$C1038&amp;"|"&amp;$D1038)</f>
        <v/>
      </c>
    </row>
    <row r="1039">
      <c r="H1039" s="58">
        <f>IF($A1039="","",$A1039&amp;"|"&amp;$B1039&amp;"|"&amp;$C1039&amp;"|"&amp;$D1039)</f>
        <v/>
      </c>
    </row>
    <row r="1040">
      <c r="H1040" s="58">
        <f>IF($A1040="","",$A1040&amp;"|"&amp;$B1040&amp;"|"&amp;$C1040&amp;"|"&amp;$D1040)</f>
        <v/>
      </c>
    </row>
    <row r="1041">
      <c r="H1041" s="58">
        <f>IF($A1041="","",$A1041&amp;"|"&amp;$B1041&amp;"|"&amp;$C1041&amp;"|"&amp;$D1041)</f>
        <v/>
      </c>
    </row>
    <row r="1042">
      <c r="H1042" s="58">
        <f>IF($A1042="","",$A1042&amp;"|"&amp;$B1042&amp;"|"&amp;$C1042&amp;"|"&amp;$D1042)</f>
        <v/>
      </c>
    </row>
    <row r="1043">
      <c r="H1043" s="58">
        <f>IF($A1043="","",$A1043&amp;"|"&amp;$B1043&amp;"|"&amp;$C1043&amp;"|"&amp;$D1043)</f>
        <v/>
      </c>
    </row>
    <row r="1044">
      <c r="H1044" s="58">
        <f>IF($A1044="","",$A1044&amp;"|"&amp;$B1044&amp;"|"&amp;$C1044&amp;"|"&amp;$D1044)</f>
        <v/>
      </c>
    </row>
    <row r="1045">
      <c r="H1045" s="58">
        <f>IF($A1045="","",$A1045&amp;"|"&amp;$B1045&amp;"|"&amp;$C1045&amp;"|"&amp;$D1045)</f>
        <v/>
      </c>
    </row>
    <row r="1046">
      <c r="H1046" s="58">
        <f>IF($A1046="","",$A1046&amp;"|"&amp;$B1046&amp;"|"&amp;$C1046&amp;"|"&amp;$D1046)</f>
        <v/>
      </c>
    </row>
    <row r="1047">
      <c r="H1047" s="58">
        <f>IF($A1047="","",$A1047&amp;"|"&amp;$B1047&amp;"|"&amp;$C1047&amp;"|"&amp;$D1047)</f>
        <v/>
      </c>
    </row>
    <row r="1048">
      <c r="H1048" s="58">
        <f>IF($A1048="","",$A1048&amp;"|"&amp;$B1048&amp;"|"&amp;$C1048&amp;"|"&amp;$D1048)</f>
        <v/>
      </c>
    </row>
    <row r="1049">
      <c r="H1049" s="58">
        <f>IF($A1049="","",$A1049&amp;"|"&amp;$B1049&amp;"|"&amp;$C1049&amp;"|"&amp;$D1049)</f>
        <v/>
      </c>
    </row>
    <row r="1050">
      <c r="H1050" s="58">
        <f>IF($A1050="","",$A1050&amp;"|"&amp;$B1050&amp;"|"&amp;$C1050&amp;"|"&amp;$D1050)</f>
        <v/>
      </c>
    </row>
    <row r="1051">
      <c r="H1051" s="58">
        <f>IF($A1051="","",$A1051&amp;"|"&amp;$B1051&amp;"|"&amp;$C1051&amp;"|"&amp;$D1051)</f>
        <v/>
      </c>
    </row>
    <row r="1052">
      <c r="H1052" s="58">
        <f>IF($A1052="","",$A1052&amp;"|"&amp;$B1052&amp;"|"&amp;$C1052&amp;"|"&amp;$D1052)</f>
        <v/>
      </c>
    </row>
    <row r="1053">
      <c r="H1053" s="58">
        <f>IF($A1053="","",$A1053&amp;"|"&amp;$B1053&amp;"|"&amp;$C1053&amp;"|"&amp;$D1053)</f>
        <v/>
      </c>
    </row>
    <row r="1054">
      <c r="H1054" s="58">
        <f>IF($A1054="","",$A1054&amp;"|"&amp;$B1054&amp;"|"&amp;$C1054&amp;"|"&amp;$D1054)</f>
        <v/>
      </c>
    </row>
    <row r="1055">
      <c r="H1055" s="58">
        <f>IF($A1055="","",$A1055&amp;"|"&amp;$B1055&amp;"|"&amp;$C1055&amp;"|"&amp;$D1055)</f>
        <v/>
      </c>
    </row>
    <row r="1056">
      <c r="H1056" s="58">
        <f>IF($A1056="","",$A1056&amp;"|"&amp;$B1056&amp;"|"&amp;$C1056&amp;"|"&amp;$D1056)</f>
        <v/>
      </c>
    </row>
    <row r="1057">
      <c r="H1057" s="58">
        <f>IF($A1057="","",$A1057&amp;"|"&amp;$B1057&amp;"|"&amp;$C1057&amp;"|"&amp;$D1057)</f>
        <v/>
      </c>
    </row>
    <row r="1058">
      <c r="H1058" s="58">
        <f>IF($A1058="","",$A1058&amp;"|"&amp;$B1058&amp;"|"&amp;$C1058&amp;"|"&amp;$D1058)</f>
        <v/>
      </c>
    </row>
    <row r="1059">
      <c r="H1059" s="58">
        <f>IF($A1059="","",$A1059&amp;"|"&amp;$B1059&amp;"|"&amp;$C1059&amp;"|"&amp;$D1059)</f>
        <v/>
      </c>
    </row>
    <row r="1060">
      <c r="H1060" s="58">
        <f>IF($A1060="","",$A1060&amp;"|"&amp;$B1060&amp;"|"&amp;$C1060&amp;"|"&amp;$D1060)</f>
        <v/>
      </c>
    </row>
    <row r="1061">
      <c r="H1061" s="58">
        <f>IF($A1061="","",$A1061&amp;"|"&amp;$B1061&amp;"|"&amp;$C1061&amp;"|"&amp;$D1061)</f>
        <v/>
      </c>
    </row>
    <row r="1062">
      <c r="H1062" s="58">
        <f>IF($A1062="","",$A1062&amp;"|"&amp;$B1062&amp;"|"&amp;$C1062&amp;"|"&amp;$D1062)</f>
        <v/>
      </c>
    </row>
    <row r="1063">
      <c r="H1063" s="58">
        <f>IF($A1063="","",$A1063&amp;"|"&amp;$B1063&amp;"|"&amp;$C1063&amp;"|"&amp;$D1063)</f>
        <v/>
      </c>
    </row>
    <row r="1064">
      <c r="H1064" s="58">
        <f>IF($A1064="","",$A1064&amp;"|"&amp;$B1064&amp;"|"&amp;$C1064&amp;"|"&amp;$D1064)</f>
        <v/>
      </c>
    </row>
    <row r="1065">
      <c r="H1065" s="58">
        <f>IF($A1065="","",$A1065&amp;"|"&amp;$B1065&amp;"|"&amp;$C1065&amp;"|"&amp;$D1065)</f>
        <v/>
      </c>
    </row>
    <row r="1066">
      <c r="H1066" s="58">
        <f>IF($A1066="","",$A1066&amp;"|"&amp;$B1066&amp;"|"&amp;$C1066&amp;"|"&amp;$D1066)</f>
        <v/>
      </c>
    </row>
    <row r="1067">
      <c r="H1067" s="58">
        <f>IF($A1067="","",$A1067&amp;"|"&amp;$B1067&amp;"|"&amp;$C1067&amp;"|"&amp;$D1067)</f>
        <v/>
      </c>
    </row>
    <row r="1068">
      <c r="H1068" s="58">
        <f>IF($A1068="","",$A1068&amp;"|"&amp;$B1068&amp;"|"&amp;$C1068&amp;"|"&amp;$D1068)</f>
        <v/>
      </c>
    </row>
    <row r="1069">
      <c r="H1069" s="58">
        <f>IF($A1069="","",$A1069&amp;"|"&amp;$B1069&amp;"|"&amp;$C1069&amp;"|"&amp;$D1069)</f>
        <v/>
      </c>
    </row>
    <row r="1070">
      <c r="H1070" s="58">
        <f>IF($A1070="","",$A1070&amp;"|"&amp;$B1070&amp;"|"&amp;$C1070&amp;"|"&amp;$D1070)</f>
        <v/>
      </c>
    </row>
    <row r="1071">
      <c r="H1071" s="58">
        <f>IF($A1071="","",$A1071&amp;"|"&amp;$B1071&amp;"|"&amp;$C1071&amp;"|"&amp;$D1071)</f>
        <v/>
      </c>
    </row>
    <row r="1072">
      <c r="H1072" s="58">
        <f>IF($A1072="","",$A1072&amp;"|"&amp;$B1072&amp;"|"&amp;$C1072&amp;"|"&amp;$D1072)</f>
        <v/>
      </c>
    </row>
    <row r="1073">
      <c r="H1073" s="58">
        <f>IF($A1073="","",$A1073&amp;"|"&amp;$B1073&amp;"|"&amp;$C1073&amp;"|"&amp;$D1073)</f>
        <v/>
      </c>
    </row>
    <row r="1074">
      <c r="H1074" s="58">
        <f>IF($A1074="","",$A1074&amp;"|"&amp;$B1074&amp;"|"&amp;$C1074&amp;"|"&amp;$D1074)</f>
        <v/>
      </c>
    </row>
    <row r="1075">
      <c r="H1075" s="58">
        <f>IF($A1075="","",$A1075&amp;"|"&amp;$B1075&amp;"|"&amp;$C1075&amp;"|"&amp;$D1075)</f>
        <v/>
      </c>
    </row>
    <row r="1076">
      <c r="H1076" s="58">
        <f>IF($A1076="","",$A1076&amp;"|"&amp;$B1076&amp;"|"&amp;$C1076&amp;"|"&amp;$D1076)</f>
        <v/>
      </c>
    </row>
    <row r="1077">
      <c r="H1077" s="58">
        <f>IF($A1077="","",$A1077&amp;"|"&amp;$B1077&amp;"|"&amp;$C1077&amp;"|"&amp;$D1077)</f>
        <v/>
      </c>
    </row>
    <row r="1078">
      <c r="H1078" s="58">
        <f>IF($A1078="","",$A1078&amp;"|"&amp;$B1078&amp;"|"&amp;$C1078&amp;"|"&amp;$D1078)</f>
        <v/>
      </c>
    </row>
    <row r="1079">
      <c r="H1079" s="58">
        <f>IF($A1079="","",$A1079&amp;"|"&amp;$B1079&amp;"|"&amp;$C1079&amp;"|"&amp;$D1079)</f>
        <v/>
      </c>
    </row>
    <row r="1080">
      <c r="H1080" s="58">
        <f>IF($A1080="","",$A1080&amp;"|"&amp;$B1080&amp;"|"&amp;$C1080&amp;"|"&amp;$D1080)</f>
        <v/>
      </c>
    </row>
    <row r="1081">
      <c r="H1081" s="58">
        <f>IF($A1081="","",$A1081&amp;"|"&amp;$B1081&amp;"|"&amp;$C1081&amp;"|"&amp;$D1081)</f>
        <v/>
      </c>
    </row>
    <row r="1082">
      <c r="H1082" s="58">
        <f>IF($A1082="","",$A1082&amp;"|"&amp;$B1082&amp;"|"&amp;$C1082&amp;"|"&amp;$D1082)</f>
        <v/>
      </c>
    </row>
    <row r="1083">
      <c r="H1083" s="58">
        <f>IF($A1083="","",$A1083&amp;"|"&amp;$B1083&amp;"|"&amp;$C1083&amp;"|"&amp;$D1083)</f>
        <v/>
      </c>
    </row>
    <row r="1084">
      <c r="H1084" s="58">
        <f>IF($A1084="","",$A1084&amp;"|"&amp;$B1084&amp;"|"&amp;$C1084&amp;"|"&amp;$D1084)</f>
        <v/>
      </c>
    </row>
    <row r="1085">
      <c r="H1085" s="58">
        <f>IF($A1085="","",$A1085&amp;"|"&amp;$B1085&amp;"|"&amp;$C1085&amp;"|"&amp;$D1085)</f>
        <v/>
      </c>
    </row>
    <row r="1086">
      <c r="H1086" s="58">
        <f>IF($A1086="","",$A1086&amp;"|"&amp;$B1086&amp;"|"&amp;$C1086&amp;"|"&amp;$D1086)</f>
        <v/>
      </c>
    </row>
    <row r="1087">
      <c r="H1087" s="58">
        <f>IF($A1087="","",$A1087&amp;"|"&amp;$B1087&amp;"|"&amp;$C1087&amp;"|"&amp;$D1087)</f>
        <v/>
      </c>
    </row>
    <row r="1088">
      <c r="H1088" s="58">
        <f>IF($A1088="","",$A1088&amp;"|"&amp;$B1088&amp;"|"&amp;$C1088&amp;"|"&amp;$D1088)</f>
        <v/>
      </c>
    </row>
    <row r="1089">
      <c r="H1089" s="58">
        <f>IF($A1089="","",$A1089&amp;"|"&amp;$B1089&amp;"|"&amp;$C1089&amp;"|"&amp;$D1089)</f>
        <v/>
      </c>
    </row>
    <row r="1090">
      <c r="H1090" s="58">
        <f>IF($A1090="","",$A1090&amp;"|"&amp;$B1090&amp;"|"&amp;$C1090&amp;"|"&amp;$D1090)</f>
        <v/>
      </c>
    </row>
    <row r="1091">
      <c r="H1091" s="58">
        <f>IF($A1091="","",$A1091&amp;"|"&amp;$B1091&amp;"|"&amp;$C1091&amp;"|"&amp;$D1091)</f>
        <v/>
      </c>
    </row>
    <row r="1092">
      <c r="H1092" s="58">
        <f>IF($A1092="","",$A1092&amp;"|"&amp;$B1092&amp;"|"&amp;$C1092&amp;"|"&amp;$D1092)</f>
        <v/>
      </c>
    </row>
    <row r="1093">
      <c r="H1093" s="58">
        <f>IF($A1093="","",$A1093&amp;"|"&amp;$B1093&amp;"|"&amp;$C1093&amp;"|"&amp;$D1093)</f>
        <v/>
      </c>
    </row>
    <row r="1094">
      <c r="H1094" s="58">
        <f>IF($A1094="","",$A1094&amp;"|"&amp;$B1094&amp;"|"&amp;$C1094&amp;"|"&amp;$D1094)</f>
        <v/>
      </c>
    </row>
    <row r="1095">
      <c r="H1095" s="58">
        <f>IF($A1095="","",$A1095&amp;"|"&amp;$B1095&amp;"|"&amp;$C1095&amp;"|"&amp;$D1095)</f>
        <v/>
      </c>
    </row>
    <row r="1096">
      <c r="H1096" s="58">
        <f>IF($A1096="","",$A1096&amp;"|"&amp;$B1096&amp;"|"&amp;$C1096&amp;"|"&amp;$D1096)</f>
        <v/>
      </c>
    </row>
    <row r="1097">
      <c r="H1097" s="58">
        <f>IF($A1097="","",$A1097&amp;"|"&amp;$B1097&amp;"|"&amp;$C1097&amp;"|"&amp;$D1097)</f>
        <v/>
      </c>
    </row>
    <row r="1098">
      <c r="H1098" s="58">
        <f>IF($A1098="","",$A1098&amp;"|"&amp;$B1098&amp;"|"&amp;$C1098&amp;"|"&amp;$D1098)</f>
        <v/>
      </c>
    </row>
    <row r="1099">
      <c r="H1099" s="58">
        <f>IF($A1099="","",$A1099&amp;"|"&amp;$B1099&amp;"|"&amp;$C1099&amp;"|"&amp;$D1099)</f>
        <v/>
      </c>
    </row>
    <row r="1100">
      <c r="H1100" s="58">
        <f>IF($A1100="","",$A1100&amp;"|"&amp;$B1100&amp;"|"&amp;$C1100&amp;"|"&amp;$D1100)</f>
        <v/>
      </c>
    </row>
    <row r="1101">
      <c r="H1101" s="58">
        <f>IF($A1101="","",$A1101&amp;"|"&amp;$B1101&amp;"|"&amp;$C1101&amp;"|"&amp;$D1101)</f>
        <v/>
      </c>
    </row>
    <row r="1102">
      <c r="H1102" s="58">
        <f>IF($A1102="","",$A1102&amp;"|"&amp;$B1102&amp;"|"&amp;$C1102&amp;"|"&amp;$D1102)</f>
        <v/>
      </c>
    </row>
    <row r="1103">
      <c r="H1103" s="58">
        <f>IF($A1103="","",$A1103&amp;"|"&amp;$B1103&amp;"|"&amp;$C1103&amp;"|"&amp;$D1103)</f>
        <v/>
      </c>
    </row>
    <row r="1104">
      <c r="H1104" s="58">
        <f>IF($A1104="","",$A1104&amp;"|"&amp;$B1104&amp;"|"&amp;$C1104&amp;"|"&amp;$D1104)</f>
        <v/>
      </c>
    </row>
    <row r="1105">
      <c r="H1105" s="58">
        <f>IF($A1105="","",$A1105&amp;"|"&amp;$B1105&amp;"|"&amp;$C1105&amp;"|"&amp;$D1105)</f>
        <v/>
      </c>
    </row>
    <row r="1106">
      <c r="H1106" s="58">
        <f>IF($A1106="","",$A1106&amp;"|"&amp;$B1106&amp;"|"&amp;$C1106&amp;"|"&amp;$D1106)</f>
        <v/>
      </c>
    </row>
    <row r="1107">
      <c r="H1107" s="58">
        <f>IF($A1107="","",$A1107&amp;"|"&amp;$B1107&amp;"|"&amp;$C1107&amp;"|"&amp;$D1107)</f>
        <v/>
      </c>
    </row>
    <row r="1108">
      <c r="H1108" s="58">
        <f>IF($A1108="","",$A1108&amp;"|"&amp;$B1108&amp;"|"&amp;$C1108&amp;"|"&amp;$D1108)</f>
        <v/>
      </c>
    </row>
    <row r="1109">
      <c r="H1109" s="58">
        <f>IF($A1109="","",$A1109&amp;"|"&amp;$B1109&amp;"|"&amp;$C1109&amp;"|"&amp;$D1109)</f>
        <v/>
      </c>
    </row>
    <row r="1110">
      <c r="H1110" s="58">
        <f>IF($A1110="","",$A1110&amp;"|"&amp;$B1110&amp;"|"&amp;$C1110&amp;"|"&amp;$D1110)</f>
        <v/>
      </c>
    </row>
    <row r="1111">
      <c r="H1111" s="58">
        <f>IF($A1111="","",$A1111&amp;"|"&amp;$B1111&amp;"|"&amp;$C1111&amp;"|"&amp;$D1111)</f>
        <v/>
      </c>
    </row>
    <row r="1112">
      <c r="H1112" s="58">
        <f>IF($A1112="","",$A1112&amp;"|"&amp;$B1112&amp;"|"&amp;$C1112&amp;"|"&amp;$D1112)</f>
        <v/>
      </c>
    </row>
    <row r="1113">
      <c r="H1113" s="58">
        <f>IF($A1113="","",$A1113&amp;"|"&amp;$B1113&amp;"|"&amp;$C1113&amp;"|"&amp;$D1113)</f>
        <v/>
      </c>
    </row>
    <row r="1114">
      <c r="H1114" s="58">
        <f>IF($A1114="","",$A1114&amp;"|"&amp;$B1114&amp;"|"&amp;$C1114&amp;"|"&amp;$D1114)</f>
        <v/>
      </c>
    </row>
    <row r="1115">
      <c r="H1115" s="58">
        <f>IF($A1115="","",$A1115&amp;"|"&amp;$B1115&amp;"|"&amp;$C1115&amp;"|"&amp;$D1115)</f>
        <v/>
      </c>
    </row>
    <row r="1116">
      <c r="H1116" s="58">
        <f>IF($A1116="","",$A1116&amp;"|"&amp;$B1116&amp;"|"&amp;$C1116&amp;"|"&amp;$D1116)</f>
        <v/>
      </c>
    </row>
    <row r="1117">
      <c r="H1117" s="58">
        <f>IF($A1117="","",$A1117&amp;"|"&amp;$B1117&amp;"|"&amp;$C1117&amp;"|"&amp;$D1117)</f>
        <v/>
      </c>
    </row>
    <row r="1118">
      <c r="H1118" s="58">
        <f>IF($A1118="","",$A1118&amp;"|"&amp;$B1118&amp;"|"&amp;$C1118&amp;"|"&amp;$D1118)</f>
        <v/>
      </c>
    </row>
    <row r="1119">
      <c r="H1119" s="58">
        <f>IF($A1119="","",$A1119&amp;"|"&amp;$B1119&amp;"|"&amp;$C1119&amp;"|"&amp;$D1119)</f>
        <v/>
      </c>
    </row>
    <row r="1120">
      <c r="H1120" s="58">
        <f>IF($A1120="","",$A1120&amp;"|"&amp;$B1120&amp;"|"&amp;$C1120&amp;"|"&amp;$D1120)</f>
        <v/>
      </c>
    </row>
    <row r="1121">
      <c r="H1121" s="58">
        <f>IF($A1121="","",$A1121&amp;"|"&amp;$B1121&amp;"|"&amp;$C1121&amp;"|"&amp;$D1121)</f>
        <v/>
      </c>
    </row>
    <row r="1122">
      <c r="H1122" s="58">
        <f>IF($A1122="","",$A1122&amp;"|"&amp;$B1122&amp;"|"&amp;$C1122&amp;"|"&amp;$D1122)</f>
        <v/>
      </c>
    </row>
    <row r="1123">
      <c r="H1123" s="58">
        <f>IF($A1123="","",$A1123&amp;"|"&amp;$B1123&amp;"|"&amp;$C1123&amp;"|"&amp;$D1123)</f>
        <v/>
      </c>
    </row>
    <row r="1124">
      <c r="H1124" s="58">
        <f>IF($A1124="","",$A1124&amp;"|"&amp;$B1124&amp;"|"&amp;$C1124&amp;"|"&amp;$D1124)</f>
        <v/>
      </c>
    </row>
    <row r="1125">
      <c r="H1125" s="58">
        <f>IF($A1125="","",$A1125&amp;"|"&amp;$B1125&amp;"|"&amp;$C1125&amp;"|"&amp;$D1125)</f>
        <v/>
      </c>
    </row>
    <row r="1126">
      <c r="H1126" s="58">
        <f>IF($A1126="","",$A1126&amp;"|"&amp;$B1126&amp;"|"&amp;$C1126&amp;"|"&amp;$D1126)</f>
        <v/>
      </c>
    </row>
    <row r="1127">
      <c r="H1127" s="58">
        <f>IF($A1127="","",$A1127&amp;"|"&amp;$B1127&amp;"|"&amp;$C1127&amp;"|"&amp;$D1127)</f>
        <v/>
      </c>
    </row>
    <row r="1128">
      <c r="H1128" s="58">
        <f>IF($A1128="","",$A1128&amp;"|"&amp;$B1128&amp;"|"&amp;$C1128&amp;"|"&amp;$D1128)</f>
        <v/>
      </c>
    </row>
    <row r="1129">
      <c r="H1129" s="58">
        <f>IF($A1129="","",$A1129&amp;"|"&amp;$B1129&amp;"|"&amp;$C1129&amp;"|"&amp;$D1129)</f>
        <v/>
      </c>
    </row>
    <row r="1130">
      <c r="H1130" s="58">
        <f>IF($A1130="","",$A1130&amp;"|"&amp;$B1130&amp;"|"&amp;$C1130&amp;"|"&amp;$D1130)</f>
        <v/>
      </c>
    </row>
    <row r="1131">
      <c r="H1131" s="58">
        <f>IF($A1131="","",$A1131&amp;"|"&amp;$B1131&amp;"|"&amp;$C1131&amp;"|"&amp;$D1131)</f>
        <v/>
      </c>
    </row>
    <row r="1132">
      <c r="H1132" s="58">
        <f>IF($A1132="","",$A1132&amp;"|"&amp;$B1132&amp;"|"&amp;$C1132&amp;"|"&amp;$D1132)</f>
        <v/>
      </c>
    </row>
    <row r="1133">
      <c r="H1133" s="58">
        <f>IF($A1133="","",$A1133&amp;"|"&amp;$B1133&amp;"|"&amp;$C1133&amp;"|"&amp;$D1133)</f>
        <v/>
      </c>
    </row>
    <row r="1134">
      <c r="H1134" s="58">
        <f>IF($A1134="","",$A1134&amp;"|"&amp;$B1134&amp;"|"&amp;$C1134&amp;"|"&amp;$D1134)</f>
        <v/>
      </c>
    </row>
    <row r="1135">
      <c r="H1135" s="58">
        <f>IF($A1135="","",$A1135&amp;"|"&amp;$B1135&amp;"|"&amp;$C1135&amp;"|"&amp;$D1135)</f>
        <v/>
      </c>
    </row>
    <row r="1136">
      <c r="H1136" s="58">
        <f>IF($A1136="","",$A1136&amp;"|"&amp;$B1136&amp;"|"&amp;$C1136&amp;"|"&amp;$D1136)</f>
        <v/>
      </c>
    </row>
    <row r="1137">
      <c r="H1137" s="58">
        <f>IF($A1137="","",$A1137&amp;"|"&amp;$B1137&amp;"|"&amp;$C1137&amp;"|"&amp;$D1137)</f>
        <v/>
      </c>
    </row>
    <row r="1138">
      <c r="H1138" s="58">
        <f>IF($A1138="","",$A1138&amp;"|"&amp;$B1138&amp;"|"&amp;$C1138&amp;"|"&amp;$D1138)</f>
        <v/>
      </c>
    </row>
    <row r="1139">
      <c r="H1139" s="58">
        <f>IF($A1139="","",$A1139&amp;"|"&amp;$B1139&amp;"|"&amp;$C1139&amp;"|"&amp;$D1139)</f>
        <v/>
      </c>
    </row>
    <row r="1140">
      <c r="H1140" s="58">
        <f>IF($A1140="","",$A1140&amp;"|"&amp;$B1140&amp;"|"&amp;$C1140&amp;"|"&amp;$D1140)</f>
        <v/>
      </c>
    </row>
    <row r="1141">
      <c r="H1141" s="58">
        <f>IF($A1141="","",$A1141&amp;"|"&amp;$B1141&amp;"|"&amp;$C1141&amp;"|"&amp;$D1141)</f>
        <v/>
      </c>
    </row>
    <row r="1142">
      <c r="H1142" s="58">
        <f>IF($A1142="","",$A1142&amp;"|"&amp;$B1142&amp;"|"&amp;$C1142&amp;"|"&amp;$D1142)</f>
        <v/>
      </c>
    </row>
    <row r="1143">
      <c r="H1143" s="58">
        <f>IF($A1143="","",$A1143&amp;"|"&amp;$B1143&amp;"|"&amp;$C1143&amp;"|"&amp;$D1143)</f>
        <v/>
      </c>
    </row>
    <row r="1144">
      <c r="H1144" s="58">
        <f>IF($A1144="","",$A1144&amp;"|"&amp;$B1144&amp;"|"&amp;$C1144&amp;"|"&amp;$D1144)</f>
        <v/>
      </c>
    </row>
    <row r="1145">
      <c r="H1145" s="58">
        <f>IF($A1145="","",$A1145&amp;"|"&amp;$B1145&amp;"|"&amp;$C1145&amp;"|"&amp;$D1145)</f>
        <v/>
      </c>
    </row>
    <row r="1146">
      <c r="H1146" s="58">
        <f>IF($A1146="","",$A1146&amp;"|"&amp;$B1146&amp;"|"&amp;$C1146&amp;"|"&amp;$D1146)</f>
        <v/>
      </c>
    </row>
    <row r="1147">
      <c r="H1147" s="58">
        <f>IF($A1147="","",$A1147&amp;"|"&amp;$B1147&amp;"|"&amp;$C1147&amp;"|"&amp;$D1147)</f>
        <v/>
      </c>
    </row>
    <row r="1148">
      <c r="H1148" s="58">
        <f>IF($A1148="","",$A1148&amp;"|"&amp;$B1148&amp;"|"&amp;$C1148&amp;"|"&amp;$D1148)</f>
        <v/>
      </c>
    </row>
    <row r="1149">
      <c r="H1149" s="58">
        <f>IF($A1149="","",$A1149&amp;"|"&amp;$B1149&amp;"|"&amp;$C1149&amp;"|"&amp;$D1149)</f>
        <v/>
      </c>
    </row>
    <row r="1150">
      <c r="H1150" s="58">
        <f>IF($A1150="","",$A1150&amp;"|"&amp;$B1150&amp;"|"&amp;$C1150&amp;"|"&amp;$D1150)</f>
        <v/>
      </c>
    </row>
    <row r="1151">
      <c r="H1151" s="58">
        <f>IF($A1151="","",$A1151&amp;"|"&amp;$B1151&amp;"|"&amp;$C1151&amp;"|"&amp;$D1151)</f>
        <v/>
      </c>
    </row>
    <row r="1152">
      <c r="H1152" s="58">
        <f>IF($A1152="","",$A1152&amp;"|"&amp;$B1152&amp;"|"&amp;$C1152&amp;"|"&amp;$D1152)</f>
        <v/>
      </c>
    </row>
    <row r="1153">
      <c r="H1153" s="58">
        <f>IF($A1153="","",$A1153&amp;"|"&amp;$B1153&amp;"|"&amp;$C1153&amp;"|"&amp;$D1153)</f>
        <v/>
      </c>
    </row>
    <row r="1154">
      <c r="H1154" s="58">
        <f>IF($A1154="","",$A1154&amp;"|"&amp;$B1154&amp;"|"&amp;$C1154&amp;"|"&amp;$D1154)</f>
        <v/>
      </c>
    </row>
    <row r="1155">
      <c r="H1155" s="58">
        <f>IF($A1155="","",$A1155&amp;"|"&amp;$B1155&amp;"|"&amp;$C1155&amp;"|"&amp;$D1155)</f>
        <v/>
      </c>
    </row>
    <row r="1156">
      <c r="H1156" s="58">
        <f>IF($A1156="","",$A1156&amp;"|"&amp;$B1156&amp;"|"&amp;$C1156&amp;"|"&amp;$D1156)</f>
        <v/>
      </c>
    </row>
    <row r="1157">
      <c r="H1157" s="58">
        <f>IF($A1157="","",$A1157&amp;"|"&amp;$B1157&amp;"|"&amp;$C1157&amp;"|"&amp;$D1157)</f>
        <v/>
      </c>
    </row>
    <row r="1158">
      <c r="H1158" s="58">
        <f>IF($A1158="","",$A1158&amp;"|"&amp;$B1158&amp;"|"&amp;$C1158&amp;"|"&amp;$D1158)</f>
        <v/>
      </c>
    </row>
    <row r="1159">
      <c r="H1159" s="58">
        <f>IF($A1159="","",$A1159&amp;"|"&amp;$B1159&amp;"|"&amp;$C1159&amp;"|"&amp;$D1159)</f>
        <v/>
      </c>
    </row>
    <row r="1160">
      <c r="H1160" s="58">
        <f>IF($A1160="","",$A1160&amp;"|"&amp;$B1160&amp;"|"&amp;$C1160&amp;"|"&amp;$D1160)</f>
        <v/>
      </c>
    </row>
    <row r="1161">
      <c r="H1161" s="58">
        <f>IF($A1161="","",$A1161&amp;"|"&amp;$B1161&amp;"|"&amp;$C1161&amp;"|"&amp;$D1161)</f>
        <v/>
      </c>
    </row>
    <row r="1162">
      <c r="H1162" s="58">
        <f>IF($A1162="","",$A1162&amp;"|"&amp;$B1162&amp;"|"&amp;$C1162&amp;"|"&amp;$D1162)</f>
        <v/>
      </c>
    </row>
    <row r="1163">
      <c r="H1163" s="58">
        <f>IF($A1163="","",$A1163&amp;"|"&amp;$B1163&amp;"|"&amp;$C1163&amp;"|"&amp;$D1163)</f>
        <v/>
      </c>
    </row>
    <row r="1164">
      <c r="H1164" s="58">
        <f>IF($A1164="","",$A1164&amp;"|"&amp;$B1164&amp;"|"&amp;$C1164&amp;"|"&amp;$D1164)</f>
        <v/>
      </c>
    </row>
    <row r="1165">
      <c r="H1165" s="58">
        <f>IF($A1165="","",$A1165&amp;"|"&amp;$B1165&amp;"|"&amp;$C1165&amp;"|"&amp;$D1165)</f>
        <v/>
      </c>
    </row>
    <row r="1166">
      <c r="H1166" s="58">
        <f>IF($A1166="","",$A1166&amp;"|"&amp;$B1166&amp;"|"&amp;$C1166&amp;"|"&amp;$D1166)</f>
        <v/>
      </c>
    </row>
    <row r="1167">
      <c r="H1167" s="58">
        <f>IF($A1167="","",$A1167&amp;"|"&amp;$B1167&amp;"|"&amp;$C1167&amp;"|"&amp;$D1167)</f>
        <v/>
      </c>
    </row>
    <row r="1168">
      <c r="H1168" s="58">
        <f>IF($A1168="","",$A1168&amp;"|"&amp;$B1168&amp;"|"&amp;$C1168&amp;"|"&amp;$D1168)</f>
        <v/>
      </c>
    </row>
    <row r="1169">
      <c r="H1169" s="58">
        <f>IF($A1169="","",$A1169&amp;"|"&amp;$B1169&amp;"|"&amp;$C1169&amp;"|"&amp;$D1169)</f>
        <v/>
      </c>
    </row>
    <row r="1170">
      <c r="H1170" s="58">
        <f>IF($A1170="","",$A1170&amp;"|"&amp;$B1170&amp;"|"&amp;$C1170&amp;"|"&amp;$D1170)</f>
        <v/>
      </c>
    </row>
    <row r="1171">
      <c r="H1171" s="58">
        <f>IF($A1171="","",$A1171&amp;"|"&amp;$B1171&amp;"|"&amp;$C1171&amp;"|"&amp;$D1171)</f>
        <v/>
      </c>
    </row>
    <row r="1172">
      <c r="H1172" s="58">
        <f>IF($A1172="","",$A1172&amp;"|"&amp;$B1172&amp;"|"&amp;$C1172&amp;"|"&amp;$D1172)</f>
        <v/>
      </c>
    </row>
    <row r="1173">
      <c r="H1173" s="58">
        <f>IF($A1173="","",$A1173&amp;"|"&amp;$B1173&amp;"|"&amp;$C1173&amp;"|"&amp;$D1173)</f>
        <v/>
      </c>
    </row>
    <row r="1174">
      <c r="H1174" s="58">
        <f>IF($A1174="","",$A1174&amp;"|"&amp;$B1174&amp;"|"&amp;$C1174&amp;"|"&amp;$D1174)</f>
        <v/>
      </c>
    </row>
    <row r="1175">
      <c r="H1175" s="58">
        <f>IF($A1175="","",$A1175&amp;"|"&amp;$B1175&amp;"|"&amp;$C1175&amp;"|"&amp;$D1175)</f>
        <v/>
      </c>
    </row>
    <row r="1176">
      <c r="H1176" s="58">
        <f>IF($A1176="","",$A1176&amp;"|"&amp;$B1176&amp;"|"&amp;$C1176&amp;"|"&amp;$D1176)</f>
        <v/>
      </c>
    </row>
    <row r="1177">
      <c r="H1177" s="58">
        <f>IF($A1177="","",$A1177&amp;"|"&amp;$B1177&amp;"|"&amp;$C1177&amp;"|"&amp;$D1177)</f>
        <v/>
      </c>
    </row>
    <row r="1178">
      <c r="H1178" s="58">
        <f>IF($A1178="","",$A1178&amp;"|"&amp;$B1178&amp;"|"&amp;$C1178&amp;"|"&amp;$D1178)</f>
        <v/>
      </c>
    </row>
    <row r="1179">
      <c r="H1179" s="58">
        <f>IF($A1179="","",$A1179&amp;"|"&amp;$B1179&amp;"|"&amp;$C1179&amp;"|"&amp;$D1179)</f>
        <v/>
      </c>
    </row>
    <row r="1180">
      <c r="H1180" s="58">
        <f>IF($A1180="","",$A1180&amp;"|"&amp;$B1180&amp;"|"&amp;$C1180&amp;"|"&amp;$D1180)</f>
        <v/>
      </c>
    </row>
    <row r="1181">
      <c r="H1181" s="58">
        <f>IF($A1181="","",$A1181&amp;"|"&amp;$B1181&amp;"|"&amp;$C1181&amp;"|"&amp;$D1181)</f>
        <v/>
      </c>
    </row>
    <row r="1182">
      <c r="H1182" s="58">
        <f>IF($A1182="","",$A1182&amp;"|"&amp;$B1182&amp;"|"&amp;$C1182&amp;"|"&amp;$D1182)</f>
        <v/>
      </c>
    </row>
    <row r="1183">
      <c r="H1183" s="58">
        <f>IF($A1183="","",$A1183&amp;"|"&amp;$B1183&amp;"|"&amp;$C1183&amp;"|"&amp;$D1183)</f>
        <v/>
      </c>
    </row>
    <row r="1184">
      <c r="H1184" s="58">
        <f>IF($A1184="","",$A1184&amp;"|"&amp;$B1184&amp;"|"&amp;$C1184&amp;"|"&amp;$D1184)</f>
        <v/>
      </c>
    </row>
    <row r="1185">
      <c r="H1185" s="58">
        <f>IF($A1185="","",$A1185&amp;"|"&amp;$B1185&amp;"|"&amp;$C1185&amp;"|"&amp;$D1185)</f>
        <v/>
      </c>
    </row>
    <row r="1186">
      <c r="H1186" s="58">
        <f>IF($A1186="","",$A1186&amp;"|"&amp;$B1186&amp;"|"&amp;$C1186&amp;"|"&amp;$D1186)</f>
        <v/>
      </c>
    </row>
    <row r="1187">
      <c r="H1187" s="58">
        <f>IF($A1187="","",$A1187&amp;"|"&amp;$B1187&amp;"|"&amp;$C1187&amp;"|"&amp;$D1187)</f>
        <v/>
      </c>
    </row>
    <row r="1188">
      <c r="H1188" s="58">
        <f>IF($A1188="","",$A1188&amp;"|"&amp;$B1188&amp;"|"&amp;$C1188&amp;"|"&amp;$D1188)</f>
        <v/>
      </c>
    </row>
    <row r="1189">
      <c r="H1189" s="58">
        <f>IF($A1189="","",$A1189&amp;"|"&amp;$B1189&amp;"|"&amp;$C1189&amp;"|"&amp;$D1189)</f>
        <v/>
      </c>
    </row>
    <row r="1190">
      <c r="H1190" s="58">
        <f>IF($A1190="","",$A1190&amp;"|"&amp;$B1190&amp;"|"&amp;$C1190&amp;"|"&amp;$D1190)</f>
        <v/>
      </c>
    </row>
    <row r="1191">
      <c r="H1191" s="58">
        <f>IF($A1191="","",$A1191&amp;"|"&amp;$B1191&amp;"|"&amp;$C1191&amp;"|"&amp;$D1191)</f>
        <v/>
      </c>
    </row>
    <row r="1192">
      <c r="H1192" s="58">
        <f>IF($A1192="","",$A1192&amp;"|"&amp;$B1192&amp;"|"&amp;$C1192&amp;"|"&amp;$D1192)</f>
        <v/>
      </c>
    </row>
    <row r="1193">
      <c r="H1193" s="58">
        <f>IF($A1193="","",$A1193&amp;"|"&amp;$B1193&amp;"|"&amp;$C1193&amp;"|"&amp;$D1193)</f>
        <v/>
      </c>
    </row>
    <row r="1194">
      <c r="H1194" s="58">
        <f>IF($A1194="","",$A1194&amp;"|"&amp;$B1194&amp;"|"&amp;$C1194&amp;"|"&amp;$D1194)</f>
        <v/>
      </c>
    </row>
    <row r="1195">
      <c r="H1195" s="58">
        <f>IF($A1195="","",$A1195&amp;"|"&amp;$B1195&amp;"|"&amp;$C1195&amp;"|"&amp;$D1195)</f>
        <v/>
      </c>
    </row>
    <row r="1196">
      <c r="H1196" s="58">
        <f>IF($A1196="","",$A1196&amp;"|"&amp;$B1196&amp;"|"&amp;$C1196&amp;"|"&amp;$D1196)</f>
        <v/>
      </c>
    </row>
    <row r="1197">
      <c r="H1197" s="58">
        <f>IF($A1197="","",$A1197&amp;"|"&amp;$B1197&amp;"|"&amp;$C1197&amp;"|"&amp;$D1197)</f>
        <v/>
      </c>
    </row>
    <row r="1198">
      <c r="H1198" s="58">
        <f>IF($A1198="","",$A1198&amp;"|"&amp;$B1198&amp;"|"&amp;$C1198&amp;"|"&amp;$D1198)</f>
        <v/>
      </c>
    </row>
    <row r="1199">
      <c r="H1199" s="58">
        <f>IF($A1199="","",$A1199&amp;"|"&amp;$B1199&amp;"|"&amp;$C1199&amp;"|"&amp;$D1199)</f>
        <v/>
      </c>
    </row>
    <row r="1200">
      <c r="H1200" s="58">
        <f>IF($A1200="","",$A1200&amp;"|"&amp;$B1200&amp;"|"&amp;$C1200&amp;"|"&amp;$D1200)</f>
        <v/>
      </c>
    </row>
    <row r="1201">
      <c r="H1201" s="58">
        <f>IF($A1201="","",$A1201&amp;"|"&amp;$B1201&amp;"|"&amp;$C1201&amp;"|"&amp;$D1201)</f>
        <v/>
      </c>
    </row>
    <row r="1202">
      <c r="H1202" s="58">
        <f>IF($A1202="","",$A1202&amp;"|"&amp;$B1202&amp;"|"&amp;$C1202&amp;"|"&amp;$D1202)</f>
        <v/>
      </c>
    </row>
    <row r="1203">
      <c r="H1203" s="58">
        <f>IF($A1203="","",$A1203&amp;"|"&amp;$B1203&amp;"|"&amp;$C1203&amp;"|"&amp;$D1203)</f>
        <v/>
      </c>
    </row>
    <row r="1204">
      <c r="H1204" s="58">
        <f>IF($A1204="","",$A1204&amp;"|"&amp;$B1204&amp;"|"&amp;$C1204&amp;"|"&amp;$D1204)</f>
        <v/>
      </c>
    </row>
    <row r="1205">
      <c r="H1205" s="58">
        <f>IF($A1205="","",$A1205&amp;"|"&amp;$B1205&amp;"|"&amp;$C1205&amp;"|"&amp;$D1205)</f>
        <v/>
      </c>
    </row>
    <row r="1206">
      <c r="H1206" s="58">
        <f>IF($A1206="","",$A1206&amp;"|"&amp;$B1206&amp;"|"&amp;$C1206&amp;"|"&amp;$D1206)</f>
        <v/>
      </c>
    </row>
    <row r="1207">
      <c r="H1207" s="58">
        <f>IF($A1207="","",$A1207&amp;"|"&amp;$B1207&amp;"|"&amp;$C1207&amp;"|"&amp;$D1207)</f>
        <v/>
      </c>
    </row>
    <row r="1208">
      <c r="H1208" s="58">
        <f>IF($A1208="","",$A1208&amp;"|"&amp;$B1208&amp;"|"&amp;$C1208&amp;"|"&amp;$D1208)</f>
        <v/>
      </c>
    </row>
    <row r="1209">
      <c r="H1209" s="58">
        <f>IF($A1209="","",$A1209&amp;"|"&amp;$B1209&amp;"|"&amp;$C1209&amp;"|"&amp;$D1209)</f>
        <v/>
      </c>
    </row>
    <row r="1210">
      <c r="H1210" s="58">
        <f>IF($A1210="","",$A1210&amp;"|"&amp;$B1210&amp;"|"&amp;$C1210&amp;"|"&amp;$D1210)</f>
        <v/>
      </c>
    </row>
    <row r="1211">
      <c r="H1211" s="58">
        <f>IF($A1211="","",$A1211&amp;"|"&amp;$B1211&amp;"|"&amp;$C1211&amp;"|"&amp;$D1211)</f>
        <v/>
      </c>
    </row>
    <row r="1212">
      <c r="H1212" s="58">
        <f>IF($A1212="","",$A1212&amp;"|"&amp;$B1212&amp;"|"&amp;$C1212&amp;"|"&amp;$D1212)</f>
        <v/>
      </c>
    </row>
    <row r="1213">
      <c r="H1213" s="58">
        <f>IF($A1213="","",$A1213&amp;"|"&amp;$B1213&amp;"|"&amp;$C1213&amp;"|"&amp;$D1213)</f>
        <v/>
      </c>
    </row>
    <row r="1214">
      <c r="H1214" s="58">
        <f>IF($A1214="","",$A1214&amp;"|"&amp;$B1214&amp;"|"&amp;$C1214&amp;"|"&amp;$D1214)</f>
        <v/>
      </c>
    </row>
    <row r="1215">
      <c r="H1215" s="58">
        <f>IF($A1215="","",$A1215&amp;"|"&amp;$B1215&amp;"|"&amp;$C1215&amp;"|"&amp;$D1215)</f>
        <v/>
      </c>
    </row>
    <row r="1216">
      <c r="H1216" s="58">
        <f>IF($A1216="","",$A1216&amp;"|"&amp;$B1216&amp;"|"&amp;$C1216&amp;"|"&amp;$D1216)</f>
        <v/>
      </c>
    </row>
    <row r="1217">
      <c r="H1217" s="58">
        <f>IF($A1217="","",$A1217&amp;"|"&amp;$B1217&amp;"|"&amp;$C1217&amp;"|"&amp;$D1217)</f>
        <v/>
      </c>
    </row>
    <row r="1218">
      <c r="H1218" s="58">
        <f>IF($A1218="","",$A1218&amp;"|"&amp;$B1218&amp;"|"&amp;$C1218&amp;"|"&amp;$D1218)</f>
        <v/>
      </c>
    </row>
    <row r="1219">
      <c r="H1219" s="58">
        <f>IF($A1219="","",$A1219&amp;"|"&amp;$B1219&amp;"|"&amp;$C1219&amp;"|"&amp;$D1219)</f>
        <v/>
      </c>
    </row>
    <row r="1220">
      <c r="H1220" s="58">
        <f>IF($A1220="","",$A1220&amp;"|"&amp;$B1220&amp;"|"&amp;$C1220&amp;"|"&amp;$D1220)</f>
        <v/>
      </c>
    </row>
    <row r="1221">
      <c r="H1221" s="58">
        <f>IF($A1221="","",$A1221&amp;"|"&amp;$B1221&amp;"|"&amp;$C1221&amp;"|"&amp;$D1221)</f>
        <v/>
      </c>
    </row>
    <row r="1222">
      <c r="H1222" s="58">
        <f>IF($A1222="","",$A1222&amp;"|"&amp;$B1222&amp;"|"&amp;$C1222&amp;"|"&amp;$D1222)</f>
        <v/>
      </c>
    </row>
    <row r="1223">
      <c r="H1223" s="58">
        <f>IF($A1223="","",$A1223&amp;"|"&amp;$B1223&amp;"|"&amp;$C1223&amp;"|"&amp;$D1223)</f>
        <v/>
      </c>
    </row>
    <row r="1224">
      <c r="H1224" s="58">
        <f>IF($A1224="","",$A1224&amp;"|"&amp;$B1224&amp;"|"&amp;$C1224&amp;"|"&amp;$D1224)</f>
        <v/>
      </c>
    </row>
    <row r="1225">
      <c r="H1225" s="58">
        <f>IF($A1225="","",$A1225&amp;"|"&amp;$B1225&amp;"|"&amp;$C1225&amp;"|"&amp;$D1225)</f>
        <v/>
      </c>
    </row>
    <row r="1226">
      <c r="H1226" s="58">
        <f>IF($A1226="","",$A1226&amp;"|"&amp;$B1226&amp;"|"&amp;$C1226&amp;"|"&amp;$D1226)</f>
        <v/>
      </c>
    </row>
    <row r="1227">
      <c r="H1227" s="58">
        <f>IF($A1227="","",$A1227&amp;"|"&amp;$B1227&amp;"|"&amp;$C1227&amp;"|"&amp;$D1227)</f>
        <v/>
      </c>
    </row>
    <row r="1228">
      <c r="H1228" s="58">
        <f>IF($A1228="","",$A1228&amp;"|"&amp;$B1228&amp;"|"&amp;$C1228&amp;"|"&amp;$D1228)</f>
        <v/>
      </c>
    </row>
    <row r="1229">
      <c r="H1229" s="58">
        <f>IF($A1229="","",$A1229&amp;"|"&amp;$B1229&amp;"|"&amp;$C1229&amp;"|"&amp;$D1229)</f>
        <v/>
      </c>
    </row>
    <row r="1230">
      <c r="H1230" s="58">
        <f>IF($A1230="","",$A1230&amp;"|"&amp;$B1230&amp;"|"&amp;$C1230&amp;"|"&amp;$D1230)</f>
        <v/>
      </c>
    </row>
    <row r="1231">
      <c r="H1231" s="58">
        <f>IF($A1231="","",$A1231&amp;"|"&amp;$B1231&amp;"|"&amp;$C1231&amp;"|"&amp;$D1231)</f>
        <v/>
      </c>
    </row>
    <row r="1232">
      <c r="H1232" s="58">
        <f>IF($A1232="","",$A1232&amp;"|"&amp;$B1232&amp;"|"&amp;$C1232&amp;"|"&amp;$D1232)</f>
        <v/>
      </c>
    </row>
    <row r="1233">
      <c r="H1233" s="58">
        <f>IF($A1233="","",$A1233&amp;"|"&amp;$B1233&amp;"|"&amp;$C1233&amp;"|"&amp;$D1233)</f>
        <v/>
      </c>
    </row>
    <row r="1234">
      <c r="H1234" s="58">
        <f>IF($A1234="","",$A1234&amp;"|"&amp;$B1234&amp;"|"&amp;$C1234&amp;"|"&amp;$D1234)</f>
        <v/>
      </c>
    </row>
    <row r="1235">
      <c r="H1235" s="58">
        <f>IF($A1235="","",$A1235&amp;"|"&amp;$B1235&amp;"|"&amp;$C1235&amp;"|"&amp;$D1235)</f>
        <v/>
      </c>
    </row>
    <row r="1236">
      <c r="H1236" s="58">
        <f>IF($A1236="","",$A1236&amp;"|"&amp;$B1236&amp;"|"&amp;$C1236&amp;"|"&amp;$D1236)</f>
        <v/>
      </c>
    </row>
    <row r="1237">
      <c r="H1237" s="58">
        <f>IF($A1237="","",$A1237&amp;"|"&amp;$B1237&amp;"|"&amp;$C1237&amp;"|"&amp;$D1237)</f>
        <v/>
      </c>
    </row>
    <row r="1238">
      <c r="H1238" s="58">
        <f>IF($A1238="","",$A1238&amp;"|"&amp;$B1238&amp;"|"&amp;$C1238&amp;"|"&amp;$D1238)</f>
        <v/>
      </c>
    </row>
    <row r="1239">
      <c r="H1239" s="58">
        <f>IF($A1239="","",$A1239&amp;"|"&amp;$B1239&amp;"|"&amp;$C1239&amp;"|"&amp;$D1239)</f>
        <v/>
      </c>
    </row>
    <row r="1240">
      <c r="H1240" s="58">
        <f>IF($A1240="","",$A1240&amp;"|"&amp;$B1240&amp;"|"&amp;$C1240&amp;"|"&amp;$D1240)</f>
        <v/>
      </c>
    </row>
    <row r="1241">
      <c r="H1241" s="58">
        <f>IF($A1241="","",$A1241&amp;"|"&amp;$B1241&amp;"|"&amp;$C1241&amp;"|"&amp;$D1241)</f>
        <v/>
      </c>
    </row>
    <row r="1242">
      <c r="H1242" s="58">
        <f>IF($A1242="","",$A1242&amp;"|"&amp;$B1242&amp;"|"&amp;$C1242&amp;"|"&amp;$D1242)</f>
        <v/>
      </c>
    </row>
    <row r="1243">
      <c r="H1243" s="58">
        <f>IF($A1243="","",$A1243&amp;"|"&amp;$B1243&amp;"|"&amp;$C1243&amp;"|"&amp;$D1243)</f>
        <v/>
      </c>
    </row>
    <row r="1244">
      <c r="H1244" s="58">
        <f>IF($A1244="","",$A1244&amp;"|"&amp;$B1244&amp;"|"&amp;$C1244&amp;"|"&amp;$D1244)</f>
        <v/>
      </c>
    </row>
    <row r="1245">
      <c r="H1245" s="58">
        <f>IF($A1245="","",$A1245&amp;"|"&amp;$B1245&amp;"|"&amp;$C1245&amp;"|"&amp;$D1245)</f>
        <v/>
      </c>
    </row>
    <row r="1246">
      <c r="H1246" s="58">
        <f>IF($A1246="","",$A1246&amp;"|"&amp;$B1246&amp;"|"&amp;$C1246&amp;"|"&amp;$D1246)</f>
        <v/>
      </c>
    </row>
    <row r="1247">
      <c r="H1247" s="58">
        <f>IF($A1247="","",$A1247&amp;"|"&amp;$B1247&amp;"|"&amp;$C1247&amp;"|"&amp;$D1247)</f>
        <v/>
      </c>
    </row>
    <row r="1248">
      <c r="H1248" s="58">
        <f>IF($A1248="","",$A1248&amp;"|"&amp;$B1248&amp;"|"&amp;$C1248&amp;"|"&amp;$D1248)</f>
        <v/>
      </c>
    </row>
    <row r="1249">
      <c r="H1249" s="58">
        <f>IF($A1249="","",$A1249&amp;"|"&amp;$B1249&amp;"|"&amp;$C1249&amp;"|"&amp;$D1249)</f>
        <v/>
      </c>
    </row>
    <row r="1250">
      <c r="H1250" s="58">
        <f>IF($A1250="","",$A1250&amp;"|"&amp;$B1250&amp;"|"&amp;$C1250&amp;"|"&amp;$D1250)</f>
        <v/>
      </c>
    </row>
    <row r="1251">
      <c r="H1251" s="58">
        <f>IF($A1251="","",$A1251&amp;"|"&amp;$B1251&amp;"|"&amp;$C1251&amp;"|"&amp;$D1251)</f>
        <v/>
      </c>
    </row>
    <row r="1252">
      <c r="H1252" s="58">
        <f>IF($A1252="","",$A1252&amp;"|"&amp;$B1252&amp;"|"&amp;$C1252&amp;"|"&amp;$D1252)</f>
        <v/>
      </c>
    </row>
    <row r="1253">
      <c r="H1253" s="58">
        <f>IF($A1253="","",$A1253&amp;"|"&amp;$B1253&amp;"|"&amp;$C1253&amp;"|"&amp;$D1253)</f>
        <v/>
      </c>
    </row>
    <row r="1254">
      <c r="H1254" s="58">
        <f>IF($A1254="","",$A1254&amp;"|"&amp;$B1254&amp;"|"&amp;$C1254&amp;"|"&amp;$D1254)</f>
        <v/>
      </c>
    </row>
    <row r="1255">
      <c r="H1255" s="58">
        <f>IF($A1255="","",$A1255&amp;"|"&amp;$B1255&amp;"|"&amp;$C1255&amp;"|"&amp;$D1255)</f>
        <v/>
      </c>
    </row>
    <row r="1256">
      <c r="H1256" s="58">
        <f>IF($A1256="","",$A1256&amp;"|"&amp;$B1256&amp;"|"&amp;$C1256&amp;"|"&amp;$D1256)</f>
        <v/>
      </c>
    </row>
    <row r="1257">
      <c r="H1257" s="58">
        <f>IF($A1257="","",$A1257&amp;"|"&amp;$B1257&amp;"|"&amp;$C1257&amp;"|"&amp;$D1257)</f>
        <v/>
      </c>
    </row>
    <row r="1258">
      <c r="H1258" s="58">
        <f>IF($A1258="","",$A1258&amp;"|"&amp;$B1258&amp;"|"&amp;$C1258&amp;"|"&amp;$D1258)</f>
        <v/>
      </c>
    </row>
    <row r="1259">
      <c r="H1259" s="58">
        <f>IF($A1259="","",$A1259&amp;"|"&amp;$B1259&amp;"|"&amp;$C1259&amp;"|"&amp;$D1259)</f>
        <v/>
      </c>
    </row>
    <row r="1260">
      <c r="H1260" s="58">
        <f>IF($A1260="","",$A1260&amp;"|"&amp;$B1260&amp;"|"&amp;$C1260&amp;"|"&amp;$D1260)</f>
        <v/>
      </c>
    </row>
    <row r="1261">
      <c r="H1261" s="58">
        <f>IF($A1261="","",$A1261&amp;"|"&amp;$B1261&amp;"|"&amp;$C1261&amp;"|"&amp;$D1261)</f>
        <v/>
      </c>
    </row>
    <row r="1262">
      <c r="H1262" s="58">
        <f>IF($A1262="","",$A1262&amp;"|"&amp;$B1262&amp;"|"&amp;$C1262&amp;"|"&amp;$D1262)</f>
        <v/>
      </c>
    </row>
    <row r="1263">
      <c r="H1263" s="58">
        <f>IF($A1263="","",$A1263&amp;"|"&amp;$B1263&amp;"|"&amp;$C1263&amp;"|"&amp;$D1263)</f>
        <v/>
      </c>
    </row>
    <row r="1264">
      <c r="H1264" s="58">
        <f>IF($A1264="","",$A1264&amp;"|"&amp;$B1264&amp;"|"&amp;$C1264&amp;"|"&amp;$D1264)</f>
        <v/>
      </c>
    </row>
    <row r="1265">
      <c r="H1265" s="58">
        <f>IF($A1265="","",$A1265&amp;"|"&amp;$B1265&amp;"|"&amp;$C1265&amp;"|"&amp;$D1265)</f>
        <v/>
      </c>
    </row>
    <row r="1266">
      <c r="H1266" s="58">
        <f>IF($A1266="","",$A1266&amp;"|"&amp;$B1266&amp;"|"&amp;$C1266&amp;"|"&amp;$D1266)</f>
        <v/>
      </c>
    </row>
    <row r="1267">
      <c r="H1267" s="58">
        <f>IF($A1267="","",$A1267&amp;"|"&amp;$B1267&amp;"|"&amp;$C1267&amp;"|"&amp;$D1267)</f>
        <v/>
      </c>
    </row>
    <row r="1268">
      <c r="H1268" s="58">
        <f>IF($A1268="","",$A1268&amp;"|"&amp;$B1268&amp;"|"&amp;$C1268&amp;"|"&amp;$D1268)</f>
        <v/>
      </c>
    </row>
    <row r="1269">
      <c r="H1269" s="58">
        <f>IF($A1269="","",$A1269&amp;"|"&amp;$B1269&amp;"|"&amp;$C1269&amp;"|"&amp;$D1269)</f>
        <v/>
      </c>
    </row>
    <row r="1270">
      <c r="H1270" s="58">
        <f>IF($A1270="","",$A1270&amp;"|"&amp;$B1270&amp;"|"&amp;$C1270&amp;"|"&amp;$D1270)</f>
        <v/>
      </c>
    </row>
    <row r="1271">
      <c r="H1271" s="58">
        <f>IF($A1271="","",$A1271&amp;"|"&amp;$B1271&amp;"|"&amp;$C1271&amp;"|"&amp;$D1271)</f>
        <v/>
      </c>
    </row>
    <row r="1272">
      <c r="H1272" s="58">
        <f>IF($A1272="","",$A1272&amp;"|"&amp;$B1272&amp;"|"&amp;$C1272&amp;"|"&amp;$D1272)</f>
        <v/>
      </c>
    </row>
    <row r="1273">
      <c r="H1273" s="58">
        <f>IF($A1273="","",$A1273&amp;"|"&amp;$B1273&amp;"|"&amp;$C1273&amp;"|"&amp;$D1273)</f>
        <v/>
      </c>
    </row>
    <row r="1274">
      <c r="H1274" s="58">
        <f>IF($A1274="","",$A1274&amp;"|"&amp;$B1274&amp;"|"&amp;$C1274&amp;"|"&amp;$D1274)</f>
        <v/>
      </c>
    </row>
    <row r="1275">
      <c r="H1275" s="58">
        <f>IF($A1275="","",$A1275&amp;"|"&amp;$B1275&amp;"|"&amp;$C1275&amp;"|"&amp;$D1275)</f>
        <v/>
      </c>
    </row>
    <row r="1276">
      <c r="H1276" s="58">
        <f>IF($A1276="","",$A1276&amp;"|"&amp;$B1276&amp;"|"&amp;$C1276&amp;"|"&amp;$D1276)</f>
        <v/>
      </c>
    </row>
    <row r="1277">
      <c r="H1277" s="58">
        <f>IF($A1277="","",$A1277&amp;"|"&amp;$B1277&amp;"|"&amp;$C1277&amp;"|"&amp;$D1277)</f>
        <v/>
      </c>
    </row>
    <row r="1278">
      <c r="H1278" s="58">
        <f>IF($A1278="","",$A1278&amp;"|"&amp;$B1278&amp;"|"&amp;$C1278&amp;"|"&amp;$D1278)</f>
        <v/>
      </c>
    </row>
    <row r="1279">
      <c r="H1279" s="58">
        <f>IF($A1279="","",$A1279&amp;"|"&amp;$B1279&amp;"|"&amp;$C1279&amp;"|"&amp;$D1279)</f>
        <v/>
      </c>
    </row>
    <row r="1280">
      <c r="H1280" s="58">
        <f>IF($A1280="","",$A1280&amp;"|"&amp;$B1280&amp;"|"&amp;$C1280&amp;"|"&amp;$D1280)</f>
        <v/>
      </c>
    </row>
    <row r="1281">
      <c r="H1281" s="58">
        <f>IF($A1281="","",$A1281&amp;"|"&amp;$B1281&amp;"|"&amp;$C1281&amp;"|"&amp;$D1281)</f>
        <v/>
      </c>
    </row>
    <row r="1282">
      <c r="H1282" s="58">
        <f>IF($A1282="","",$A1282&amp;"|"&amp;$B1282&amp;"|"&amp;$C1282&amp;"|"&amp;$D1282)</f>
        <v/>
      </c>
    </row>
    <row r="1283">
      <c r="H1283" s="58">
        <f>IF($A1283="","",$A1283&amp;"|"&amp;$B1283&amp;"|"&amp;$C1283&amp;"|"&amp;$D1283)</f>
        <v/>
      </c>
    </row>
    <row r="1284">
      <c r="H1284" s="58">
        <f>IF($A1284="","",$A1284&amp;"|"&amp;$B1284&amp;"|"&amp;$C1284&amp;"|"&amp;$D1284)</f>
        <v/>
      </c>
    </row>
    <row r="1285">
      <c r="H1285" s="58">
        <f>IF($A1285="","",$A1285&amp;"|"&amp;$B1285&amp;"|"&amp;$C1285&amp;"|"&amp;$D1285)</f>
        <v/>
      </c>
    </row>
    <row r="1286">
      <c r="H1286" s="58">
        <f>IF($A1286="","",$A1286&amp;"|"&amp;$B1286&amp;"|"&amp;$C1286&amp;"|"&amp;$D1286)</f>
        <v/>
      </c>
    </row>
    <row r="1287">
      <c r="H1287" s="58">
        <f>IF($A1287="","",$A1287&amp;"|"&amp;$B1287&amp;"|"&amp;$C1287&amp;"|"&amp;$D1287)</f>
        <v/>
      </c>
    </row>
    <row r="1288">
      <c r="H1288" s="58">
        <f>IF($A1288="","",$A1288&amp;"|"&amp;$B1288&amp;"|"&amp;$C1288&amp;"|"&amp;$D1288)</f>
        <v/>
      </c>
    </row>
    <row r="1289">
      <c r="H1289" s="58">
        <f>IF($A1289="","",$A1289&amp;"|"&amp;$B1289&amp;"|"&amp;$C1289&amp;"|"&amp;$D1289)</f>
        <v/>
      </c>
    </row>
    <row r="1290">
      <c r="H1290" s="58">
        <f>IF($A1290="","",$A1290&amp;"|"&amp;$B1290&amp;"|"&amp;$C1290&amp;"|"&amp;$D1290)</f>
        <v/>
      </c>
    </row>
    <row r="1291">
      <c r="H1291" s="58">
        <f>IF($A1291="","",$A1291&amp;"|"&amp;$B1291&amp;"|"&amp;$C1291&amp;"|"&amp;$D1291)</f>
        <v/>
      </c>
    </row>
    <row r="1292">
      <c r="H1292" s="58">
        <f>IF($A1292="","",$A1292&amp;"|"&amp;$B1292&amp;"|"&amp;$C1292&amp;"|"&amp;$D1292)</f>
        <v/>
      </c>
    </row>
    <row r="1293">
      <c r="H1293" s="58">
        <f>IF($A1293="","",$A1293&amp;"|"&amp;$B1293&amp;"|"&amp;$C1293&amp;"|"&amp;$D1293)</f>
        <v/>
      </c>
    </row>
    <row r="1294">
      <c r="H1294" s="58">
        <f>IF($A1294="","",$A1294&amp;"|"&amp;$B1294&amp;"|"&amp;$C1294&amp;"|"&amp;$D1294)</f>
        <v/>
      </c>
    </row>
    <row r="1295">
      <c r="H1295" s="58">
        <f>IF($A1295="","",$A1295&amp;"|"&amp;$B1295&amp;"|"&amp;$C1295&amp;"|"&amp;$D1295)</f>
        <v/>
      </c>
    </row>
    <row r="1296">
      <c r="H1296" s="58">
        <f>IF($A1296="","",$A1296&amp;"|"&amp;$B1296&amp;"|"&amp;$C1296&amp;"|"&amp;$D1296)</f>
        <v/>
      </c>
    </row>
    <row r="1297">
      <c r="H1297" s="58">
        <f>IF($A1297="","",$A1297&amp;"|"&amp;$B1297&amp;"|"&amp;$C1297&amp;"|"&amp;$D1297)</f>
        <v/>
      </c>
    </row>
    <row r="1298">
      <c r="H1298" s="58">
        <f>IF($A1298="","",$A1298&amp;"|"&amp;$B1298&amp;"|"&amp;$C1298&amp;"|"&amp;$D1298)</f>
        <v/>
      </c>
    </row>
    <row r="1299">
      <c r="H1299" s="58">
        <f>IF($A1299="","",$A1299&amp;"|"&amp;$B1299&amp;"|"&amp;$C1299&amp;"|"&amp;$D1299)</f>
        <v/>
      </c>
    </row>
    <row r="1300">
      <c r="H1300" s="58">
        <f>IF($A1300="","",$A1300&amp;"|"&amp;$B1300&amp;"|"&amp;$C1300&amp;"|"&amp;$D1300)</f>
        <v/>
      </c>
    </row>
    <row r="1301">
      <c r="H1301" s="58">
        <f>IF($A1301="","",$A1301&amp;"|"&amp;$B1301&amp;"|"&amp;$C1301&amp;"|"&amp;$D1301)</f>
        <v/>
      </c>
    </row>
    <row r="1302">
      <c r="H1302" s="58">
        <f>IF($A1302="","",$A1302&amp;"|"&amp;$B1302&amp;"|"&amp;$C1302&amp;"|"&amp;$D1302)</f>
        <v/>
      </c>
    </row>
    <row r="1303">
      <c r="H1303" s="58">
        <f>IF($A1303="","",$A1303&amp;"|"&amp;$B1303&amp;"|"&amp;$C1303&amp;"|"&amp;$D1303)</f>
        <v/>
      </c>
    </row>
    <row r="1304">
      <c r="H1304" s="58">
        <f>IF($A1304="","",$A1304&amp;"|"&amp;$B1304&amp;"|"&amp;$C1304&amp;"|"&amp;$D1304)</f>
        <v/>
      </c>
    </row>
    <row r="1305">
      <c r="H1305" s="58">
        <f>IF($A1305="","",$A1305&amp;"|"&amp;$B1305&amp;"|"&amp;$C1305&amp;"|"&amp;$D1305)</f>
        <v/>
      </c>
    </row>
    <row r="1306">
      <c r="H1306" s="58">
        <f>IF($A1306="","",$A1306&amp;"|"&amp;$B1306&amp;"|"&amp;$C1306&amp;"|"&amp;$D1306)</f>
        <v/>
      </c>
    </row>
    <row r="1307">
      <c r="H1307" s="58">
        <f>IF($A1307="","",$A1307&amp;"|"&amp;$B1307&amp;"|"&amp;$C1307&amp;"|"&amp;$D1307)</f>
        <v/>
      </c>
    </row>
    <row r="1308">
      <c r="H1308" s="58">
        <f>IF($A1308="","",$A1308&amp;"|"&amp;$B1308&amp;"|"&amp;$C1308&amp;"|"&amp;$D1308)</f>
        <v/>
      </c>
    </row>
    <row r="1309">
      <c r="H1309" s="58">
        <f>IF($A1309="","",$A1309&amp;"|"&amp;$B1309&amp;"|"&amp;$C1309&amp;"|"&amp;$D1309)</f>
        <v/>
      </c>
    </row>
    <row r="1310">
      <c r="H1310" s="58">
        <f>IF($A1310="","",$A1310&amp;"|"&amp;$B1310&amp;"|"&amp;$C1310&amp;"|"&amp;$D1310)</f>
        <v/>
      </c>
    </row>
    <row r="1311">
      <c r="H1311" s="58">
        <f>IF($A1311="","",$A1311&amp;"|"&amp;$B1311&amp;"|"&amp;$C1311&amp;"|"&amp;$D1311)</f>
        <v/>
      </c>
    </row>
    <row r="1312">
      <c r="H1312" s="58">
        <f>IF($A1312="","",$A1312&amp;"|"&amp;$B1312&amp;"|"&amp;$C1312&amp;"|"&amp;$D1312)</f>
        <v/>
      </c>
    </row>
    <row r="1313">
      <c r="H1313" s="58">
        <f>IF($A1313="","",$A1313&amp;"|"&amp;$B1313&amp;"|"&amp;$C1313&amp;"|"&amp;$D1313)</f>
        <v/>
      </c>
    </row>
    <row r="1314">
      <c r="H1314" s="58">
        <f>IF($A1314="","",$A1314&amp;"|"&amp;$B1314&amp;"|"&amp;$C1314&amp;"|"&amp;$D1314)</f>
        <v/>
      </c>
    </row>
    <row r="1315">
      <c r="H1315" s="58">
        <f>IF($A1315="","",$A1315&amp;"|"&amp;$B1315&amp;"|"&amp;$C1315&amp;"|"&amp;$D1315)</f>
        <v/>
      </c>
    </row>
    <row r="1316">
      <c r="H1316" s="58">
        <f>IF($A1316="","",$A1316&amp;"|"&amp;$B1316&amp;"|"&amp;$C1316&amp;"|"&amp;$D1316)</f>
        <v/>
      </c>
    </row>
    <row r="1317">
      <c r="H1317" s="58">
        <f>IF($A1317="","",$A1317&amp;"|"&amp;$B1317&amp;"|"&amp;$C1317&amp;"|"&amp;$D1317)</f>
        <v/>
      </c>
    </row>
    <row r="1318">
      <c r="H1318" s="58">
        <f>IF($A1318="","",$A1318&amp;"|"&amp;$B1318&amp;"|"&amp;$C1318&amp;"|"&amp;$D1318)</f>
        <v/>
      </c>
    </row>
    <row r="1319">
      <c r="H1319" s="58">
        <f>IF($A1319="","",$A1319&amp;"|"&amp;$B1319&amp;"|"&amp;$C1319&amp;"|"&amp;$D1319)</f>
        <v/>
      </c>
    </row>
    <row r="1320">
      <c r="H1320" s="58">
        <f>IF($A1320="","",$A1320&amp;"|"&amp;$B1320&amp;"|"&amp;$C1320&amp;"|"&amp;$D1320)</f>
        <v/>
      </c>
    </row>
    <row r="1321">
      <c r="H1321" s="58">
        <f>IF($A1321="","",$A1321&amp;"|"&amp;$B1321&amp;"|"&amp;$C1321&amp;"|"&amp;$D1321)</f>
        <v/>
      </c>
    </row>
    <row r="1322">
      <c r="H1322" s="58">
        <f>IF($A1322="","",$A1322&amp;"|"&amp;$B1322&amp;"|"&amp;$C1322&amp;"|"&amp;$D1322)</f>
        <v/>
      </c>
    </row>
    <row r="1323">
      <c r="H1323" s="58">
        <f>IF($A1323="","",$A1323&amp;"|"&amp;$B1323&amp;"|"&amp;$C1323&amp;"|"&amp;$D1323)</f>
        <v/>
      </c>
    </row>
    <row r="1324">
      <c r="H1324" s="58">
        <f>IF($A1324="","",$A1324&amp;"|"&amp;$B1324&amp;"|"&amp;$C1324&amp;"|"&amp;$D1324)</f>
        <v/>
      </c>
    </row>
    <row r="1325">
      <c r="H1325" s="58">
        <f>IF($A1325="","",$A1325&amp;"|"&amp;$B1325&amp;"|"&amp;$C1325&amp;"|"&amp;$D1325)</f>
        <v/>
      </c>
    </row>
    <row r="1326">
      <c r="H1326" s="58">
        <f>IF($A1326="","",$A1326&amp;"|"&amp;$B1326&amp;"|"&amp;$C1326&amp;"|"&amp;$D1326)</f>
        <v/>
      </c>
    </row>
    <row r="1327">
      <c r="H1327" s="58">
        <f>IF($A1327="","",$A1327&amp;"|"&amp;$B1327&amp;"|"&amp;$C1327&amp;"|"&amp;$D1327)</f>
        <v/>
      </c>
    </row>
    <row r="1328">
      <c r="H1328" s="58">
        <f>IF($A1328="","",$A1328&amp;"|"&amp;$B1328&amp;"|"&amp;$C1328&amp;"|"&amp;$D1328)</f>
        <v/>
      </c>
    </row>
    <row r="1329">
      <c r="H1329" s="58">
        <f>IF($A1329="","",$A1329&amp;"|"&amp;$B1329&amp;"|"&amp;$C1329&amp;"|"&amp;$D1329)</f>
        <v/>
      </c>
    </row>
    <row r="1330">
      <c r="H1330" s="58">
        <f>IF($A1330="","",$A1330&amp;"|"&amp;$B1330&amp;"|"&amp;$C1330&amp;"|"&amp;$D1330)</f>
        <v/>
      </c>
    </row>
    <row r="1331">
      <c r="H1331" s="58">
        <f>IF($A1331="","",$A1331&amp;"|"&amp;$B1331&amp;"|"&amp;$C1331&amp;"|"&amp;$D1331)</f>
        <v/>
      </c>
    </row>
    <row r="1332">
      <c r="H1332" s="58">
        <f>IF($A1332="","",$A1332&amp;"|"&amp;$B1332&amp;"|"&amp;$C1332&amp;"|"&amp;$D1332)</f>
        <v/>
      </c>
    </row>
    <row r="1333">
      <c r="H1333" s="58">
        <f>IF($A1333="","",$A1333&amp;"|"&amp;$B1333&amp;"|"&amp;$C1333&amp;"|"&amp;$D1333)</f>
        <v/>
      </c>
    </row>
    <row r="1334">
      <c r="H1334" s="58">
        <f>IF($A1334="","",$A1334&amp;"|"&amp;$B1334&amp;"|"&amp;$C1334&amp;"|"&amp;$D1334)</f>
        <v/>
      </c>
    </row>
    <row r="1335">
      <c r="H1335" s="58">
        <f>IF($A1335="","",$A1335&amp;"|"&amp;$B1335&amp;"|"&amp;$C1335&amp;"|"&amp;$D1335)</f>
        <v/>
      </c>
    </row>
    <row r="1336">
      <c r="H1336" s="58">
        <f>IF($A1336="","",$A1336&amp;"|"&amp;$B1336&amp;"|"&amp;$C1336&amp;"|"&amp;$D1336)</f>
        <v/>
      </c>
    </row>
    <row r="1337">
      <c r="H1337" s="58">
        <f>IF($A1337="","",$A1337&amp;"|"&amp;$B1337&amp;"|"&amp;$C1337&amp;"|"&amp;$D1337)</f>
        <v/>
      </c>
    </row>
    <row r="1338">
      <c r="H1338" s="58">
        <f>IF($A1338="","",$A1338&amp;"|"&amp;$B1338&amp;"|"&amp;$C1338&amp;"|"&amp;$D1338)</f>
        <v/>
      </c>
    </row>
    <row r="1339">
      <c r="H1339" s="58">
        <f>IF($A1339="","",$A1339&amp;"|"&amp;$B1339&amp;"|"&amp;$C1339&amp;"|"&amp;$D1339)</f>
        <v/>
      </c>
    </row>
    <row r="1340">
      <c r="H1340" s="58">
        <f>IF($A1340="","",$A1340&amp;"|"&amp;$B1340&amp;"|"&amp;$C1340&amp;"|"&amp;$D1340)</f>
        <v/>
      </c>
    </row>
    <row r="1341">
      <c r="H1341" s="58">
        <f>IF($A1341="","",$A1341&amp;"|"&amp;$B1341&amp;"|"&amp;$C1341&amp;"|"&amp;$D1341)</f>
        <v/>
      </c>
    </row>
    <row r="1342">
      <c r="H1342" s="58">
        <f>IF($A1342="","",$A1342&amp;"|"&amp;$B1342&amp;"|"&amp;$C1342&amp;"|"&amp;$D1342)</f>
        <v/>
      </c>
    </row>
    <row r="1343">
      <c r="H1343" s="58">
        <f>IF($A1343="","",$A1343&amp;"|"&amp;$B1343&amp;"|"&amp;$C1343&amp;"|"&amp;$D1343)</f>
        <v/>
      </c>
    </row>
    <row r="1344">
      <c r="H1344" s="58">
        <f>IF($A1344="","",$A1344&amp;"|"&amp;$B1344&amp;"|"&amp;$C1344&amp;"|"&amp;$D1344)</f>
        <v/>
      </c>
    </row>
    <row r="1345">
      <c r="H1345" s="58">
        <f>IF($A1345="","",$A1345&amp;"|"&amp;$B1345&amp;"|"&amp;$C1345&amp;"|"&amp;$D1345)</f>
        <v/>
      </c>
    </row>
    <row r="1346">
      <c r="H1346" s="58">
        <f>IF($A1346="","",$A1346&amp;"|"&amp;$B1346&amp;"|"&amp;$C1346&amp;"|"&amp;$D1346)</f>
        <v/>
      </c>
    </row>
    <row r="1347">
      <c r="H1347" s="58">
        <f>IF($A1347="","",$A1347&amp;"|"&amp;$B1347&amp;"|"&amp;$C1347&amp;"|"&amp;$D1347)</f>
        <v/>
      </c>
    </row>
    <row r="1348">
      <c r="H1348" s="58">
        <f>IF($A1348="","",$A1348&amp;"|"&amp;$B1348&amp;"|"&amp;$C1348&amp;"|"&amp;$D1348)</f>
        <v/>
      </c>
    </row>
    <row r="1349">
      <c r="H1349" s="58">
        <f>IF($A1349="","",$A1349&amp;"|"&amp;$B1349&amp;"|"&amp;$C1349&amp;"|"&amp;$D1349)</f>
        <v/>
      </c>
    </row>
    <row r="1350">
      <c r="H1350" s="58">
        <f>IF($A1350="","",$A1350&amp;"|"&amp;$B1350&amp;"|"&amp;$C1350&amp;"|"&amp;$D1350)</f>
        <v/>
      </c>
    </row>
    <row r="1351">
      <c r="H1351" s="58">
        <f>IF($A1351="","",$A1351&amp;"|"&amp;$B1351&amp;"|"&amp;$C1351&amp;"|"&amp;$D1351)</f>
        <v/>
      </c>
    </row>
    <row r="1352">
      <c r="H1352" s="58">
        <f>IF($A1352="","",$A1352&amp;"|"&amp;$B1352&amp;"|"&amp;$C1352&amp;"|"&amp;$D1352)</f>
        <v/>
      </c>
    </row>
    <row r="1353">
      <c r="H1353" s="58">
        <f>IF($A1353="","",$A1353&amp;"|"&amp;$B1353&amp;"|"&amp;$C1353&amp;"|"&amp;$D1353)</f>
        <v/>
      </c>
    </row>
    <row r="1354">
      <c r="H1354" s="58">
        <f>IF($A1354="","",$A1354&amp;"|"&amp;$B1354&amp;"|"&amp;$C1354&amp;"|"&amp;$D1354)</f>
        <v/>
      </c>
    </row>
    <row r="1355">
      <c r="H1355" s="58">
        <f>IF($A1355="","",$A1355&amp;"|"&amp;$B1355&amp;"|"&amp;$C1355&amp;"|"&amp;$D1355)</f>
        <v/>
      </c>
    </row>
    <row r="1356">
      <c r="H1356" s="58">
        <f>IF($A1356="","",$A1356&amp;"|"&amp;$B1356&amp;"|"&amp;$C1356&amp;"|"&amp;$D1356)</f>
        <v/>
      </c>
    </row>
    <row r="1357">
      <c r="H1357" s="58">
        <f>IF($A1357="","",$A1357&amp;"|"&amp;$B1357&amp;"|"&amp;$C1357&amp;"|"&amp;$D1357)</f>
        <v/>
      </c>
    </row>
    <row r="1358">
      <c r="H1358" s="58">
        <f>IF($A1358="","",$A1358&amp;"|"&amp;$B1358&amp;"|"&amp;$C1358&amp;"|"&amp;$D1358)</f>
        <v/>
      </c>
    </row>
    <row r="1359">
      <c r="H1359" s="58">
        <f>IF($A1359="","",$A1359&amp;"|"&amp;$B1359&amp;"|"&amp;$C1359&amp;"|"&amp;$D1359)</f>
        <v/>
      </c>
    </row>
    <row r="1360">
      <c r="H1360" s="58">
        <f>IF($A1360="","",$A1360&amp;"|"&amp;$B1360&amp;"|"&amp;$C1360&amp;"|"&amp;$D1360)</f>
        <v/>
      </c>
    </row>
    <row r="1361">
      <c r="H1361" s="58">
        <f>IF($A1361="","",$A1361&amp;"|"&amp;$B1361&amp;"|"&amp;$C1361&amp;"|"&amp;$D1361)</f>
        <v/>
      </c>
    </row>
    <row r="1362">
      <c r="H1362" s="58">
        <f>IF($A1362="","",$A1362&amp;"|"&amp;$B1362&amp;"|"&amp;$C1362&amp;"|"&amp;$D1362)</f>
        <v/>
      </c>
    </row>
    <row r="1363">
      <c r="H1363" s="58">
        <f>IF($A1363="","",$A1363&amp;"|"&amp;$B1363&amp;"|"&amp;$C1363&amp;"|"&amp;$D1363)</f>
        <v/>
      </c>
    </row>
    <row r="1364">
      <c r="H1364" s="58">
        <f>IF($A1364="","",$A1364&amp;"|"&amp;$B1364&amp;"|"&amp;$C1364&amp;"|"&amp;$D1364)</f>
        <v/>
      </c>
    </row>
    <row r="1365">
      <c r="H1365" s="58">
        <f>IF($A1365="","",$A1365&amp;"|"&amp;$B1365&amp;"|"&amp;$C1365&amp;"|"&amp;$D1365)</f>
        <v/>
      </c>
    </row>
    <row r="1366">
      <c r="H1366" s="58">
        <f>IF($A1366="","",$A1366&amp;"|"&amp;$B1366&amp;"|"&amp;$C1366&amp;"|"&amp;$D1366)</f>
        <v/>
      </c>
    </row>
    <row r="1367">
      <c r="H1367" s="58">
        <f>IF($A1367="","",$A1367&amp;"|"&amp;$B1367&amp;"|"&amp;$C1367&amp;"|"&amp;$D1367)</f>
        <v/>
      </c>
    </row>
    <row r="1368">
      <c r="H1368" s="58">
        <f>IF($A1368="","",$A1368&amp;"|"&amp;$B1368&amp;"|"&amp;$C1368&amp;"|"&amp;$D1368)</f>
        <v/>
      </c>
    </row>
    <row r="1369">
      <c r="H1369" s="58">
        <f>IF($A1369="","",$A1369&amp;"|"&amp;$B1369&amp;"|"&amp;$C1369&amp;"|"&amp;$D1369)</f>
        <v/>
      </c>
    </row>
    <row r="1370">
      <c r="H1370" s="58">
        <f>IF($A1370="","",$A1370&amp;"|"&amp;$B1370&amp;"|"&amp;$C1370&amp;"|"&amp;$D1370)</f>
        <v/>
      </c>
    </row>
    <row r="1371">
      <c r="H1371" s="58">
        <f>IF($A1371="","",$A1371&amp;"|"&amp;$B1371&amp;"|"&amp;$C1371&amp;"|"&amp;$D1371)</f>
        <v/>
      </c>
    </row>
    <row r="1372">
      <c r="H1372" s="58">
        <f>IF($A1372="","",$A1372&amp;"|"&amp;$B1372&amp;"|"&amp;$C1372&amp;"|"&amp;$D1372)</f>
        <v/>
      </c>
    </row>
    <row r="1373">
      <c r="H1373" s="58">
        <f>IF($A1373="","",$A1373&amp;"|"&amp;$B1373&amp;"|"&amp;$C1373&amp;"|"&amp;$D1373)</f>
        <v/>
      </c>
    </row>
    <row r="1374">
      <c r="H1374" s="58">
        <f>IF($A1374="","",$A1374&amp;"|"&amp;$B1374&amp;"|"&amp;$C1374&amp;"|"&amp;$D1374)</f>
        <v/>
      </c>
    </row>
    <row r="1375">
      <c r="H1375" s="58">
        <f>IF($A1375="","",$A1375&amp;"|"&amp;$B1375&amp;"|"&amp;$C1375&amp;"|"&amp;$D1375)</f>
        <v/>
      </c>
    </row>
    <row r="1376">
      <c r="H1376" s="58">
        <f>IF($A1376="","",$A1376&amp;"|"&amp;$B1376&amp;"|"&amp;$C1376&amp;"|"&amp;$D1376)</f>
        <v/>
      </c>
    </row>
    <row r="1377">
      <c r="H1377" s="58">
        <f>IF($A1377="","",$A1377&amp;"|"&amp;$B1377&amp;"|"&amp;$C1377&amp;"|"&amp;$D1377)</f>
        <v/>
      </c>
    </row>
    <row r="1378">
      <c r="H1378" s="58">
        <f>IF($A1378="","",$A1378&amp;"|"&amp;$B1378&amp;"|"&amp;$C1378&amp;"|"&amp;$D1378)</f>
        <v/>
      </c>
    </row>
    <row r="1379">
      <c r="H1379" s="58">
        <f>IF($A1379="","",$A1379&amp;"|"&amp;$B1379&amp;"|"&amp;$C1379&amp;"|"&amp;$D1379)</f>
        <v/>
      </c>
    </row>
    <row r="1380">
      <c r="H1380" s="58">
        <f>IF($A1380="","",$A1380&amp;"|"&amp;$B1380&amp;"|"&amp;$C1380&amp;"|"&amp;$D1380)</f>
        <v/>
      </c>
    </row>
    <row r="1381">
      <c r="H1381" s="58">
        <f>IF($A1381="","",$A1381&amp;"|"&amp;$B1381&amp;"|"&amp;$C1381&amp;"|"&amp;$D1381)</f>
        <v/>
      </c>
    </row>
    <row r="1382">
      <c r="H1382" s="58">
        <f>IF($A1382="","",$A1382&amp;"|"&amp;$B1382&amp;"|"&amp;$C1382&amp;"|"&amp;$D1382)</f>
        <v/>
      </c>
    </row>
    <row r="1383">
      <c r="H1383" s="58">
        <f>IF($A1383="","",$A1383&amp;"|"&amp;$B1383&amp;"|"&amp;$C1383&amp;"|"&amp;$D1383)</f>
        <v/>
      </c>
    </row>
    <row r="1384">
      <c r="H1384" s="58">
        <f>IF($A1384="","",$A1384&amp;"|"&amp;$B1384&amp;"|"&amp;$C1384&amp;"|"&amp;$D1384)</f>
        <v/>
      </c>
    </row>
    <row r="1385">
      <c r="H1385" s="58">
        <f>IF($A1385="","",$A1385&amp;"|"&amp;$B1385&amp;"|"&amp;$C1385&amp;"|"&amp;$D1385)</f>
        <v/>
      </c>
    </row>
    <row r="1386">
      <c r="H1386" s="58">
        <f>IF($A1386="","",$A1386&amp;"|"&amp;$B1386&amp;"|"&amp;$C1386&amp;"|"&amp;$D1386)</f>
        <v/>
      </c>
    </row>
    <row r="1387">
      <c r="H1387" s="58">
        <f>IF($A1387="","",$A1387&amp;"|"&amp;$B1387&amp;"|"&amp;$C1387&amp;"|"&amp;$D1387)</f>
        <v/>
      </c>
    </row>
    <row r="1388">
      <c r="H1388" s="58">
        <f>IF($A1388="","",$A1388&amp;"|"&amp;$B1388&amp;"|"&amp;$C1388&amp;"|"&amp;$D1388)</f>
        <v/>
      </c>
    </row>
    <row r="1389">
      <c r="H1389" s="58">
        <f>IF($A1389="","",$A1389&amp;"|"&amp;$B1389&amp;"|"&amp;$C1389&amp;"|"&amp;$D1389)</f>
        <v/>
      </c>
    </row>
    <row r="1390">
      <c r="H1390" s="58">
        <f>IF($A1390="","",$A1390&amp;"|"&amp;$B1390&amp;"|"&amp;$C1390&amp;"|"&amp;$D1390)</f>
        <v/>
      </c>
    </row>
    <row r="1391">
      <c r="H1391" s="58">
        <f>IF($A1391="","",$A1391&amp;"|"&amp;$B1391&amp;"|"&amp;$C1391&amp;"|"&amp;$D1391)</f>
        <v/>
      </c>
    </row>
    <row r="1392">
      <c r="H1392" s="58">
        <f>IF($A1392="","",$A1392&amp;"|"&amp;$B1392&amp;"|"&amp;$C1392&amp;"|"&amp;$D1392)</f>
        <v/>
      </c>
    </row>
    <row r="1393">
      <c r="H1393" s="58">
        <f>IF($A1393="","",$A1393&amp;"|"&amp;$B1393&amp;"|"&amp;$C1393&amp;"|"&amp;$D1393)</f>
        <v/>
      </c>
    </row>
    <row r="1394">
      <c r="H1394" s="58">
        <f>IF($A1394="","",$A1394&amp;"|"&amp;$B1394&amp;"|"&amp;$C1394&amp;"|"&amp;$D1394)</f>
        <v/>
      </c>
    </row>
    <row r="1395">
      <c r="H1395" s="58">
        <f>IF($A1395="","",$A1395&amp;"|"&amp;$B1395&amp;"|"&amp;$C1395&amp;"|"&amp;$D1395)</f>
        <v/>
      </c>
    </row>
    <row r="1396">
      <c r="H1396" s="58">
        <f>IF($A1396="","",$A1396&amp;"|"&amp;$B1396&amp;"|"&amp;$C1396&amp;"|"&amp;$D1396)</f>
        <v/>
      </c>
    </row>
    <row r="1397">
      <c r="H1397" s="58">
        <f>IF($A1397="","",$A1397&amp;"|"&amp;$B1397&amp;"|"&amp;$C1397&amp;"|"&amp;$D1397)</f>
        <v/>
      </c>
    </row>
    <row r="1398">
      <c r="H1398" s="58">
        <f>IF($A1398="","",$A1398&amp;"|"&amp;$B1398&amp;"|"&amp;$C1398&amp;"|"&amp;$D1398)</f>
        <v/>
      </c>
    </row>
    <row r="1399">
      <c r="H1399" s="58">
        <f>IF($A1399="","",$A1399&amp;"|"&amp;$B1399&amp;"|"&amp;$C1399&amp;"|"&amp;$D1399)</f>
        <v/>
      </c>
    </row>
    <row r="1400">
      <c r="H1400" s="58">
        <f>IF($A1400="","",$A1400&amp;"|"&amp;$B1400&amp;"|"&amp;$C1400&amp;"|"&amp;$D1400)</f>
        <v/>
      </c>
    </row>
    <row r="1401">
      <c r="H1401" s="58">
        <f>IF($A1401="","",$A1401&amp;"|"&amp;$B1401&amp;"|"&amp;$C1401&amp;"|"&amp;$D1401)</f>
        <v/>
      </c>
    </row>
    <row r="1402">
      <c r="H1402" s="58">
        <f>IF($A1402="","",$A1402&amp;"|"&amp;$B1402&amp;"|"&amp;$C1402&amp;"|"&amp;$D1402)</f>
        <v/>
      </c>
    </row>
    <row r="1403">
      <c r="H1403" s="58">
        <f>IF($A1403="","",$A1403&amp;"|"&amp;$B1403&amp;"|"&amp;$C1403&amp;"|"&amp;$D1403)</f>
        <v/>
      </c>
    </row>
    <row r="1404">
      <c r="H1404" s="58">
        <f>IF($A1404="","",$A1404&amp;"|"&amp;$B1404&amp;"|"&amp;$C1404&amp;"|"&amp;$D1404)</f>
        <v/>
      </c>
    </row>
    <row r="1405">
      <c r="H1405" s="58">
        <f>IF($A1405="","",$A1405&amp;"|"&amp;$B1405&amp;"|"&amp;$C1405&amp;"|"&amp;$D1405)</f>
        <v/>
      </c>
    </row>
    <row r="1406">
      <c r="H1406" s="58">
        <f>IF($A1406="","",$A1406&amp;"|"&amp;$B1406&amp;"|"&amp;$C1406&amp;"|"&amp;$D1406)</f>
        <v/>
      </c>
    </row>
    <row r="1407">
      <c r="H1407" s="58">
        <f>IF($A1407="","",$A1407&amp;"|"&amp;$B1407&amp;"|"&amp;$C1407&amp;"|"&amp;$D1407)</f>
        <v/>
      </c>
    </row>
    <row r="1408">
      <c r="H1408" s="58">
        <f>IF($A1408="","",$A1408&amp;"|"&amp;$B1408&amp;"|"&amp;$C1408&amp;"|"&amp;$D1408)</f>
        <v/>
      </c>
    </row>
    <row r="1409">
      <c r="H1409" s="58">
        <f>IF($A1409="","",$A1409&amp;"|"&amp;$B1409&amp;"|"&amp;$C1409&amp;"|"&amp;$D1409)</f>
        <v/>
      </c>
    </row>
    <row r="1410">
      <c r="H1410" s="58">
        <f>IF($A1410="","",$A1410&amp;"|"&amp;$B1410&amp;"|"&amp;$C1410&amp;"|"&amp;$D1410)</f>
        <v/>
      </c>
    </row>
    <row r="1411">
      <c r="H1411" s="58">
        <f>IF($A1411="","",$A1411&amp;"|"&amp;$B1411&amp;"|"&amp;$C1411&amp;"|"&amp;$D1411)</f>
        <v/>
      </c>
    </row>
    <row r="1412">
      <c r="H1412" s="58">
        <f>IF($A1412="","",$A1412&amp;"|"&amp;$B1412&amp;"|"&amp;$C1412&amp;"|"&amp;$D1412)</f>
        <v/>
      </c>
    </row>
    <row r="1413">
      <c r="H1413" s="58">
        <f>IF($A1413="","",$A1413&amp;"|"&amp;$B1413&amp;"|"&amp;$C1413&amp;"|"&amp;$D1413)</f>
        <v/>
      </c>
    </row>
    <row r="1414">
      <c r="H1414" s="58">
        <f>IF($A1414="","",$A1414&amp;"|"&amp;$B1414&amp;"|"&amp;$C1414&amp;"|"&amp;$D1414)</f>
        <v/>
      </c>
    </row>
    <row r="1415">
      <c r="H1415" s="58">
        <f>IF($A1415="","",$A1415&amp;"|"&amp;$B1415&amp;"|"&amp;$C1415&amp;"|"&amp;$D1415)</f>
        <v/>
      </c>
    </row>
    <row r="1416">
      <c r="H1416" s="58">
        <f>IF($A1416="","",$A1416&amp;"|"&amp;$B1416&amp;"|"&amp;$C1416&amp;"|"&amp;$D1416)</f>
        <v/>
      </c>
    </row>
    <row r="1417">
      <c r="H1417" s="58">
        <f>IF($A1417="","",$A1417&amp;"|"&amp;$B1417&amp;"|"&amp;$C1417&amp;"|"&amp;$D1417)</f>
        <v/>
      </c>
    </row>
    <row r="1418">
      <c r="H1418" s="58">
        <f>IF($A1418="","",$A1418&amp;"|"&amp;$B1418&amp;"|"&amp;$C1418&amp;"|"&amp;$D1418)</f>
        <v/>
      </c>
    </row>
    <row r="1419">
      <c r="H1419" s="58">
        <f>IF($A1419="","",$A1419&amp;"|"&amp;$B1419&amp;"|"&amp;$C1419&amp;"|"&amp;$D1419)</f>
        <v/>
      </c>
    </row>
    <row r="1420">
      <c r="H1420" s="58">
        <f>IF($A1420="","",$A1420&amp;"|"&amp;$B1420&amp;"|"&amp;$C1420&amp;"|"&amp;$D1420)</f>
        <v/>
      </c>
    </row>
    <row r="1421">
      <c r="H1421" s="58">
        <f>IF($A1421="","",$A1421&amp;"|"&amp;$B1421&amp;"|"&amp;$C1421&amp;"|"&amp;$D1421)</f>
        <v/>
      </c>
    </row>
    <row r="1422">
      <c r="H1422" s="58">
        <f>IF($A1422="","",$A1422&amp;"|"&amp;$B1422&amp;"|"&amp;$C1422&amp;"|"&amp;$D1422)</f>
        <v/>
      </c>
    </row>
    <row r="1423">
      <c r="H1423" s="58">
        <f>IF($A1423="","",$A1423&amp;"|"&amp;$B1423&amp;"|"&amp;$C1423&amp;"|"&amp;$D1423)</f>
        <v/>
      </c>
    </row>
    <row r="1424">
      <c r="H1424" s="58">
        <f>IF($A1424="","",$A1424&amp;"|"&amp;$B1424&amp;"|"&amp;$C1424&amp;"|"&amp;$D1424)</f>
        <v/>
      </c>
    </row>
    <row r="1425">
      <c r="H1425" s="58">
        <f>IF($A1425="","",$A1425&amp;"|"&amp;$B1425&amp;"|"&amp;$C1425&amp;"|"&amp;$D1425)</f>
        <v/>
      </c>
    </row>
    <row r="1426">
      <c r="H1426" s="58">
        <f>IF($A1426="","",$A1426&amp;"|"&amp;$B1426&amp;"|"&amp;$C1426&amp;"|"&amp;$D1426)</f>
        <v/>
      </c>
    </row>
    <row r="1427">
      <c r="H1427" s="58">
        <f>IF($A1427="","",$A1427&amp;"|"&amp;$B1427&amp;"|"&amp;$C1427&amp;"|"&amp;$D1427)</f>
        <v/>
      </c>
    </row>
    <row r="1428">
      <c r="H1428" s="58">
        <f>IF($A1428="","",$A1428&amp;"|"&amp;$B1428&amp;"|"&amp;$C1428&amp;"|"&amp;$D1428)</f>
        <v/>
      </c>
    </row>
    <row r="1429">
      <c r="H1429" s="58">
        <f>IF($A1429="","",$A1429&amp;"|"&amp;$B1429&amp;"|"&amp;$C1429&amp;"|"&amp;$D1429)</f>
        <v/>
      </c>
    </row>
    <row r="1430">
      <c r="H1430" s="58">
        <f>IF($A1430="","",$A1430&amp;"|"&amp;$B1430&amp;"|"&amp;$C1430&amp;"|"&amp;$D1430)</f>
        <v/>
      </c>
    </row>
    <row r="1431">
      <c r="H1431" s="58">
        <f>IF($A1431="","",$A1431&amp;"|"&amp;$B1431&amp;"|"&amp;$C1431&amp;"|"&amp;$D1431)</f>
        <v/>
      </c>
    </row>
    <row r="1432">
      <c r="H1432" s="58">
        <f>IF($A1432="","",$A1432&amp;"|"&amp;$B1432&amp;"|"&amp;$C1432&amp;"|"&amp;$D1432)</f>
        <v/>
      </c>
    </row>
    <row r="1433">
      <c r="H1433" s="58">
        <f>IF($A1433="","",$A1433&amp;"|"&amp;$B1433&amp;"|"&amp;$C1433&amp;"|"&amp;$D1433)</f>
        <v/>
      </c>
    </row>
    <row r="1434">
      <c r="H1434" s="58">
        <f>IF($A1434="","",$A1434&amp;"|"&amp;$B1434&amp;"|"&amp;$C1434&amp;"|"&amp;$D1434)</f>
        <v/>
      </c>
    </row>
    <row r="1435">
      <c r="H1435" s="58">
        <f>IF($A1435="","",$A1435&amp;"|"&amp;$B1435&amp;"|"&amp;$C1435&amp;"|"&amp;$D1435)</f>
        <v/>
      </c>
    </row>
    <row r="1436">
      <c r="H1436" s="58">
        <f>IF($A1436="","",$A1436&amp;"|"&amp;$B1436&amp;"|"&amp;$C1436&amp;"|"&amp;$D1436)</f>
        <v/>
      </c>
    </row>
    <row r="1437">
      <c r="H1437" s="58">
        <f>IF($A1437="","",$A1437&amp;"|"&amp;$B1437&amp;"|"&amp;$C1437&amp;"|"&amp;$D1437)</f>
        <v/>
      </c>
    </row>
    <row r="1438">
      <c r="H1438" s="58">
        <f>IF($A1438="","",$A1438&amp;"|"&amp;$B1438&amp;"|"&amp;$C1438&amp;"|"&amp;$D1438)</f>
        <v/>
      </c>
    </row>
    <row r="1439">
      <c r="H1439" s="58">
        <f>IF($A1439="","",$A1439&amp;"|"&amp;$B1439&amp;"|"&amp;$C1439&amp;"|"&amp;$D1439)</f>
        <v/>
      </c>
    </row>
    <row r="1440">
      <c r="H1440" s="58">
        <f>IF($A1440="","",$A1440&amp;"|"&amp;$B1440&amp;"|"&amp;$C1440&amp;"|"&amp;$D1440)</f>
        <v/>
      </c>
    </row>
    <row r="1441">
      <c r="H1441" s="58">
        <f>IF($A1441="","",$A1441&amp;"|"&amp;$B1441&amp;"|"&amp;$C1441&amp;"|"&amp;$D1441)</f>
        <v/>
      </c>
    </row>
    <row r="1442">
      <c r="H1442" s="58">
        <f>IF($A1442="","",$A1442&amp;"|"&amp;$B1442&amp;"|"&amp;$C1442&amp;"|"&amp;$D1442)</f>
        <v/>
      </c>
    </row>
    <row r="1443">
      <c r="H1443" s="58">
        <f>IF($A1443="","",$A1443&amp;"|"&amp;$B1443&amp;"|"&amp;$C1443&amp;"|"&amp;$D1443)</f>
        <v/>
      </c>
    </row>
    <row r="1444">
      <c r="H1444" s="58">
        <f>IF($A1444="","",$A1444&amp;"|"&amp;$B1444&amp;"|"&amp;$C1444&amp;"|"&amp;$D1444)</f>
        <v/>
      </c>
    </row>
    <row r="1445">
      <c r="H1445" s="58">
        <f>IF($A1445="","",$A1445&amp;"|"&amp;$B1445&amp;"|"&amp;$C1445&amp;"|"&amp;$D1445)</f>
        <v/>
      </c>
    </row>
    <row r="1446">
      <c r="H1446" s="58">
        <f>IF($A1446="","",$A1446&amp;"|"&amp;$B1446&amp;"|"&amp;$C1446&amp;"|"&amp;$D1446)</f>
        <v/>
      </c>
    </row>
    <row r="1447">
      <c r="H1447" s="58">
        <f>IF($A1447="","",$A1447&amp;"|"&amp;$B1447&amp;"|"&amp;$C1447&amp;"|"&amp;$D1447)</f>
        <v/>
      </c>
    </row>
    <row r="1448">
      <c r="H1448" s="58">
        <f>IF($A1448="","",$A1448&amp;"|"&amp;$B1448&amp;"|"&amp;$C1448&amp;"|"&amp;$D1448)</f>
        <v/>
      </c>
    </row>
    <row r="1449">
      <c r="H1449" s="58">
        <f>IF($A1449="","",$A1449&amp;"|"&amp;$B1449&amp;"|"&amp;$C1449&amp;"|"&amp;$D1449)</f>
        <v/>
      </c>
    </row>
    <row r="1450">
      <c r="H1450" s="58">
        <f>IF($A1450="","",$A1450&amp;"|"&amp;$B1450&amp;"|"&amp;$C1450&amp;"|"&amp;$D1450)</f>
        <v/>
      </c>
    </row>
    <row r="1451">
      <c r="H1451" s="58">
        <f>IF($A1451="","",$A1451&amp;"|"&amp;$B1451&amp;"|"&amp;$C1451&amp;"|"&amp;$D1451)</f>
        <v/>
      </c>
    </row>
    <row r="1452">
      <c r="H1452" s="58">
        <f>IF($A1452="","",$A1452&amp;"|"&amp;$B1452&amp;"|"&amp;$C1452&amp;"|"&amp;$D1452)</f>
        <v/>
      </c>
    </row>
    <row r="1453">
      <c r="H1453" s="58">
        <f>IF($A1453="","",$A1453&amp;"|"&amp;$B1453&amp;"|"&amp;$C1453&amp;"|"&amp;$D1453)</f>
        <v/>
      </c>
    </row>
    <row r="1454">
      <c r="H1454" s="58">
        <f>IF($A1454="","",$A1454&amp;"|"&amp;$B1454&amp;"|"&amp;$C1454&amp;"|"&amp;$D1454)</f>
        <v/>
      </c>
    </row>
    <row r="1455">
      <c r="H1455" s="58">
        <f>IF($A1455="","",$A1455&amp;"|"&amp;$B1455&amp;"|"&amp;$C1455&amp;"|"&amp;$D1455)</f>
        <v/>
      </c>
    </row>
    <row r="1456">
      <c r="H1456" s="58">
        <f>IF($A1456="","",$A1456&amp;"|"&amp;$B1456&amp;"|"&amp;$C1456&amp;"|"&amp;$D1456)</f>
        <v/>
      </c>
    </row>
    <row r="1457">
      <c r="H1457" s="58">
        <f>IF($A1457="","",$A1457&amp;"|"&amp;$B1457&amp;"|"&amp;$C1457&amp;"|"&amp;$D1457)</f>
        <v/>
      </c>
    </row>
    <row r="1458">
      <c r="H1458" s="58">
        <f>IF($A1458="","",$A1458&amp;"|"&amp;$B1458&amp;"|"&amp;$C1458&amp;"|"&amp;$D1458)</f>
        <v/>
      </c>
    </row>
    <row r="1459">
      <c r="H1459" s="58">
        <f>IF($A1459="","",$A1459&amp;"|"&amp;$B1459&amp;"|"&amp;$C1459&amp;"|"&amp;$D1459)</f>
        <v/>
      </c>
    </row>
    <row r="1460">
      <c r="H1460" s="58">
        <f>IF($A1460="","",$A1460&amp;"|"&amp;$B1460&amp;"|"&amp;$C1460&amp;"|"&amp;$D1460)</f>
        <v/>
      </c>
    </row>
    <row r="1461">
      <c r="H1461" s="58">
        <f>IF($A1461="","",$A1461&amp;"|"&amp;$B1461&amp;"|"&amp;$C1461&amp;"|"&amp;$D1461)</f>
        <v/>
      </c>
    </row>
    <row r="1462">
      <c r="H1462" s="58">
        <f>IF($A1462="","",$A1462&amp;"|"&amp;$B1462&amp;"|"&amp;$C1462&amp;"|"&amp;$D1462)</f>
        <v/>
      </c>
    </row>
    <row r="1463">
      <c r="H1463" s="58">
        <f>IF($A1463="","",$A1463&amp;"|"&amp;$B1463&amp;"|"&amp;$C1463&amp;"|"&amp;$D1463)</f>
        <v/>
      </c>
    </row>
    <row r="1464">
      <c r="H1464" s="58">
        <f>IF($A1464="","",$A1464&amp;"|"&amp;$B1464&amp;"|"&amp;$C1464&amp;"|"&amp;$D1464)</f>
        <v/>
      </c>
    </row>
    <row r="1465">
      <c r="H1465" s="58">
        <f>IF($A1465="","",$A1465&amp;"|"&amp;$B1465&amp;"|"&amp;$C1465&amp;"|"&amp;$D1465)</f>
        <v/>
      </c>
    </row>
    <row r="1466">
      <c r="H1466" s="58">
        <f>IF($A1466="","",$A1466&amp;"|"&amp;$B1466&amp;"|"&amp;$C1466&amp;"|"&amp;$D1466)</f>
        <v/>
      </c>
    </row>
    <row r="1467">
      <c r="H1467" s="58">
        <f>IF($A1467="","",$A1467&amp;"|"&amp;$B1467&amp;"|"&amp;$C1467&amp;"|"&amp;$D1467)</f>
        <v/>
      </c>
    </row>
    <row r="1468">
      <c r="H1468" s="58">
        <f>IF($A1468="","",$A1468&amp;"|"&amp;$B1468&amp;"|"&amp;$C1468&amp;"|"&amp;$D1468)</f>
        <v/>
      </c>
    </row>
    <row r="1469">
      <c r="H1469" s="58">
        <f>IF($A1469="","",$A1469&amp;"|"&amp;$B1469&amp;"|"&amp;$C1469&amp;"|"&amp;$D1469)</f>
        <v/>
      </c>
    </row>
    <row r="1470">
      <c r="H1470" s="58">
        <f>IF($A1470="","",$A1470&amp;"|"&amp;$B1470&amp;"|"&amp;$C1470&amp;"|"&amp;$D1470)</f>
        <v/>
      </c>
    </row>
    <row r="1471">
      <c r="H1471" s="58">
        <f>IF($A1471="","",$A1471&amp;"|"&amp;$B1471&amp;"|"&amp;$C1471&amp;"|"&amp;$D1471)</f>
        <v/>
      </c>
    </row>
    <row r="1472">
      <c r="H1472" s="58">
        <f>IF($A1472="","",$A1472&amp;"|"&amp;$B1472&amp;"|"&amp;$C1472&amp;"|"&amp;$D1472)</f>
        <v/>
      </c>
    </row>
    <row r="1473">
      <c r="H1473" s="58">
        <f>IF($A1473="","",$A1473&amp;"|"&amp;$B1473&amp;"|"&amp;$C1473&amp;"|"&amp;$D1473)</f>
        <v/>
      </c>
    </row>
    <row r="1474">
      <c r="H1474" s="58">
        <f>IF($A1474="","",$A1474&amp;"|"&amp;$B1474&amp;"|"&amp;$C1474&amp;"|"&amp;$D1474)</f>
        <v/>
      </c>
    </row>
    <row r="1475">
      <c r="H1475" s="58">
        <f>IF($A1475="","",$A1475&amp;"|"&amp;$B1475&amp;"|"&amp;$C1475&amp;"|"&amp;$D1475)</f>
        <v/>
      </c>
    </row>
    <row r="1476">
      <c r="H1476" s="58">
        <f>IF($A1476="","",$A1476&amp;"|"&amp;$B1476&amp;"|"&amp;$C1476&amp;"|"&amp;$D1476)</f>
        <v/>
      </c>
    </row>
    <row r="1477">
      <c r="H1477" s="58">
        <f>IF($A1477="","",$A1477&amp;"|"&amp;$B1477&amp;"|"&amp;$C1477&amp;"|"&amp;$D1477)</f>
        <v/>
      </c>
    </row>
    <row r="1478">
      <c r="H1478" s="58">
        <f>IF($A1478="","",$A1478&amp;"|"&amp;$B1478&amp;"|"&amp;$C1478&amp;"|"&amp;$D1478)</f>
        <v/>
      </c>
    </row>
    <row r="1479">
      <c r="H1479" s="58">
        <f>IF($A1479="","",$A1479&amp;"|"&amp;$B1479&amp;"|"&amp;$C1479&amp;"|"&amp;$D1479)</f>
        <v/>
      </c>
    </row>
    <row r="1480">
      <c r="H1480" s="58">
        <f>IF($A1480="","",$A1480&amp;"|"&amp;$B1480&amp;"|"&amp;$C1480&amp;"|"&amp;$D1480)</f>
        <v/>
      </c>
    </row>
    <row r="1481">
      <c r="H1481" s="58">
        <f>IF($A1481="","",$A1481&amp;"|"&amp;$B1481&amp;"|"&amp;$C1481&amp;"|"&amp;$D1481)</f>
        <v/>
      </c>
    </row>
    <row r="1482">
      <c r="H1482" s="58">
        <f>IF($A1482="","",$A1482&amp;"|"&amp;$B1482&amp;"|"&amp;$C1482&amp;"|"&amp;$D1482)</f>
        <v/>
      </c>
    </row>
    <row r="1483">
      <c r="H1483" s="58">
        <f>IF($A1483="","",$A1483&amp;"|"&amp;$B1483&amp;"|"&amp;$C1483&amp;"|"&amp;$D1483)</f>
        <v/>
      </c>
    </row>
    <row r="1484">
      <c r="H1484" s="58">
        <f>IF($A1484="","",$A1484&amp;"|"&amp;$B1484&amp;"|"&amp;$C1484&amp;"|"&amp;$D1484)</f>
        <v/>
      </c>
    </row>
    <row r="1485">
      <c r="H1485" s="58">
        <f>IF($A1485="","",$A1485&amp;"|"&amp;$B1485&amp;"|"&amp;$C1485&amp;"|"&amp;$D1485)</f>
        <v/>
      </c>
    </row>
    <row r="1486">
      <c r="H1486" s="58">
        <f>IF($A1486="","",$A1486&amp;"|"&amp;$B1486&amp;"|"&amp;$C1486&amp;"|"&amp;$D1486)</f>
        <v/>
      </c>
    </row>
    <row r="1487">
      <c r="H1487" s="58">
        <f>IF($A1487="","",$A1487&amp;"|"&amp;$B1487&amp;"|"&amp;$C1487&amp;"|"&amp;$D1487)</f>
        <v/>
      </c>
    </row>
    <row r="1488">
      <c r="H1488" s="58">
        <f>IF($A1488="","",$A1488&amp;"|"&amp;$B1488&amp;"|"&amp;$C1488&amp;"|"&amp;$D1488)</f>
        <v/>
      </c>
    </row>
    <row r="1489">
      <c r="H1489" s="58">
        <f>IF($A1489="","",$A1489&amp;"|"&amp;$B1489&amp;"|"&amp;$C1489&amp;"|"&amp;$D1489)</f>
        <v/>
      </c>
    </row>
    <row r="1490">
      <c r="H1490" s="58">
        <f>IF($A1490="","",$A1490&amp;"|"&amp;$B1490&amp;"|"&amp;$C1490&amp;"|"&amp;$D1490)</f>
        <v/>
      </c>
    </row>
    <row r="1491">
      <c r="H1491" s="58">
        <f>IF($A1491="","",$A1491&amp;"|"&amp;$B1491&amp;"|"&amp;$C1491&amp;"|"&amp;$D1491)</f>
        <v/>
      </c>
    </row>
    <row r="1492">
      <c r="H1492" s="58">
        <f>IF($A1492="","",$A1492&amp;"|"&amp;$B1492&amp;"|"&amp;$C1492&amp;"|"&amp;$D1492)</f>
        <v/>
      </c>
    </row>
    <row r="1493">
      <c r="H1493" s="58">
        <f>IF($A1493="","",$A1493&amp;"|"&amp;$B1493&amp;"|"&amp;$C1493&amp;"|"&amp;$D1493)</f>
        <v/>
      </c>
    </row>
    <row r="1494">
      <c r="H1494" s="58">
        <f>IF($A1494="","",$A1494&amp;"|"&amp;$B1494&amp;"|"&amp;$C1494&amp;"|"&amp;$D1494)</f>
        <v/>
      </c>
    </row>
    <row r="1495">
      <c r="H1495" s="58">
        <f>IF($A1495="","",$A1495&amp;"|"&amp;$B1495&amp;"|"&amp;$C1495&amp;"|"&amp;$D1495)</f>
        <v/>
      </c>
    </row>
    <row r="1496">
      <c r="H1496" s="58">
        <f>IF($A1496="","",$A1496&amp;"|"&amp;$B1496&amp;"|"&amp;$C1496&amp;"|"&amp;$D1496)</f>
        <v/>
      </c>
    </row>
    <row r="1497">
      <c r="H1497" s="58">
        <f>IF($A1497="","",$A1497&amp;"|"&amp;$B1497&amp;"|"&amp;$C1497&amp;"|"&amp;$D1497)</f>
        <v/>
      </c>
    </row>
    <row r="1498">
      <c r="H1498" s="58">
        <f>IF($A1498="","",$A1498&amp;"|"&amp;$B1498&amp;"|"&amp;$C1498&amp;"|"&amp;$D1498)</f>
        <v/>
      </c>
    </row>
    <row r="1499">
      <c r="H1499" s="58">
        <f>IF($A1499="","",$A1499&amp;"|"&amp;$B1499&amp;"|"&amp;$C1499&amp;"|"&amp;$D1499)</f>
        <v/>
      </c>
    </row>
    <row r="1500">
      <c r="H1500" s="58">
        <f>IF($A1500="","",$A1500&amp;"|"&amp;$B1500&amp;"|"&amp;$C1500&amp;"|"&amp;$D1500)</f>
        <v/>
      </c>
    </row>
    <row r="1501">
      <c r="H1501" s="58">
        <f>IF($A1501="","",$A1501&amp;"|"&amp;$B1501&amp;"|"&amp;$C1501&amp;"|"&amp;$D1501)</f>
        <v/>
      </c>
    </row>
    <row r="1502">
      <c r="H1502" s="58">
        <f>IF($A1502="","",$A1502&amp;"|"&amp;$B1502&amp;"|"&amp;$C1502&amp;"|"&amp;$D1502)</f>
        <v/>
      </c>
    </row>
    <row r="1503">
      <c r="H1503" s="58">
        <f>IF($A1503="","",$A1503&amp;"|"&amp;$B1503&amp;"|"&amp;$C1503&amp;"|"&amp;$D1503)</f>
        <v/>
      </c>
    </row>
    <row r="1504">
      <c r="H1504" s="58">
        <f>IF($A1504="","",$A1504&amp;"|"&amp;$B1504&amp;"|"&amp;$C1504&amp;"|"&amp;$D1504)</f>
        <v/>
      </c>
    </row>
    <row r="1505">
      <c r="H1505" s="58">
        <f>IF($A1505="","",$A1505&amp;"|"&amp;$B1505&amp;"|"&amp;$C1505&amp;"|"&amp;$D1505)</f>
        <v/>
      </c>
    </row>
    <row r="1506">
      <c r="H1506" s="58">
        <f>IF($A1506="","",$A1506&amp;"|"&amp;$B1506&amp;"|"&amp;$C1506&amp;"|"&amp;$D1506)</f>
        <v/>
      </c>
    </row>
    <row r="1507">
      <c r="H1507" s="58">
        <f>IF($A1507="","",$A1507&amp;"|"&amp;$B1507&amp;"|"&amp;$C1507&amp;"|"&amp;$D1507)</f>
        <v/>
      </c>
    </row>
    <row r="1508">
      <c r="H1508" s="58">
        <f>IF($A1508="","",$A1508&amp;"|"&amp;$B1508&amp;"|"&amp;$C1508&amp;"|"&amp;$D1508)</f>
        <v/>
      </c>
    </row>
    <row r="1509">
      <c r="H1509" s="58">
        <f>IF($A1509="","",$A1509&amp;"|"&amp;$B1509&amp;"|"&amp;$C1509&amp;"|"&amp;$D1509)</f>
        <v/>
      </c>
    </row>
    <row r="1510">
      <c r="H1510" s="58">
        <f>IF($A1510="","",$A1510&amp;"|"&amp;$B1510&amp;"|"&amp;$C1510&amp;"|"&amp;$D1510)</f>
        <v/>
      </c>
    </row>
    <row r="1511">
      <c r="H1511" s="58">
        <f>IF($A1511="","",$A1511&amp;"|"&amp;$B1511&amp;"|"&amp;$C1511&amp;"|"&amp;$D1511)</f>
        <v/>
      </c>
    </row>
    <row r="1512">
      <c r="H1512" s="58">
        <f>IF($A1512="","",$A1512&amp;"|"&amp;$B1512&amp;"|"&amp;$C1512&amp;"|"&amp;$D1512)</f>
        <v/>
      </c>
    </row>
    <row r="1513">
      <c r="H1513" s="58">
        <f>IF($A1513="","",$A1513&amp;"|"&amp;$B1513&amp;"|"&amp;$C1513&amp;"|"&amp;$D1513)</f>
        <v/>
      </c>
    </row>
    <row r="1514">
      <c r="H1514" s="58">
        <f>IF($A1514="","",$A1514&amp;"|"&amp;$B1514&amp;"|"&amp;$C1514&amp;"|"&amp;$D1514)</f>
        <v/>
      </c>
    </row>
    <row r="1515">
      <c r="H1515" s="58">
        <f>IF($A1515="","",$A1515&amp;"|"&amp;$B1515&amp;"|"&amp;$C1515&amp;"|"&amp;$D1515)</f>
        <v/>
      </c>
    </row>
    <row r="1516">
      <c r="H1516" s="58">
        <f>IF($A1516="","",$A1516&amp;"|"&amp;$B1516&amp;"|"&amp;$C1516&amp;"|"&amp;$D1516)</f>
        <v/>
      </c>
    </row>
    <row r="1517">
      <c r="H1517" s="58">
        <f>IF($A1517="","",$A1517&amp;"|"&amp;$B1517&amp;"|"&amp;$C1517&amp;"|"&amp;$D1517)</f>
        <v/>
      </c>
    </row>
    <row r="1518">
      <c r="H1518" s="58">
        <f>IF($A1518="","",$A1518&amp;"|"&amp;$B1518&amp;"|"&amp;$C1518&amp;"|"&amp;$D1518)</f>
        <v/>
      </c>
    </row>
    <row r="1519">
      <c r="H1519" s="58">
        <f>IF($A1519="","",$A1519&amp;"|"&amp;$B1519&amp;"|"&amp;$C1519&amp;"|"&amp;$D1519)</f>
        <v/>
      </c>
    </row>
    <row r="1520">
      <c r="H1520" s="58">
        <f>IF($A1520="","",$A1520&amp;"|"&amp;$B1520&amp;"|"&amp;$C1520&amp;"|"&amp;$D1520)</f>
        <v/>
      </c>
    </row>
    <row r="1521">
      <c r="H1521" s="58">
        <f>IF($A1521="","",$A1521&amp;"|"&amp;$B1521&amp;"|"&amp;$C1521&amp;"|"&amp;$D1521)</f>
        <v/>
      </c>
    </row>
    <row r="1522">
      <c r="H1522" s="58">
        <f>IF($A1522="","",$A1522&amp;"|"&amp;$B1522&amp;"|"&amp;$C1522&amp;"|"&amp;$D1522)</f>
        <v/>
      </c>
    </row>
    <row r="1523">
      <c r="H1523" s="58">
        <f>IF($A1523="","",$A1523&amp;"|"&amp;$B1523&amp;"|"&amp;$C1523&amp;"|"&amp;$D1523)</f>
        <v/>
      </c>
    </row>
    <row r="1524">
      <c r="H1524" s="58">
        <f>IF($A1524="","",$A1524&amp;"|"&amp;$B1524&amp;"|"&amp;$C1524&amp;"|"&amp;$D1524)</f>
        <v/>
      </c>
    </row>
    <row r="1525">
      <c r="H1525" s="58">
        <f>IF($A1525="","",$A1525&amp;"|"&amp;$B1525&amp;"|"&amp;$C1525&amp;"|"&amp;$D1525)</f>
        <v/>
      </c>
    </row>
    <row r="1526">
      <c r="H1526" s="58">
        <f>IF($A1526="","",$A1526&amp;"|"&amp;$B1526&amp;"|"&amp;$C1526&amp;"|"&amp;$D1526)</f>
        <v/>
      </c>
    </row>
    <row r="1527">
      <c r="H1527" s="58">
        <f>IF($A1527="","",$A1527&amp;"|"&amp;$B1527&amp;"|"&amp;$C1527&amp;"|"&amp;$D1527)</f>
        <v/>
      </c>
    </row>
    <row r="1528">
      <c r="H1528" s="58">
        <f>IF($A1528="","",$A1528&amp;"|"&amp;$B1528&amp;"|"&amp;$C1528&amp;"|"&amp;$D1528)</f>
        <v/>
      </c>
    </row>
    <row r="1529">
      <c r="H1529" s="58">
        <f>IF($A1529="","",$A1529&amp;"|"&amp;$B1529&amp;"|"&amp;$C1529&amp;"|"&amp;$D1529)</f>
        <v/>
      </c>
    </row>
    <row r="1530">
      <c r="H1530" s="58">
        <f>IF($A1530="","",$A1530&amp;"|"&amp;$B1530&amp;"|"&amp;$C1530&amp;"|"&amp;$D1530)</f>
        <v/>
      </c>
    </row>
    <row r="1531">
      <c r="H1531" s="58">
        <f>IF($A1531="","",$A1531&amp;"|"&amp;$B1531&amp;"|"&amp;$C1531&amp;"|"&amp;$D1531)</f>
        <v/>
      </c>
    </row>
    <row r="1532">
      <c r="H1532" s="58">
        <f>IF($A1532="","",$A1532&amp;"|"&amp;$B1532&amp;"|"&amp;$C1532&amp;"|"&amp;$D1532)</f>
        <v/>
      </c>
    </row>
    <row r="1533">
      <c r="H1533" s="58">
        <f>IF($A1533="","",$A1533&amp;"|"&amp;$B1533&amp;"|"&amp;$C1533&amp;"|"&amp;$D1533)</f>
        <v/>
      </c>
    </row>
    <row r="1534">
      <c r="H1534" s="58">
        <f>IF($A1534="","",$A1534&amp;"|"&amp;$B1534&amp;"|"&amp;$C1534&amp;"|"&amp;$D1534)</f>
        <v/>
      </c>
    </row>
    <row r="1535">
      <c r="H1535" s="58">
        <f>IF($A1535="","",$A1535&amp;"|"&amp;$B1535&amp;"|"&amp;$C1535&amp;"|"&amp;$D1535)</f>
        <v/>
      </c>
    </row>
    <row r="1536">
      <c r="H1536" s="58">
        <f>IF($A1536="","",$A1536&amp;"|"&amp;$B1536&amp;"|"&amp;$C1536&amp;"|"&amp;$D1536)</f>
        <v/>
      </c>
    </row>
    <row r="1537">
      <c r="H1537" s="58">
        <f>IF($A1537="","",$A1537&amp;"|"&amp;$B1537&amp;"|"&amp;$C1537&amp;"|"&amp;$D1537)</f>
        <v/>
      </c>
    </row>
    <row r="1538">
      <c r="H1538" s="58">
        <f>IF($A1538="","",$A1538&amp;"|"&amp;$B1538&amp;"|"&amp;$C1538&amp;"|"&amp;$D1538)</f>
        <v/>
      </c>
    </row>
    <row r="1539">
      <c r="H1539" s="58">
        <f>IF($A1539="","",$A1539&amp;"|"&amp;$B1539&amp;"|"&amp;$C1539&amp;"|"&amp;$D1539)</f>
        <v/>
      </c>
    </row>
    <row r="1540">
      <c r="H1540" s="58">
        <f>IF($A1540="","",$A1540&amp;"|"&amp;$B1540&amp;"|"&amp;$C1540&amp;"|"&amp;$D1540)</f>
        <v/>
      </c>
    </row>
    <row r="1541">
      <c r="H1541" s="58">
        <f>IF($A1541="","",$A1541&amp;"|"&amp;$B1541&amp;"|"&amp;$C1541&amp;"|"&amp;$D1541)</f>
        <v/>
      </c>
    </row>
    <row r="1542">
      <c r="H1542" s="58">
        <f>IF($A1542="","",$A1542&amp;"|"&amp;$B1542&amp;"|"&amp;$C1542&amp;"|"&amp;$D1542)</f>
        <v/>
      </c>
    </row>
    <row r="1543">
      <c r="H1543" s="58">
        <f>IF($A1543="","",$A1543&amp;"|"&amp;$B1543&amp;"|"&amp;$C1543&amp;"|"&amp;$D1543)</f>
        <v/>
      </c>
    </row>
    <row r="1544">
      <c r="H1544" s="58">
        <f>IF($A1544="","",$A1544&amp;"|"&amp;$B1544&amp;"|"&amp;$C1544&amp;"|"&amp;$D1544)</f>
        <v/>
      </c>
    </row>
    <row r="1545">
      <c r="H1545" s="58">
        <f>IF($A1545="","",$A1545&amp;"|"&amp;$B1545&amp;"|"&amp;$C1545&amp;"|"&amp;$D1545)</f>
        <v/>
      </c>
    </row>
    <row r="1546">
      <c r="H1546" s="58">
        <f>IF($A1546="","",$A1546&amp;"|"&amp;$B1546&amp;"|"&amp;$C1546&amp;"|"&amp;$D1546)</f>
        <v/>
      </c>
    </row>
    <row r="1547">
      <c r="H1547" s="58">
        <f>IF($A1547="","",$A1547&amp;"|"&amp;$B1547&amp;"|"&amp;$C1547&amp;"|"&amp;$D1547)</f>
        <v/>
      </c>
    </row>
    <row r="1548">
      <c r="H1548" s="58">
        <f>IF($A1548="","",$A1548&amp;"|"&amp;$B1548&amp;"|"&amp;$C1548&amp;"|"&amp;$D1548)</f>
        <v/>
      </c>
    </row>
    <row r="1549">
      <c r="H1549" s="58">
        <f>IF($A1549="","",$A1549&amp;"|"&amp;$B1549&amp;"|"&amp;$C1549&amp;"|"&amp;$D1549)</f>
        <v/>
      </c>
    </row>
    <row r="1550">
      <c r="H1550" s="58">
        <f>IF($A1550="","",$A1550&amp;"|"&amp;$B1550&amp;"|"&amp;$C1550&amp;"|"&amp;$D1550)</f>
        <v/>
      </c>
    </row>
    <row r="1551">
      <c r="H1551" s="58">
        <f>IF($A1551="","",$A1551&amp;"|"&amp;$B1551&amp;"|"&amp;$C1551&amp;"|"&amp;$D1551)</f>
        <v/>
      </c>
    </row>
    <row r="1552">
      <c r="H1552" s="58">
        <f>IF($A1552="","",$A1552&amp;"|"&amp;$B1552&amp;"|"&amp;$C1552&amp;"|"&amp;$D1552)</f>
        <v/>
      </c>
    </row>
    <row r="1553">
      <c r="H1553" s="58">
        <f>IF($A1553="","",$A1553&amp;"|"&amp;$B1553&amp;"|"&amp;$C1553&amp;"|"&amp;$D1553)</f>
        <v/>
      </c>
    </row>
    <row r="1554">
      <c r="H1554" s="58">
        <f>IF($A1554="","",$A1554&amp;"|"&amp;$B1554&amp;"|"&amp;$C1554&amp;"|"&amp;$D1554)</f>
        <v/>
      </c>
    </row>
    <row r="1555">
      <c r="H1555" s="58">
        <f>IF($A1555="","",$A1555&amp;"|"&amp;$B1555&amp;"|"&amp;$C1555&amp;"|"&amp;$D1555)</f>
        <v/>
      </c>
    </row>
    <row r="1556">
      <c r="H1556" s="58">
        <f>IF($A1556="","",$A1556&amp;"|"&amp;$B1556&amp;"|"&amp;$C1556&amp;"|"&amp;$D1556)</f>
        <v/>
      </c>
    </row>
    <row r="1557">
      <c r="H1557" s="58">
        <f>IF($A1557="","",$A1557&amp;"|"&amp;$B1557&amp;"|"&amp;$C1557&amp;"|"&amp;$D1557)</f>
        <v/>
      </c>
    </row>
    <row r="1558">
      <c r="H1558" s="58">
        <f>IF($A1558="","",$A1558&amp;"|"&amp;$B1558&amp;"|"&amp;$C1558&amp;"|"&amp;$D1558)</f>
        <v/>
      </c>
    </row>
    <row r="1559">
      <c r="H1559" s="58">
        <f>IF($A1559="","",$A1559&amp;"|"&amp;$B1559&amp;"|"&amp;$C1559&amp;"|"&amp;$D1559)</f>
        <v/>
      </c>
    </row>
    <row r="1560">
      <c r="H1560" s="58">
        <f>IF($A1560="","",$A1560&amp;"|"&amp;$B1560&amp;"|"&amp;$C1560&amp;"|"&amp;$D1560)</f>
        <v/>
      </c>
    </row>
    <row r="1561">
      <c r="H1561" s="58">
        <f>IF($A1561="","",$A1561&amp;"|"&amp;$B1561&amp;"|"&amp;$C1561&amp;"|"&amp;$D1561)</f>
        <v/>
      </c>
    </row>
    <row r="1562">
      <c r="H1562" s="58">
        <f>IF($A1562="","",$A1562&amp;"|"&amp;$B1562&amp;"|"&amp;$C1562&amp;"|"&amp;$D1562)</f>
        <v/>
      </c>
    </row>
    <row r="1563">
      <c r="H1563" s="58">
        <f>IF($A1563="","",$A1563&amp;"|"&amp;$B1563&amp;"|"&amp;$C1563&amp;"|"&amp;$D1563)</f>
        <v/>
      </c>
    </row>
    <row r="1564">
      <c r="H1564" s="58">
        <f>IF($A1564="","",$A1564&amp;"|"&amp;$B1564&amp;"|"&amp;$C1564&amp;"|"&amp;$D1564)</f>
        <v/>
      </c>
    </row>
    <row r="1565">
      <c r="H1565" s="58">
        <f>IF($A1565="","",$A1565&amp;"|"&amp;$B1565&amp;"|"&amp;$C1565&amp;"|"&amp;$D1565)</f>
        <v/>
      </c>
    </row>
    <row r="1566">
      <c r="H1566" s="58">
        <f>IF($A1566="","",$A1566&amp;"|"&amp;$B1566&amp;"|"&amp;$C1566&amp;"|"&amp;$D1566)</f>
        <v/>
      </c>
    </row>
    <row r="1567">
      <c r="H1567" s="58">
        <f>IF($A1567="","",$A1567&amp;"|"&amp;$B1567&amp;"|"&amp;$C1567&amp;"|"&amp;$D1567)</f>
        <v/>
      </c>
    </row>
    <row r="1568">
      <c r="H1568" s="58">
        <f>IF($A1568="","",$A1568&amp;"|"&amp;$B1568&amp;"|"&amp;$C1568&amp;"|"&amp;$D1568)</f>
        <v/>
      </c>
    </row>
    <row r="1569">
      <c r="H1569" s="58">
        <f>IF($A1569="","",$A1569&amp;"|"&amp;$B1569&amp;"|"&amp;$C1569&amp;"|"&amp;$D1569)</f>
        <v/>
      </c>
    </row>
    <row r="1570">
      <c r="H1570" s="58">
        <f>IF($A1570="","",$A1570&amp;"|"&amp;$B1570&amp;"|"&amp;$C1570&amp;"|"&amp;$D1570)</f>
        <v/>
      </c>
    </row>
    <row r="1571">
      <c r="H1571" s="58">
        <f>IF($A1571="","",$A1571&amp;"|"&amp;$B1571&amp;"|"&amp;$C1571&amp;"|"&amp;$D1571)</f>
        <v/>
      </c>
    </row>
    <row r="1572">
      <c r="H1572" s="58">
        <f>IF($A1572="","",$A1572&amp;"|"&amp;$B1572&amp;"|"&amp;$C1572&amp;"|"&amp;$D1572)</f>
        <v/>
      </c>
    </row>
    <row r="1573">
      <c r="H1573" s="58">
        <f>IF($A1573="","",$A1573&amp;"|"&amp;$B1573&amp;"|"&amp;$C1573&amp;"|"&amp;$D1573)</f>
        <v/>
      </c>
    </row>
    <row r="1574">
      <c r="H1574" s="58">
        <f>IF($A1574="","",$A1574&amp;"|"&amp;$B1574&amp;"|"&amp;$C1574&amp;"|"&amp;$D1574)</f>
        <v/>
      </c>
    </row>
    <row r="1575">
      <c r="H1575" s="58">
        <f>IF($A1575="","",$A1575&amp;"|"&amp;$B1575&amp;"|"&amp;$C1575&amp;"|"&amp;$D1575)</f>
        <v/>
      </c>
    </row>
    <row r="1576">
      <c r="H1576" s="58">
        <f>IF($A1576="","",$A1576&amp;"|"&amp;$B1576&amp;"|"&amp;$C1576&amp;"|"&amp;$D1576)</f>
        <v/>
      </c>
    </row>
    <row r="1577">
      <c r="H1577" s="58">
        <f>IF($A1577="","",$A1577&amp;"|"&amp;$B1577&amp;"|"&amp;$C1577&amp;"|"&amp;$D1577)</f>
        <v/>
      </c>
    </row>
    <row r="1578">
      <c r="H1578" s="58">
        <f>IF($A1578="","",$A1578&amp;"|"&amp;$B1578&amp;"|"&amp;$C1578&amp;"|"&amp;$D1578)</f>
        <v/>
      </c>
    </row>
    <row r="1579">
      <c r="H1579" s="58">
        <f>IF($A1579="","",$A1579&amp;"|"&amp;$B1579&amp;"|"&amp;$C1579&amp;"|"&amp;$D1579)</f>
        <v/>
      </c>
    </row>
    <row r="1580">
      <c r="H1580" s="58">
        <f>IF($A1580="","",$A1580&amp;"|"&amp;$B1580&amp;"|"&amp;$C1580&amp;"|"&amp;$D1580)</f>
        <v/>
      </c>
    </row>
    <row r="1581">
      <c r="H1581" s="58">
        <f>IF($A1581="","",$A1581&amp;"|"&amp;$B1581&amp;"|"&amp;$C1581&amp;"|"&amp;$D1581)</f>
        <v/>
      </c>
    </row>
    <row r="1582">
      <c r="H1582" s="58">
        <f>IF($A1582="","",$A1582&amp;"|"&amp;$B1582&amp;"|"&amp;$C1582&amp;"|"&amp;$D1582)</f>
        <v/>
      </c>
    </row>
    <row r="1583">
      <c r="H1583" s="58">
        <f>IF($A1583="","",$A1583&amp;"|"&amp;$B1583&amp;"|"&amp;$C1583&amp;"|"&amp;$D1583)</f>
        <v/>
      </c>
    </row>
    <row r="1584">
      <c r="H1584" s="58">
        <f>IF($A1584="","",$A1584&amp;"|"&amp;$B1584&amp;"|"&amp;$C1584&amp;"|"&amp;$D1584)</f>
        <v/>
      </c>
    </row>
    <row r="1585">
      <c r="H1585" s="58">
        <f>IF($A1585="","",$A1585&amp;"|"&amp;$B1585&amp;"|"&amp;$C1585&amp;"|"&amp;$D1585)</f>
        <v/>
      </c>
    </row>
    <row r="1586">
      <c r="H1586" s="58">
        <f>IF($A1586="","",$A1586&amp;"|"&amp;$B1586&amp;"|"&amp;$C1586&amp;"|"&amp;$D1586)</f>
        <v/>
      </c>
    </row>
    <row r="1587">
      <c r="H1587" s="58">
        <f>IF($A1587="","",$A1587&amp;"|"&amp;$B1587&amp;"|"&amp;$C1587&amp;"|"&amp;$D1587)</f>
        <v/>
      </c>
    </row>
    <row r="1588">
      <c r="H1588" s="58">
        <f>IF($A1588="","",$A1588&amp;"|"&amp;$B1588&amp;"|"&amp;$C1588&amp;"|"&amp;$D1588)</f>
        <v/>
      </c>
    </row>
    <row r="1589">
      <c r="H1589" s="58">
        <f>IF($A1589="","",$A1589&amp;"|"&amp;$B1589&amp;"|"&amp;$C1589&amp;"|"&amp;$D1589)</f>
        <v/>
      </c>
    </row>
    <row r="1590">
      <c r="H1590" s="58">
        <f>IF($A1590="","",$A1590&amp;"|"&amp;$B1590&amp;"|"&amp;$C1590&amp;"|"&amp;$D1590)</f>
        <v/>
      </c>
    </row>
    <row r="1591">
      <c r="H1591" s="58">
        <f>IF($A1591="","",$A1591&amp;"|"&amp;$B1591&amp;"|"&amp;$C1591&amp;"|"&amp;$D1591)</f>
        <v/>
      </c>
    </row>
    <row r="1592">
      <c r="H1592" s="58">
        <f>IF($A1592="","",$A1592&amp;"|"&amp;$B1592&amp;"|"&amp;$C1592&amp;"|"&amp;$D1592)</f>
        <v/>
      </c>
    </row>
    <row r="1593">
      <c r="H1593" s="58">
        <f>IF($A1593="","",$A1593&amp;"|"&amp;$B1593&amp;"|"&amp;$C1593&amp;"|"&amp;$D1593)</f>
        <v/>
      </c>
    </row>
    <row r="1594">
      <c r="H1594" s="58">
        <f>IF($A1594="","",$A1594&amp;"|"&amp;$B1594&amp;"|"&amp;$C1594&amp;"|"&amp;$D1594)</f>
        <v/>
      </c>
    </row>
    <row r="1595">
      <c r="H1595" s="58">
        <f>IF($A1595="","",$A1595&amp;"|"&amp;$B1595&amp;"|"&amp;$C1595&amp;"|"&amp;$D1595)</f>
        <v/>
      </c>
    </row>
    <row r="1596">
      <c r="H1596" s="58">
        <f>IF($A1596="","",$A1596&amp;"|"&amp;$B1596&amp;"|"&amp;$C1596&amp;"|"&amp;$D1596)</f>
        <v/>
      </c>
    </row>
    <row r="1597">
      <c r="H1597" s="58">
        <f>IF($A1597="","",$A1597&amp;"|"&amp;$B1597&amp;"|"&amp;$C1597&amp;"|"&amp;$D1597)</f>
        <v/>
      </c>
    </row>
    <row r="1598">
      <c r="H1598" s="58">
        <f>IF($A1598="","",$A1598&amp;"|"&amp;$B1598&amp;"|"&amp;$C1598&amp;"|"&amp;$D1598)</f>
        <v/>
      </c>
    </row>
    <row r="1599">
      <c r="H1599" s="58">
        <f>IF($A1599="","",$A1599&amp;"|"&amp;$B1599&amp;"|"&amp;$C1599&amp;"|"&amp;$D1599)</f>
        <v/>
      </c>
    </row>
    <row r="1600">
      <c r="H1600" s="58">
        <f>IF($A1600="","",$A1600&amp;"|"&amp;$B1600&amp;"|"&amp;$C1600&amp;"|"&amp;$D1600)</f>
        <v/>
      </c>
    </row>
    <row r="1601">
      <c r="H1601" s="58">
        <f>IF($A1601="","",$A1601&amp;"|"&amp;$B1601&amp;"|"&amp;$C1601&amp;"|"&amp;$D1601)</f>
        <v/>
      </c>
    </row>
    <row r="1602">
      <c r="H1602" s="58">
        <f>IF($A1602="","",$A1602&amp;"|"&amp;$B1602&amp;"|"&amp;$C1602&amp;"|"&amp;$D1602)</f>
        <v/>
      </c>
    </row>
    <row r="1603">
      <c r="H1603" s="58">
        <f>IF($A1603="","",$A1603&amp;"|"&amp;$B1603&amp;"|"&amp;$C1603&amp;"|"&amp;$D1603)</f>
        <v/>
      </c>
    </row>
    <row r="1604">
      <c r="H1604" s="58">
        <f>IF($A1604="","",$A1604&amp;"|"&amp;$B1604&amp;"|"&amp;$C1604&amp;"|"&amp;$D1604)</f>
        <v/>
      </c>
    </row>
    <row r="1605">
      <c r="H1605" s="58">
        <f>IF($A1605="","",$A1605&amp;"|"&amp;$B1605&amp;"|"&amp;$C1605&amp;"|"&amp;$D1605)</f>
        <v/>
      </c>
    </row>
    <row r="1606">
      <c r="H1606" s="58">
        <f>IF($A1606="","",$A1606&amp;"|"&amp;$B1606&amp;"|"&amp;$C1606&amp;"|"&amp;$D1606)</f>
        <v/>
      </c>
    </row>
    <row r="1607">
      <c r="H1607" s="58">
        <f>IF($A1607="","",$A1607&amp;"|"&amp;$B1607&amp;"|"&amp;$C1607&amp;"|"&amp;$D1607)</f>
        <v/>
      </c>
    </row>
    <row r="1608">
      <c r="H1608" s="58">
        <f>IF($A1608="","",$A1608&amp;"|"&amp;$B1608&amp;"|"&amp;$C1608&amp;"|"&amp;$D1608)</f>
        <v/>
      </c>
    </row>
    <row r="1609">
      <c r="H1609" s="58">
        <f>IF($A1609="","",$A1609&amp;"|"&amp;$B1609&amp;"|"&amp;$C1609&amp;"|"&amp;$D1609)</f>
        <v/>
      </c>
    </row>
    <row r="1610">
      <c r="H1610" s="58">
        <f>IF($A1610="","",$A1610&amp;"|"&amp;$B1610&amp;"|"&amp;$C1610&amp;"|"&amp;$D1610)</f>
        <v/>
      </c>
    </row>
    <row r="1611">
      <c r="H1611" s="58">
        <f>IF($A1611="","",$A1611&amp;"|"&amp;$B1611&amp;"|"&amp;$C1611&amp;"|"&amp;$D1611)</f>
        <v/>
      </c>
    </row>
    <row r="1612">
      <c r="H1612" s="58">
        <f>IF($A1612="","",$A1612&amp;"|"&amp;$B1612&amp;"|"&amp;$C1612&amp;"|"&amp;$D1612)</f>
        <v/>
      </c>
    </row>
    <row r="1613">
      <c r="H1613" s="58">
        <f>IF($A1613="","",$A1613&amp;"|"&amp;$B1613&amp;"|"&amp;$C1613&amp;"|"&amp;$D1613)</f>
        <v/>
      </c>
    </row>
    <row r="1614">
      <c r="H1614" s="58">
        <f>IF($A1614="","",$A1614&amp;"|"&amp;$B1614&amp;"|"&amp;$C1614&amp;"|"&amp;$D1614)</f>
        <v/>
      </c>
    </row>
    <row r="1615">
      <c r="H1615" s="58">
        <f>IF($A1615="","",$A1615&amp;"|"&amp;$B1615&amp;"|"&amp;$C1615&amp;"|"&amp;$D1615)</f>
        <v/>
      </c>
    </row>
    <row r="1616">
      <c r="H1616" s="58">
        <f>IF($A1616="","",$A1616&amp;"|"&amp;$B1616&amp;"|"&amp;$C1616&amp;"|"&amp;$D1616)</f>
        <v/>
      </c>
    </row>
    <row r="1617">
      <c r="H1617" s="58">
        <f>IF($A1617="","",$A1617&amp;"|"&amp;$B1617&amp;"|"&amp;$C1617&amp;"|"&amp;$D1617)</f>
        <v/>
      </c>
    </row>
    <row r="1618">
      <c r="H1618" s="58">
        <f>IF($A1618="","",$A1618&amp;"|"&amp;$B1618&amp;"|"&amp;$C1618&amp;"|"&amp;$D1618)</f>
        <v/>
      </c>
    </row>
    <row r="1619">
      <c r="H1619" s="58">
        <f>IF($A1619="","",$A1619&amp;"|"&amp;$B1619&amp;"|"&amp;$C1619&amp;"|"&amp;$D1619)</f>
        <v/>
      </c>
    </row>
    <row r="1620">
      <c r="H1620" s="58">
        <f>IF($A1620="","",$A1620&amp;"|"&amp;$B1620&amp;"|"&amp;$C1620&amp;"|"&amp;$D1620)</f>
        <v/>
      </c>
    </row>
    <row r="1621">
      <c r="H1621" s="58">
        <f>IF($A1621="","",$A1621&amp;"|"&amp;$B1621&amp;"|"&amp;$C1621&amp;"|"&amp;$D1621)</f>
        <v/>
      </c>
    </row>
    <row r="1622">
      <c r="H1622" s="58">
        <f>IF($A1622="","",$A1622&amp;"|"&amp;$B1622&amp;"|"&amp;$C1622&amp;"|"&amp;$D1622)</f>
        <v/>
      </c>
    </row>
    <row r="1623">
      <c r="H1623" s="58">
        <f>IF($A1623="","",$A1623&amp;"|"&amp;$B1623&amp;"|"&amp;$C1623&amp;"|"&amp;$D1623)</f>
        <v/>
      </c>
    </row>
    <row r="1624">
      <c r="H1624" s="58">
        <f>IF($A1624="","",$A1624&amp;"|"&amp;$B1624&amp;"|"&amp;$C1624&amp;"|"&amp;$D1624)</f>
        <v/>
      </c>
    </row>
    <row r="1625">
      <c r="H1625" s="58">
        <f>IF($A1625="","",$A1625&amp;"|"&amp;$B1625&amp;"|"&amp;$C1625&amp;"|"&amp;$D1625)</f>
        <v/>
      </c>
    </row>
    <row r="1626">
      <c r="H1626" s="58">
        <f>IF($A1626="","",$A1626&amp;"|"&amp;$B1626&amp;"|"&amp;$C1626&amp;"|"&amp;$D1626)</f>
        <v/>
      </c>
    </row>
    <row r="1627">
      <c r="H1627" s="58">
        <f>IF($A1627="","",$A1627&amp;"|"&amp;$B1627&amp;"|"&amp;$C1627&amp;"|"&amp;$D1627)</f>
        <v/>
      </c>
    </row>
    <row r="1628">
      <c r="H1628" s="58">
        <f>IF($A1628="","",$A1628&amp;"|"&amp;$B1628&amp;"|"&amp;$C1628&amp;"|"&amp;$D1628)</f>
        <v/>
      </c>
    </row>
    <row r="1629">
      <c r="H1629" s="58">
        <f>IF($A1629="","",$A1629&amp;"|"&amp;$B1629&amp;"|"&amp;$C1629&amp;"|"&amp;$D1629)</f>
        <v/>
      </c>
    </row>
    <row r="1630">
      <c r="H1630" s="58">
        <f>IF($A1630="","",$A1630&amp;"|"&amp;$B1630&amp;"|"&amp;$C1630&amp;"|"&amp;$D1630)</f>
        <v/>
      </c>
    </row>
    <row r="1631">
      <c r="H1631" s="58">
        <f>IF($A1631="","",$A1631&amp;"|"&amp;$B1631&amp;"|"&amp;$C1631&amp;"|"&amp;$D1631)</f>
        <v/>
      </c>
    </row>
    <row r="1632">
      <c r="H1632" s="58">
        <f>IF($A1632="","",$A1632&amp;"|"&amp;$B1632&amp;"|"&amp;$C1632&amp;"|"&amp;$D1632)</f>
        <v/>
      </c>
    </row>
    <row r="1633">
      <c r="H1633" s="58">
        <f>IF($A1633="","",$A1633&amp;"|"&amp;$B1633&amp;"|"&amp;$C1633&amp;"|"&amp;$D1633)</f>
        <v/>
      </c>
    </row>
    <row r="1634">
      <c r="H1634" s="58">
        <f>IF($A1634="","",$A1634&amp;"|"&amp;$B1634&amp;"|"&amp;$C1634&amp;"|"&amp;$D1634)</f>
        <v/>
      </c>
    </row>
    <row r="1635">
      <c r="H1635" s="58">
        <f>IF($A1635="","",$A1635&amp;"|"&amp;$B1635&amp;"|"&amp;$C1635&amp;"|"&amp;$D1635)</f>
        <v/>
      </c>
    </row>
    <row r="1636">
      <c r="H1636" s="58">
        <f>IF($A1636="","",$A1636&amp;"|"&amp;$B1636&amp;"|"&amp;$C1636&amp;"|"&amp;$D1636)</f>
        <v/>
      </c>
    </row>
    <row r="1637">
      <c r="H1637" s="58">
        <f>IF($A1637="","",$A1637&amp;"|"&amp;$B1637&amp;"|"&amp;$C1637&amp;"|"&amp;$D1637)</f>
        <v/>
      </c>
    </row>
    <row r="1638">
      <c r="H1638" s="58">
        <f>IF($A1638="","",$A1638&amp;"|"&amp;$B1638&amp;"|"&amp;$C1638&amp;"|"&amp;$D1638)</f>
        <v/>
      </c>
    </row>
    <row r="1639">
      <c r="H1639" s="58">
        <f>IF($A1639="","",$A1639&amp;"|"&amp;$B1639&amp;"|"&amp;$C1639&amp;"|"&amp;$D1639)</f>
        <v/>
      </c>
    </row>
    <row r="1640">
      <c r="H1640" s="58">
        <f>IF($A1640="","",$A1640&amp;"|"&amp;$B1640&amp;"|"&amp;$C1640&amp;"|"&amp;$D1640)</f>
        <v/>
      </c>
    </row>
    <row r="1641">
      <c r="H1641" s="58">
        <f>IF($A1641="","",$A1641&amp;"|"&amp;$B1641&amp;"|"&amp;$C1641&amp;"|"&amp;$D1641)</f>
        <v/>
      </c>
    </row>
    <row r="1642">
      <c r="H1642" s="58">
        <f>IF($A1642="","",$A1642&amp;"|"&amp;$B1642&amp;"|"&amp;$C1642&amp;"|"&amp;$D1642)</f>
        <v/>
      </c>
    </row>
    <row r="1643">
      <c r="H1643" s="58">
        <f>IF($A1643="","",$A1643&amp;"|"&amp;$B1643&amp;"|"&amp;$C1643&amp;"|"&amp;$D1643)</f>
        <v/>
      </c>
    </row>
    <row r="1644">
      <c r="H1644" s="58">
        <f>IF($A1644="","",$A1644&amp;"|"&amp;$B1644&amp;"|"&amp;$C1644&amp;"|"&amp;$D1644)</f>
        <v/>
      </c>
    </row>
    <row r="1645">
      <c r="H1645" s="58">
        <f>IF($A1645="","",$A1645&amp;"|"&amp;$B1645&amp;"|"&amp;$C1645&amp;"|"&amp;$D1645)</f>
        <v/>
      </c>
    </row>
    <row r="1646">
      <c r="H1646" s="58">
        <f>IF($A1646="","",$A1646&amp;"|"&amp;$B1646&amp;"|"&amp;$C1646&amp;"|"&amp;$D1646)</f>
        <v/>
      </c>
    </row>
    <row r="1647">
      <c r="H1647" s="58">
        <f>IF($A1647="","",$A1647&amp;"|"&amp;$B1647&amp;"|"&amp;$C1647&amp;"|"&amp;$D1647)</f>
        <v/>
      </c>
    </row>
    <row r="1648">
      <c r="H1648" s="58">
        <f>IF($A1648="","",$A1648&amp;"|"&amp;$B1648&amp;"|"&amp;$C1648&amp;"|"&amp;$D1648)</f>
        <v/>
      </c>
    </row>
    <row r="1649">
      <c r="H1649" s="58">
        <f>IF($A1649="","",$A1649&amp;"|"&amp;$B1649&amp;"|"&amp;$C1649&amp;"|"&amp;$D1649)</f>
        <v/>
      </c>
    </row>
    <row r="1650">
      <c r="H1650" s="58">
        <f>IF($A1650="","",$A1650&amp;"|"&amp;$B1650&amp;"|"&amp;$C1650&amp;"|"&amp;$D1650)</f>
        <v/>
      </c>
    </row>
    <row r="1651">
      <c r="H1651" s="58">
        <f>IF($A1651="","",$A1651&amp;"|"&amp;$B1651&amp;"|"&amp;$C1651&amp;"|"&amp;$D1651)</f>
        <v/>
      </c>
    </row>
    <row r="1652">
      <c r="H1652" s="58">
        <f>IF($A1652="","",$A1652&amp;"|"&amp;$B1652&amp;"|"&amp;$C1652&amp;"|"&amp;$D1652)</f>
        <v/>
      </c>
    </row>
    <row r="1653">
      <c r="H1653" s="58">
        <f>IF($A1653="","",$A1653&amp;"|"&amp;$B1653&amp;"|"&amp;$C1653&amp;"|"&amp;$D1653)</f>
        <v/>
      </c>
    </row>
    <row r="1654">
      <c r="H1654" s="58">
        <f>IF($A1654="","",$A1654&amp;"|"&amp;$B1654&amp;"|"&amp;$C1654&amp;"|"&amp;$D1654)</f>
        <v/>
      </c>
    </row>
    <row r="1655">
      <c r="H1655" s="58">
        <f>IF($A1655="","",$A1655&amp;"|"&amp;$B1655&amp;"|"&amp;$C1655&amp;"|"&amp;$D1655)</f>
        <v/>
      </c>
    </row>
    <row r="1656">
      <c r="H1656" s="58">
        <f>IF($A1656="","",$A1656&amp;"|"&amp;$B1656&amp;"|"&amp;$C1656&amp;"|"&amp;$D1656)</f>
        <v/>
      </c>
    </row>
    <row r="1657">
      <c r="H1657" s="58">
        <f>IF($A1657="","",$A1657&amp;"|"&amp;$B1657&amp;"|"&amp;$C1657&amp;"|"&amp;$D1657)</f>
        <v/>
      </c>
    </row>
    <row r="1658">
      <c r="H1658" s="58">
        <f>IF($A1658="","",$A1658&amp;"|"&amp;$B1658&amp;"|"&amp;$C1658&amp;"|"&amp;$D1658)</f>
        <v/>
      </c>
    </row>
    <row r="1659">
      <c r="H1659" s="58">
        <f>IF($A1659="","",$A1659&amp;"|"&amp;$B1659&amp;"|"&amp;$C1659&amp;"|"&amp;$D1659)</f>
        <v/>
      </c>
    </row>
    <row r="1660">
      <c r="H1660" s="58">
        <f>IF($A1660="","",$A1660&amp;"|"&amp;$B1660&amp;"|"&amp;$C1660&amp;"|"&amp;$D1660)</f>
        <v/>
      </c>
    </row>
    <row r="1661">
      <c r="H1661" s="58">
        <f>IF($A1661="","",$A1661&amp;"|"&amp;$B1661&amp;"|"&amp;$C1661&amp;"|"&amp;$D1661)</f>
        <v/>
      </c>
    </row>
    <row r="1662">
      <c r="H1662" s="58">
        <f>IF($A1662="","",$A1662&amp;"|"&amp;$B1662&amp;"|"&amp;$C1662&amp;"|"&amp;$D1662)</f>
        <v/>
      </c>
    </row>
    <row r="1663">
      <c r="H1663" s="58">
        <f>IF($A1663="","",$A1663&amp;"|"&amp;$B1663&amp;"|"&amp;$C1663&amp;"|"&amp;$D1663)</f>
        <v/>
      </c>
    </row>
    <row r="1664">
      <c r="H1664" s="58">
        <f>IF($A1664="","",$A1664&amp;"|"&amp;$B1664&amp;"|"&amp;$C1664&amp;"|"&amp;$D1664)</f>
        <v/>
      </c>
    </row>
    <row r="1665">
      <c r="H1665" s="58">
        <f>IF($A1665="","",$A1665&amp;"|"&amp;$B1665&amp;"|"&amp;$C1665&amp;"|"&amp;$D1665)</f>
        <v/>
      </c>
    </row>
    <row r="1666">
      <c r="H1666" s="58">
        <f>IF($A1666="","",$A1666&amp;"|"&amp;$B1666&amp;"|"&amp;$C1666&amp;"|"&amp;$D1666)</f>
        <v/>
      </c>
    </row>
    <row r="1667">
      <c r="H1667" s="58">
        <f>IF($A1667="","",$A1667&amp;"|"&amp;$B1667&amp;"|"&amp;$C1667&amp;"|"&amp;$D1667)</f>
        <v/>
      </c>
    </row>
    <row r="1668">
      <c r="H1668" s="58">
        <f>IF($A1668="","",$A1668&amp;"|"&amp;$B1668&amp;"|"&amp;$C1668&amp;"|"&amp;$D1668)</f>
        <v/>
      </c>
    </row>
    <row r="1669">
      <c r="H1669" s="58">
        <f>IF($A1669="","",$A1669&amp;"|"&amp;$B1669&amp;"|"&amp;$C1669&amp;"|"&amp;$D1669)</f>
        <v/>
      </c>
    </row>
    <row r="1670">
      <c r="H1670" s="58">
        <f>IF($A1670="","",$A1670&amp;"|"&amp;$B1670&amp;"|"&amp;$C1670&amp;"|"&amp;$D1670)</f>
        <v/>
      </c>
    </row>
    <row r="1671">
      <c r="H1671" s="58">
        <f>IF($A1671="","",$A1671&amp;"|"&amp;$B1671&amp;"|"&amp;$C1671&amp;"|"&amp;$D1671)</f>
        <v/>
      </c>
    </row>
    <row r="1672">
      <c r="H1672" s="58">
        <f>IF($A1672="","",$A1672&amp;"|"&amp;$B1672&amp;"|"&amp;$C1672&amp;"|"&amp;$D1672)</f>
        <v/>
      </c>
    </row>
    <row r="1673">
      <c r="H1673" s="58">
        <f>IF($A1673="","",$A1673&amp;"|"&amp;$B1673&amp;"|"&amp;$C1673&amp;"|"&amp;$D1673)</f>
        <v/>
      </c>
    </row>
    <row r="1674">
      <c r="H1674" s="58">
        <f>IF($A1674="","",$A1674&amp;"|"&amp;$B1674&amp;"|"&amp;$C1674&amp;"|"&amp;$D1674)</f>
        <v/>
      </c>
    </row>
    <row r="1675">
      <c r="H1675" s="58">
        <f>IF($A1675="","",$A1675&amp;"|"&amp;$B1675&amp;"|"&amp;$C1675&amp;"|"&amp;$D1675)</f>
        <v/>
      </c>
    </row>
    <row r="1676">
      <c r="H1676" s="58">
        <f>IF($A1676="","",$A1676&amp;"|"&amp;$B1676&amp;"|"&amp;$C1676&amp;"|"&amp;$D1676)</f>
        <v/>
      </c>
    </row>
    <row r="1677">
      <c r="H1677" s="58">
        <f>IF($A1677="","",$A1677&amp;"|"&amp;$B1677&amp;"|"&amp;$C1677&amp;"|"&amp;$D1677)</f>
        <v/>
      </c>
    </row>
    <row r="1678">
      <c r="H1678" s="58">
        <f>IF($A1678="","",$A1678&amp;"|"&amp;$B1678&amp;"|"&amp;$C1678&amp;"|"&amp;$D1678)</f>
        <v/>
      </c>
    </row>
    <row r="1679">
      <c r="H1679" s="58">
        <f>IF($A1679="","",$A1679&amp;"|"&amp;$B1679&amp;"|"&amp;$C1679&amp;"|"&amp;$D1679)</f>
        <v/>
      </c>
    </row>
    <row r="1680">
      <c r="H1680" s="58">
        <f>IF($A1680="","",$A1680&amp;"|"&amp;$B1680&amp;"|"&amp;$C1680&amp;"|"&amp;$D1680)</f>
        <v/>
      </c>
    </row>
    <row r="1681">
      <c r="H1681" s="58">
        <f>IF($A1681="","",$A1681&amp;"|"&amp;$B1681&amp;"|"&amp;$C1681&amp;"|"&amp;$D1681)</f>
        <v/>
      </c>
    </row>
    <row r="1682">
      <c r="H1682" s="58">
        <f>IF($A1682="","",$A1682&amp;"|"&amp;$B1682&amp;"|"&amp;$C1682&amp;"|"&amp;$D1682)</f>
        <v/>
      </c>
    </row>
    <row r="1683">
      <c r="H1683" s="58">
        <f>IF($A1683="","",$A1683&amp;"|"&amp;$B1683&amp;"|"&amp;$C1683&amp;"|"&amp;$D1683)</f>
        <v/>
      </c>
    </row>
    <row r="1684">
      <c r="H1684" s="58">
        <f>IF($A1684="","",$A1684&amp;"|"&amp;$B1684&amp;"|"&amp;$C1684&amp;"|"&amp;$D1684)</f>
        <v/>
      </c>
    </row>
    <row r="1685">
      <c r="H1685" s="58">
        <f>IF($A1685="","",$A1685&amp;"|"&amp;$B1685&amp;"|"&amp;$C1685&amp;"|"&amp;$D1685)</f>
        <v/>
      </c>
    </row>
    <row r="1686">
      <c r="H1686" s="58">
        <f>IF($A1686="","",$A1686&amp;"|"&amp;$B1686&amp;"|"&amp;$C1686&amp;"|"&amp;$D1686)</f>
        <v/>
      </c>
    </row>
    <row r="1687">
      <c r="H1687" s="58">
        <f>IF($A1687="","",$A1687&amp;"|"&amp;$B1687&amp;"|"&amp;$C1687&amp;"|"&amp;$D1687)</f>
        <v/>
      </c>
    </row>
    <row r="1688">
      <c r="H1688" s="58">
        <f>IF($A1688="","",$A1688&amp;"|"&amp;$B1688&amp;"|"&amp;$C1688&amp;"|"&amp;$D1688)</f>
        <v/>
      </c>
    </row>
    <row r="1689">
      <c r="H1689" s="58">
        <f>IF($A1689="","",$A1689&amp;"|"&amp;$B1689&amp;"|"&amp;$C1689&amp;"|"&amp;$D1689)</f>
        <v/>
      </c>
    </row>
    <row r="1690">
      <c r="H1690" s="58">
        <f>IF($A1690="","",$A1690&amp;"|"&amp;$B1690&amp;"|"&amp;$C1690&amp;"|"&amp;$D1690)</f>
        <v/>
      </c>
    </row>
    <row r="1691">
      <c r="H1691" s="58">
        <f>IF($A1691="","",$A1691&amp;"|"&amp;$B1691&amp;"|"&amp;$C1691&amp;"|"&amp;$D1691)</f>
        <v/>
      </c>
    </row>
    <row r="1692">
      <c r="H1692" s="58">
        <f>IF($A1692="","",$A1692&amp;"|"&amp;$B1692&amp;"|"&amp;$C1692&amp;"|"&amp;$D1692)</f>
        <v/>
      </c>
    </row>
    <row r="1693">
      <c r="H1693" s="58">
        <f>IF($A1693="","",$A1693&amp;"|"&amp;$B1693&amp;"|"&amp;$C1693&amp;"|"&amp;$D1693)</f>
        <v/>
      </c>
    </row>
    <row r="1694">
      <c r="H1694" s="58">
        <f>IF($A1694="","",$A1694&amp;"|"&amp;$B1694&amp;"|"&amp;$C1694&amp;"|"&amp;$D1694)</f>
        <v/>
      </c>
    </row>
    <row r="1695">
      <c r="H1695" s="58">
        <f>IF($A1695="","",$A1695&amp;"|"&amp;$B1695&amp;"|"&amp;$C1695&amp;"|"&amp;$D1695)</f>
        <v/>
      </c>
    </row>
    <row r="1696">
      <c r="H1696" s="58">
        <f>IF($A1696="","",$A1696&amp;"|"&amp;$B1696&amp;"|"&amp;$C1696&amp;"|"&amp;$D1696)</f>
        <v/>
      </c>
    </row>
    <row r="1697">
      <c r="H1697" s="58">
        <f>IF($A1697="","",$A1697&amp;"|"&amp;$B1697&amp;"|"&amp;$C1697&amp;"|"&amp;$D1697)</f>
        <v/>
      </c>
    </row>
    <row r="1698">
      <c r="H1698" s="58">
        <f>IF($A1698="","",$A1698&amp;"|"&amp;$B1698&amp;"|"&amp;$C1698&amp;"|"&amp;$D1698)</f>
        <v/>
      </c>
    </row>
    <row r="1699">
      <c r="H1699" s="58">
        <f>IF($A1699="","",$A1699&amp;"|"&amp;$B1699&amp;"|"&amp;$C1699&amp;"|"&amp;$D1699)</f>
        <v/>
      </c>
    </row>
    <row r="1700">
      <c r="H1700" s="58">
        <f>IF($A1700="","",$A1700&amp;"|"&amp;$B1700&amp;"|"&amp;$C1700&amp;"|"&amp;$D1700)</f>
        <v/>
      </c>
    </row>
    <row r="1701">
      <c r="H1701" s="58">
        <f>IF($A1701="","",$A1701&amp;"|"&amp;$B1701&amp;"|"&amp;$C1701&amp;"|"&amp;$D1701)</f>
        <v/>
      </c>
    </row>
    <row r="1702">
      <c r="H1702" s="58">
        <f>IF($A1702="","",$A1702&amp;"|"&amp;$B1702&amp;"|"&amp;$C1702&amp;"|"&amp;$D1702)</f>
        <v/>
      </c>
    </row>
    <row r="1703">
      <c r="H1703" s="58">
        <f>IF($A1703="","",$A1703&amp;"|"&amp;$B1703&amp;"|"&amp;$C1703&amp;"|"&amp;$D1703)</f>
        <v/>
      </c>
    </row>
    <row r="1704">
      <c r="H1704" s="58">
        <f>IF($A1704="","",$A1704&amp;"|"&amp;$B1704&amp;"|"&amp;$C1704&amp;"|"&amp;$D1704)</f>
        <v/>
      </c>
    </row>
    <row r="1705">
      <c r="H1705" s="58">
        <f>IF($A1705="","",$A1705&amp;"|"&amp;$B1705&amp;"|"&amp;$C1705&amp;"|"&amp;$D1705)</f>
        <v/>
      </c>
    </row>
    <row r="1706">
      <c r="H1706" s="58">
        <f>IF($A1706="","",$A1706&amp;"|"&amp;$B1706&amp;"|"&amp;$C1706&amp;"|"&amp;$D1706)</f>
        <v/>
      </c>
    </row>
    <row r="1707">
      <c r="H1707" s="58">
        <f>IF($A1707="","",$A1707&amp;"|"&amp;$B1707&amp;"|"&amp;$C1707&amp;"|"&amp;$D1707)</f>
        <v/>
      </c>
    </row>
    <row r="1708">
      <c r="H1708" s="58">
        <f>IF($A1708="","",$A1708&amp;"|"&amp;$B1708&amp;"|"&amp;$C1708&amp;"|"&amp;$D1708)</f>
        <v/>
      </c>
    </row>
    <row r="1709">
      <c r="H1709" s="58">
        <f>IF($A1709="","",$A1709&amp;"|"&amp;$B1709&amp;"|"&amp;$C1709&amp;"|"&amp;$D1709)</f>
        <v/>
      </c>
    </row>
    <row r="1710">
      <c r="H1710" s="58">
        <f>IF($A1710="","",$A1710&amp;"|"&amp;$B1710&amp;"|"&amp;$C1710&amp;"|"&amp;$D1710)</f>
        <v/>
      </c>
    </row>
    <row r="1711">
      <c r="H1711" s="58">
        <f>IF($A1711="","",$A1711&amp;"|"&amp;$B1711&amp;"|"&amp;$C1711&amp;"|"&amp;$D1711)</f>
        <v/>
      </c>
    </row>
    <row r="1712">
      <c r="H1712" s="58">
        <f>IF($A1712="","",$A1712&amp;"|"&amp;$B1712&amp;"|"&amp;$C1712&amp;"|"&amp;$D1712)</f>
        <v/>
      </c>
    </row>
    <row r="1713">
      <c r="H1713" s="58">
        <f>IF($A1713="","",$A1713&amp;"|"&amp;$B1713&amp;"|"&amp;$C1713&amp;"|"&amp;$D1713)</f>
        <v/>
      </c>
    </row>
    <row r="1714">
      <c r="H1714" s="58">
        <f>IF($A1714="","",$A1714&amp;"|"&amp;$B1714&amp;"|"&amp;$C1714&amp;"|"&amp;$D1714)</f>
        <v/>
      </c>
    </row>
    <row r="1715">
      <c r="H1715" s="58">
        <f>IF($A1715="","",$A1715&amp;"|"&amp;$B1715&amp;"|"&amp;$C1715&amp;"|"&amp;$D1715)</f>
        <v/>
      </c>
    </row>
    <row r="1716">
      <c r="H1716" s="58">
        <f>IF($A1716="","",$A1716&amp;"|"&amp;$B1716&amp;"|"&amp;$C1716&amp;"|"&amp;$D1716)</f>
        <v/>
      </c>
    </row>
    <row r="1717">
      <c r="H1717" s="58">
        <f>IF($A1717="","",$A1717&amp;"|"&amp;$B1717&amp;"|"&amp;$C1717&amp;"|"&amp;$D1717)</f>
        <v/>
      </c>
    </row>
    <row r="1718">
      <c r="H1718" s="58">
        <f>IF($A1718="","",$A1718&amp;"|"&amp;$B1718&amp;"|"&amp;$C1718&amp;"|"&amp;$D1718)</f>
        <v/>
      </c>
    </row>
    <row r="1719">
      <c r="H1719" s="58">
        <f>IF($A1719="","",$A1719&amp;"|"&amp;$B1719&amp;"|"&amp;$C1719&amp;"|"&amp;$D1719)</f>
        <v/>
      </c>
    </row>
    <row r="1720">
      <c r="H1720" s="58">
        <f>IF($A1720="","",$A1720&amp;"|"&amp;$B1720&amp;"|"&amp;$C1720&amp;"|"&amp;$D1720)</f>
        <v/>
      </c>
    </row>
    <row r="1721">
      <c r="H1721" s="58">
        <f>IF($A1721="","",$A1721&amp;"|"&amp;$B1721&amp;"|"&amp;$C1721&amp;"|"&amp;$D1721)</f>
        <v/>
      </c>
    </row>
    <row r="1722">
      <c r="H1722" s="58">
        <f>IF($A1722="","",$A1722&amp;"|"&amp;$B1722&amp;"|"&amp;$C1722&amp;"|"&amp;$D1722)</f>
        <v/>
      </c>
    </row>
    <row r="1723">
      <c r="H1723" s="58">
        <f>IF($A1723="","",$A1723&amp;"|"&amp;$B1723&amp;"|"&amp;$C1723&amp;"|"&amp;$D1723)</f>
        <v/>
      </c>
    </row>
    <row r="1724">
      <c r="H1724" s="58">
        <f>IF($A1724="","",$A1724&amp;"|"&amp;$B1724&amp;"|"&amp;$C1724&amp;"|"&amp;$D1724)</f>
        <v/>
      </c>
    </row>
    <row r="1725">
      <c r="H1725" s="58">
        <f>IF($A1725="","",$A1725&amp;"|"&amp;$B1725&amp;"|"&amp;$C1725&amp;"|"&amp;$D1725)</f>
        <v/>
      </c>
    </row>
    <row r="1726">
      <c r="H1726" s="58">
        <f>IF($A1726="","",$A1726&amp;"|"&amp;$B1726&amp;"|"&amp;$C1726&amp;"|"&amp;$D1726)</f>
        <v/>
      </c>
    </row>
    <row r="1727">
      <c r="H1727" s="58">
        <f>IF($A1727="","",$A1727&amp;"|"&amp;$B1727&amp;"|"&amp;$C1727&amp;"|"&amp;$D1727)</f>
        <v/>
      </c>
    </row>
    <row r="1728">
      <c r="H1728" s="58">
        <f>IF($A1728="","",$A1728&amp;"|"&amp;$B1728&amp;"|"&amp;$C1728&amp;"|"&amp;$D1728)</f>
        <v/>
      </c>
    </row>
    <row r="1729">
      <c r="H1729" s="58">
        <f>IF($A1729="","",$A1729&amp;"|"&amp;$B1729&amp;"|"&amp;$C1729&amp;"|"&amp;$D1729)</f>
        <v/>
      </c>
    </row>
    <row r="1730">
      <c r="H1730" s="58">
        <f>IF($A1730="","",$A1730&amp;"|"&amp;$B1730&amp;"|"&amp;$C1730&amp;"|"&amp;$D1730)</f>
        <v/>
      </c>
    </row>
    <row r="1731">
      <c r="H1731" s="58">
        <f>IF($A1731="","",$A1731&amp;"|"&amp;$B1731&amp;"|"&amp;$C1731&amp;"|"&amp;$D1731)</f>
        <v/>
      </c>
    </row>
    <row r="1732">
      <c r="H1732" s="58">
        <f>IF($A1732="","",$A1732&amp;"|"&amp;$B1732&amp;"|"&amp;$C1732&amp;"|"&amp;$D1732)</f>
        <v/>
      </c>
    </row>
    <row r="1733">
      <c r="H1733" s="58">
        <f>IF($A1733="","",$A1733&amp;"|"&amp;$B1733&amp;"|"&amp;$C1733&amp;"|"&amp;$D1733)</f>
        <v/>
      </c>
    </row>
    <row r="1734">
      <c r="H1734" s="58">
        <f>IF($A1734="","",$A1734&amp;"|"&amp;$B1734&amp;"|"&amp;$C1734&amp;"|"&amp;$D1734)</f>
        <v/>
      </c>
    </row>
    <row r="1735">
      <c r="H1735" s="58">
        <f>IF($A1735="","",$A1735&amp;"|"&amp;$B1735&amp;"|"&amp;$C1735&amp;"|"&amp;$D1735)</f>
        <v/>
      </c>
    </row>
    <row r="1736">
      <c r="H1736" s="58">
        <f>IF($A1736="","",$A1736&amp;"|"&amp;$B1736&amp;"|"&amp;$C1736&amp;"|"&amp;$D1736)</f>
        <v/>
      </c>
    </row>
    <row r="1737">
      <c r="H1737" s="58">
        <f>IF($A1737="","",$A1737&amp;"|"&amp;$B1737&amp;"|"&amp;$C1737&amp;"|"&amp;$D1737)</f>
        <v/>
      </c>
    </row>
    <row r="1738">
      <c r="H1738" s="58">
        <f>IF($A1738="","",$A1738&amp;"|"&amp;$B1738&amp;"|"&amp;$C1738&amp;"|"&amp;$D1738)</f>
        <v/>
      </c>
    </row>
    <row r="1739">
      <c r="H1739" s="58">
        <f>IF($A1739="","",$A1739&amp;"|"&amp;$B1739&amp;"|"&amp;$C1739&amp;"|"&amp;$D1739)</f>
        <v/>
      </c>
    </row>
    <row r="1740">
      <c r="H1740" s="58">
        <f>IF($A1740="","",$A1740&amp;"|"&amp;$B1740&amp;"|"&amp;$C1740&amp;"|"&amp;$D1740)</f>
        <v/>
      </c>
    </row>
    <row r="1741">
      <c r="H1741" s="58">
        <f>IF($A1741="","",$A1741&amp;"|"&amp;$B1741&amp;"|"&amp;$C1741&amp;"|"&amp;$D1741)</f>
        <v/>
      </c>
    </row>
    <row r="1742">
      <c r="H1742" s="58">
        <f>IF($A1742="","",$A1742&amp;"|"&amp;$B1742&amp;"|"&amp;$C1742&amp;"|"&amp;$D1742)</f>
        <v/>
      </c>
    </row>
    <row r="1743">
      <c r="H1743" s="58">
        <f>IF($A1743="","",$A1743&amp;"|"&amp;$B1743&amp;"|"&amp;$C1743&amp;"|"&amp;$D1743)</f>
        <v/>
      </c>
    </row>
    <row r="1744">
      <c r="H1744" s="58">
        <f>IF($A1744="","",$A1744&amp;"|"&amp;$B1744&amp;"|"&amp;$C1744&amp;"|"&amp;$D1744)</f>
        <v/>
      </c>
    </row>
    <row r="1745">
      <c r="H1745" s="58">
        <f>IF($A1745="","",$A1745&amp;"|"&amp;$B1745&amp;"|"&amp;$C1745&amp;"|"&amp;$D1745)</f>
        <v/>
      </c>
    </row>
    <row r="1746">
      <c r="H1746" s="58">
        <f>IF($A1746="","",$A1746&amp;"|"&amp;$B1746&amp;"|"&amp;$C1746&amp;"|"&amp;$D1746)</f>
        <v/>
      </c>
    </row>
    <row r="1747">
      <c r="H1747" s="58">
        <f>IF($A1747="","",$A1747&amp;"|"&amp;$B1747&amp;"|"&amp;$C1747&amp;"|"&amp;$D1747)</f>
        <v/>
      </c>
    </row>
    <row r="1748">
      <c r="H1748" s="58">
        <f>IF($A1748="","",$A1748&amp;"|"&amp;$B1748&amp;"|"&amp;$C1748&amp;"|"&amp;$D1748)</f>
        <v/>
      </c>
    </row>
    <row r="1749">
      <c r="H1749" s="58">
        <f>IF($A1749="","",$A1749&amp;"|"&amp;$B1749&amp;"|"&amp;$C1749&amp;"|"&amp;$D1749)</f>
        <v/>
      </c>
    </row>
    <row r="1750">
      <c r="H1750" s="58">
        <f>IF($A1750="","",$A1750&amp;"|"&amp;$B1750&amp;"|"&amp;$C1750&amp;"|"&amp;$D1750)</f>
        <v/>
      </c>
    </row>
    <row r="1751">
      <c r="H1751" s="58">
        <f>IF($A1751="","",$A1751&amp;"|"&amp;$B1751&amp;"|"&amp;$C1751&amp;"|"&amp;$D1751)</f>
        <v/>
      </c>
    </row>
    <row r="1752">
      <c r="H1752" s="58">
        <f>IF($A1752="","",$A1752&amp;"|"&amp;$B1752&amp;"|"&amp;$C1752&amp;"|"&amp;$D1752)</f>
        <v/>
      </c>
    </row>
    <row r="1753">
      <c r="H1753" s="58">
        <f>IF($A1753="","",$A1753&amp;"|"&amp;$B1753&amp;"|"&amp;$C1753&amp;"|"&amp;$D1753)</f>
        <v/>
      </c>
    </row>
    <row r="1754">
      <c r="H1754" s="58">
        <f>IF($A1754="","",$A1754&amp;"|"&amp;$B1754&amp;"|"&amp;$C1754&amp;"|"&amp;$D1754)</f>
        <v/>
      </c>
    </row>
    <row r="1755">
      <c r="H1755" s="58">
        <f>IF($A1755="","",$A1755&amp;"|"&amp;$B1755&amp;"|"&amp;$C1755&amp;"|"&amp;$D1755)</f>
        <v/>
      </c>
    </row>
    <row r="1756">
      <c r="H1756" s="58">
        <f>IF($A1756="","",$A1756&amp;"|"&amp;$B1756&amp;"|"&amp;$C1756&amp;"|"&amp;$D1756)</f>
        <v/>
      </c>
    </row>
    <row r="1757">
      <c r="H1757" s="58">
        <f>IF($A1757="","",$A1757&amp;"|"&amp;$B1757&amp;"|"&amp;$C1757&amp;"|"&amp;$D1757)</f>
        <v/>
      </c>
    </row>
    <row r="1758">
      <c r="H1758" s="58">
        <f>IF($A1758="","",$A1758&amp;"|"&amp;$B1758&amp;"|"&amp;$C1758&amp;"|"&amp;$D1758)</f>
        <v/>
      </c>
    </row>
    <row r="1759">
      <c r="H1759" s="58">
        <f>IF($A1759="","",$A1759&amp;"|"&amp;$B1759&amp;"|"&amp;$C1759&amp;"|"&amp;$D1759)</f>
        <v/>
      </c>
    </row>
    <row r="1760">
      <c r="H1760" s="58">
        <f>IF($A1760="","",$A1760&amp;"|"&amp;$B1760&amp;"|"&amp;$C1760&amp;"|"&amp;$D1760)</f>
        <v/>
      </c>
    </row>
    <row r="1761">
      <c r="H1761" s="58">
        <f>IF($A1761="","",$A1761&amp;"|"&amp;$B1761&amp;"|"&amp;$C1761&amp;"|"&amp;$D1761)</f>
        <v/>
      </c>
    </row>
    <row r="1762">
      <c r="H1762" s="58">
        <f>IF($A1762="","",$A1762&amp;"|"&amp;$B1762&amp;"|"&amp;$C1762&amp;"|"&amp;$D1762)</f>
        <v/>
      </c>
    </row>
    <row r="1763">
      <c r="H1763" s="58">
        <f>IF($A1763="","",$A1763&amp;"|"&amp;$B1763&amp;"|"&amp;$C1763&amp;"|"&amp;$D1763)</f>
        <v/>
      </c>
    </row>
    <row r="1764">
      <c r="H1764" s="58">
        <f>IF($A1764="","",$A1764&amp;"|"&amp;$B1764&amp;"|"&amp;$C1764&amp;"|"&amp;$D1764)</f>
        <v/>
      </c>
    </row>
    <row r="1765">
      <c r="H1765" s="58">
        <f>IF($A1765="","",$A1765&amp;"|"&amp;$B1765&amp;"|"&amp;$C1765&amp;"|"&amp;$D1765)</f>
        <v/>
      </c>
    </row>
    <row r="1766">
      <c r="H1766" s="58">
        <f>IF($A1766="","",$A1766&amp;"|"&amp;$B1766&amp;"|"&amp;$C1766&amp;"|"&amp;$D1766)</f>
        <v/>
      </c>
    </row>
    <row r="1767">
      <c r="H1767" s="58">
        <f>IF($A1767="","",$A1767&amp;"|"&amp;$B1767&amp;"|"&amp;$C1767&amp;"|"&amp;$D1767)</f>
        <v/>
      </c>
    </row>
    <row r="1768">
      <c r="H1768" s="58">
        <f>IF($A1768="","",$A1768&amp;"|"&amp;$B1768&amp;"|"&amp;$C1768&amp;"|"&amp;$D1768)</f>
        <v/>
      </c>
    </row>
    <row r="1769">
      <c r="H1769" s="58">
        <f>IF($A1769="","",$A1769&amp;"|"&amp;$B1769&amp;"|"&amp;$C1769&amp;"|"&amp;$D1769)</f>
        <v/>
      </c>
    </row>
    <row r="1770">
      <c r="H1770" s="58">
        <f>IF($A1770="","",$A1770&amp;"|"&amp;$B1770&amp;"|"&amp;$C1770&amp;"|"&amp;$D1770)</f>
        <v/>
      </c>
    </row>
    <row r="1771">
      <c r="H1771" s="58">
        <f>IF($A1771="","",$A1771&amp;"|"&amp;$B1771&amp;"|"&amp;$C1771&amp;"|"&amp;$D1771)</f>
        <v/>
      </c>
    </row>
    <row r="1772">
      <c r="H1772" s="58">
        <f>IF($A1772="","",$A1772&amp;"|"&amp;$B1772&amp;"|"&amp;$C1772&amp;"|"&amp;$D1772)</f>
        <v/>
      </c>
    </row>
    <row r="1773">
      <c r="H1773" s="58">
        <f>IF($A1773="","",$A1773&amp;"|"&amp;$B1773&amp;"|"&amp;$C1773&amp;"|"&amp;$D1773)</f>
        <v/>
      </c>
    </row>
    <row r="1774">
      <c r="H1774" s="58">
        <f>IF($A1774="","",$A1774&amp;"|"&amp;$B1774&amp;"|"&amp;$C1774&amp;"|"&amp;$D1774)</f>
        <v/>
      </c>
    </row>
    <row r="1775">
      <c r="H1775" s="58">
        <f>IF($A1775="","",$A1775&amp;"|"&amp;$B1775&amp;"|"&amp;$C1775&amp;"|"&amp;$D1775)</f>
        <v/>
      </c>
    </row>
    <row r="1776">
      <c r="H1776" s="58">
        <f>IF($A1776="","",$A1776&amp;"|"&amp;$B1776&amp;"|"&amp;$C1776&amp;"|"&amp;$D1776)</f>
        <v/>
      </c>
    </row>
    <row r="1777">
      <c r="H1777" s="58">
        <f>IF($A1777="","",$A1777&amp;"|"&amp;$B1777&amp;"|"&amp;$C1777&amp;"|"&amp;$D1777)</f>
        <v/>
      </c>
    </row>
    <row r="1778">
      <c r="H1778" s="58">
        <f>IF($A1778="","",$A1778&amp;"|"&amp;$B1778&amp;"|"&amp;$C1778&amp;"|"&amp;$D1778)</f>
        <v/>
      </c>
    </row>
    <row r="1779">
      <c r="H1779" s="58">
        <f>IF($A1779="","",$A1779&amp;"|"&amp;$B1779&amp;"|"&amp;$C1779&amp;"|"&amp;$D1779)</f>
        <v/>
      </c>
    </row>
    <row r="1780">
      <c r="H1780" s="58">
        <f>IF($A1780="","",$A1780&amp;"|"&amp;$B1780&amp;"|"&amp;$C1780&amp;"|"&amp;$D1780)</f>
        <v/>
      </c>
    </row>
    <row r="1781">
      <c r="H1781" s="58">
        <f>IF($A1781="","",$A1781&amp;"|"&amp;$B1781&amp;"|"&amp;$C1781&amp;"|"&amp;$D1781)</f>
        <v/>
      </c>
    </row>
    <row r="1782">
      <c r="H1782" s="58">
        <f>IF($A1782="","",$A1782&amp;"|"&amp;$B1782&amp;"|"&amp;$C1782&amp;"|"&amp;$D1782)</f>
        <v/>
      </c>
    </row>
    <row r="1783">
      <c r="H1783" s="58">
        <f>IF($A1783="","",$A1783&amp;"|"&amp;$B1783&amp;"|"&amp;$C1783&amp;"|"&amp;$D1783)</f>
        <v/>
      </c>
    </row>
    <row r="1784">
      <c r="H1784" s="58">
        <f>IF($A1784="","",$A1784&amp;"|"&amp;$B1784&amp;"|"&amp;$C1784&amp;"|"&amp;$D1784)</f>
        <v/>
      </c>
    </row>
    <row r="1785">
      <c r="H1785" s="58">
        <f>IF($A1785="","",$A1785&amp;"|"&amp;$B1785&amp;"|"&amp;$C1785&amp;"|"&amp;$D1785)</f>
        <v/>
      </c>
    </row>
    <row r="1786">
      <c r="H1786" s="58">
        <f>IF($A1786="","",$A1786&amp;"|"&amp;$B1786&amp;"|"&amp;$C1786&amp;"|"&amp;$D1786)</f>
        <v/>
      </c>
    </row>
    <row r="1787">
      <c r="H1787" s="58">
        <f>IF($A1787="","",$A1787&amp;"|"&amp;$B1787&amp;"|"&amp;$C1787&amp;"|"&amp;$D1787)</f>
        <v/>
      </c>
    </row>
    <row r="1788">
      <c r="H1788" s="58">
        <f>IF($A1788="","",$A1788&amp;"|"&amp;$B1788&amp;"|"&amp;$C1788&amp;"|"&amp;$D1788)</f>
        <v/>
      </c>
    </row>
    <row r="1789">
      <c r="H1789" s="58">
        <f>IF($A1789="","",$A1789&amp;"|"&amp;$B1789&amp;"|"&amp;$C1789&amp;"|"&amp;$D1789)</f>
        <v/>
      </c>
    </row>
    <row r="1790">
      <c r="H1790" s="58">
        <f>IF($A1790="","",$A1790&amp;"|"&amp;$B1790&amp;"|"&amp;$C1790&amp;"|"&amp;$D1790)</f>
        <v/>
      </c>
    </row>
    <row r="1791">
      <c r="H1791" s="58">
        <f>IF($A1791="","",$A1791&amp;"|"&amp;$B1791&amp;"|"&amp;$C1791&amp;"|"&amp;$D1791)</f>
        <v/>
      </c>
    </row>
    <row r="1792">
      <c r="H1792" s="58">
        <f>IF($A1792="","",$A1792&amp;"|"&amp;$B1792&amp;"|"&amp;$C1792&amp;"|"&amp;$D1792)</f>
        <v/>
      </c>
    </row>
    <row r="1793">
      <c r="H1793" s="58">
        <f>IF($A1793="","",$A1793&amp;"|"&amp;$B1793&amp;"|"&amp;$C1793&amp;"|"&amp;$D1793)</f>
        <v/>
      </c>
    </row>
    <row r="1794">
      <c r="H1794" s="58">
        <f>IF($A1794="","",$A1794&amp;"|"&amp;$B1794&amp;"|"&amp;$C1794&amp;"|"&amp;$D1794)</f>
        <v/>
      </c>
    </row>
    <row r="1795">
      <c r="H1795" s="58">
        <f>IF($A1795="","",$A1795&amp;"|"&amp;$B1795&amp;"|"&amp;$C1795&amp;"|"&amp;$D1795)</f>
        <v/>
      </c>
    </row>
    <row r="1796">
      <c r="H1796" s="58">
        <f>IF($A1796="","",$A1796&amp;"|"&amp;$B1796&amp;"|"&amp;$C1796&amp;"|"&amp;$D1796)</f>
        <v/>
      </c>
    </row>
    <row r="1797">
      <c r="H1797" s="58">
        <f>IF($A1797="","",$A1797&amp;"|"&amp;$B1797&amp;"|"&amp;$C1797&amp;"|"&amp;$D1797)</f>
        <v/>
      </c>
    </row>
    <row r="1798">
      <c r="H1798" s="58">
        <f>IF($A1798="","",$A1798&amp;"|"&amp;$B1798&amp;"|"&amp;$C1798&amp;"|"&amp;$D1798)</f>
        <v/>
      </c>
    </row>
    <row r="1799">
      <c r="H1799" s="58">
        <f>IF($A1799="","",$A1799&amp;"|"&amp;$B1799&amp;"|"&amp;$C1799&amp;"|"&amp;$D1799)</f>
        <v/>
      </c>
    </row>
    <row r="1800">
      <c r="H1800" s="58">
        <f>IF($A1800="","",$A1800&amp;"|"&amp;$B1800&amp;"|"&amp;$C1800&amp;"|"&amp;$D1800)</f>
        <v/>
      </c>
    </row>
    <row r="1801">
      <c r="H1801" s="58">
        <f>IF($A1801="","",$A1801&amp;"|"&amp;$B1801&amp;"|"&amp;$C1801&amp;"|"&amp;$D1801)</f>
        <v/>
      </c>
    </row>
    <row r="1802">
      <c r="H1802" s="58">
        <f>IF($A1802="","",$A1802&amp;"|"&amp;$B1802&amp;"|"&amp;$C1802&amp;"|"&amp;$D1802)</f>
        <v/>
      </c>
    </row>
    <row r="1803">
      <c r="H1803" s="58">
        <f>IF($A1803="","",$A1803&amp;"|"&amp;$B1803&amp;"|"&amp;$C1803&amp;"|"&amp;$D1803)</f>
        <v/>
      </c>
    </row>
    <row r="1804">
      <c r="H1804" s="58">
        <f>IF($A1804="","",$A1804&amp;"|"&amp;$B1804&amp;"|"&amp;$C1804&amp;"|"&amp;$D1804)</f>
        <v/>
      </c>
    </row>
    <row r="1805">
      <c r="H1805" s="58">
        <f>IF($A1805="","",$A1805&amp;"|"&amp;$B1805&amp;"|"&amp;$C1805&amp;"|"&amp;$D1805)</f>
        <v/>
      </c>
    </row>
    <row r="1806">
      <c r="H1806" s="58">
        <f>IF($A1806="","",$A1806&amp;"|"&amp;$B1806&amp;"|"&amp;$C1806&amp;"|"&amp;$D1806)</f>
        <v/>
      </c>
    </row>
    <row r="1807">
      <c r="H1807" s="58">
        <f>IF($A1807="","",$A1807&amp;"|"&amp;$B1807&amp;"|"&amp;$C1807&amp;"|"&amp;$D1807)</f>
        <v/>
      </c>
    </row>
    <row r="1808">
      <c r="H1808" s="58">
        <f>IF($A1808="","",$A1808&amp;"|"&amp;$B1808&amp;"|"&amp;$C1808&amp;"|"&amp;$D1808)</f>
        <v/>
      </c>
    </row>
    <row r="1809">
      <c r="H1809" s="58">
        <f>IF($A1809="","",$A1809&amp;"|"&amp;$B1809&amp;"|"&amp;$C1809&amp;"|"&amp;$D1809)</f>
        <v/>
      </c>
    </row>
    <row r="1810">
      <c r="H1810" s="58">
        <f>IF($A1810="","",$A1810&amp;"|"&amp;$B1810&amp;"|"&amp;$C1810&amp;"|"&amp;$D1810)</f>
        <v/>
      </c>
    </row>
    <row r="1811">
      <c r="H1811" s="58">
        <f>IF($A1811="","",$A1811&amp;"|"&amp;$B1811&amp;"|"&amp;$C1811&amp;"|"&amp;$D1811)</f>
        <v/>
      </c>
    </row>
    <row r="1812">
      <c r="H1812" s="58">
        <f>IF($A1812="","",$A1812&amp;"|"&amp;$B1812&amp;"|"&amp;$C1812&amp;"|"&amp;$D1812)</f>
        <v/>
      </c>
    </row>
    <row r="1813">
      <c r="H1813" s="58">
        <f>IF($A1813="","",$A1813&amp;"|"&amp;$B1813&amp;"|"&amp;$C1813&amp;"|"&amp;$D1813)</f>
        <v/>
      </c>
    </row>
    <row r="1814">
      <c r="H1814" s="58">
        <f>IF($A1814="","",$A1814&amp;"|"&amp;$B1814&amp;"|"&amp;$C1814&amp;"|"&amp;$D1814)</f>
        <v/>
      </c>
    </row>
    <row r="1815">
      <c r="H1815" s="58">
        <f>IF($A1815="","",$A1815&amp;"|"&amp;$B1815&amp;"|"&amp;$C1815&amp;"|"&amp;$D1815)</f>
        <v/>
      </c>
    </row>
    <row r="1816">
      <c r="H1816" s="58">
        <f>IF($A1816="","",$A1816&amp;"|"&amp;$B1816&amp;"|"&amp;$C1816&amp;"|"&amp;$D1816)</f>
        <v/>
      </c>
    </row>
    <row r="1817">
      <c r="H1817" s="58">
        <f>IF($A1817="","",$A1817&amp;"|"&amp;$B1817&amp;"|"&amp;$C1817&amp;"|"&amp;$D1817)</f>
        <v/>
      </c>
    </row>
    <row r="1818">
      <c r="H1818" s="58">
        <f>IF($A1818="","",$A1818&amp;"|"&amp;$B1818&amp;"|"&amp;$C1818&amp;"|"&amp;$D1818)</f>
        <v/>
      </c>
    </row>
    <row r="1819">
      <c r="H1819" s="58">
        <f>IF($A1819="","",$A1819&amp;"|"&amp;$B1819&amp;"|"&amp;$C1819&amp;"|"&amp;$D1819)</f>
        <v/>
      </c>
    </row>
    <row r="1820">
      <c r="H1820" s="58">
        <f>IF($A1820="","",$A1820&amp;"|"&amp;$B1820&amp;"|"&amp;$C1820&amp;"|"&amp;$D1820)</f>
        <v/>
      </c>
    </row>
    <row r="1821">
      <c r="H1821" s="58">
        <f>IF($A1821="","",$A1821&amp;"|"&amp;$B1821&amp;"|"&amp;$C1821&amp;"|"&amp;$D1821)</f>
        <v/>
      </c>
    </row>
    <row r="1822">
      <c r="H1822" s="58">
        <f>IF($A1822="","",$A1822&amp;"|"&amp;$B1822&amp;"|"&amp;$C1822&amp;"|"&amp;$D1822)</f>
        <v/>
      </c>
    </row>
    <row r="1823">
      <c r="H1823" s="58">
        <f>IF($A1823="","",$A1823&amp;"|"&amp;$B1823&amp;"|"&amp;$C1823&amp;"|"&amp;$D1823)</f>
        <v/>
      </c>
    </row>
    <row r="1824">
      <c r="H1824" s="58">
        <f>IF($A1824="","",$A1824&amp;"|"&amp;$B1824&amp;"|"&amp;$C1824&amp;"|"&amp;$D1824)</f>
        <v/>
      </c>
    </row>
    <row r="1825">
      <c r="H1825" s="58">
        <f>IF($A1825="","",$A1825&amp;"|"&amp;$B1825&amp;"|"&amp;$C1825&amp;"|"&amp;$D1825)</f>
        <v/>
      </c>
    </row>
    <row r="1826">
      <c r="H1826" s="58">
        <f>IF($A1826="","",$A1826&amp;"|"&amp;$B1826&amp;"|"&amp;$C1826&amp;"|"&amp;$D1826)</f>
        <v/>
      </c>
    </row>
    <row r="1827">
      <c r="H1827" s="58">
        <f>IF($A1827="","",$A1827&amp;"|"&amp;$B1827&amp;"|"&amp;$C1827&amp;"|"&amp;$D1827)</f>
        <v/>
      </c>
    </row>
    <row r="1828">
      <c r="H1828" s="58">
        <f>IF($A1828="","",$A1828&amp;"|"&amp;$B1828&amp;"|"&amp;$C1828&amp;"|"&amp;$D1828)</f>
        <v/>
      </c>
    </row>
    <row r="1829">
      <c r="H1829" s="58">
        <f>IF($A1829="","",$A1829&amp;"|"&amp;$B1829&amp;"|"&amp;$C1829&amp;"|"&amp;$D1829)</f>
        <v/>
      </c>
    </row>
    <row r="1830">
      <c r="H1830" s="58">
        <f>IF($A1830="","",$A1830&amp;"|"&amp;$B1830&amp;"|"&amp;$C1830&amp;"|"&amp;$D1830)</f>
        <v/>
      </c>
    </row>
    <row r="1831">
      <c r="H1831" s="58">
        <f>IF($A1831="","",$A1831&amp;"|"&amp;$B1831&amp;"|"&amp;$C1831&amp;"|"&amp;$D1831)</f>
        <v/>
      </c>
    </row>
    <row r="1832">
      <c r="H1832" s="58">
        <f>IF($A1832="","",$A1832&amp;"|"&amp;$B1832&amp;"|"&amp;$C1832&amp;"|"&amp;$D1832)</f>
        <v/>
      </c>
    </row>
    <row r="1833">
      <c r="H1833" s="58">
        <f>IF($A1833="","",$A1833&amp;"|"&amp;$B1833&amp;"|"&amp;$C1833&amp;"|"&amp;$D1833)</f>
        <v/>
      </c>
    </row>
    <row r="1834">
      <c r="H1834" s="58">
        <f>IF($A1834="","",$A1834&amp;"|"&amp;$B1834&amp;"|"&amp;$C1834&amp;"|"&amp;$D1834)</f>
        <v/>
      </c>
    </row>
    <row r="1835">
      <c r="H1835" s="58">
        <f>IF($A1835="","",$A1835&amp;"|"&amp;$B1835&amp;"|"&amp;$C1835&amp;"|"&amp;$D1835)</f>
        <v/>
      </c>
    </row>
    <row r="1836">
      <c r="H1836" s="58">
        <f>IF($A1836="","",$A1836&amp;"|"&amp;$B1836&amp;"|"&amp;$C1836&amp;"|"&amp;$D1836)</f>
        <v/>
      </c>
    </row>
    <row r="1837">
      <c r="H1837" s="58">
        <f>IF($A1837="","",$A1837&amp;"|"&amp;$B1837&amp;"|"&amp;$C1837&amp;"|"&amp;$D1837)</f>
        <v/>
      </c>
    </row>
    <row r="1838">
      <c r="H1838" s="58">
        <f>IF($A1838="","",$A1838&amp;"|"&amp;$B1838&amp;"|"&amp;$C1838&amp;"|"&amp;$D1838)</f>
        <v/>
      </c>
    </row>
    <row r="1839">
      <c r="H1839" s="58">
        <f>IF($A1839="","",$A1839&amp;"|"&amp;$B1839&amp;"|"&amp;$C1839&amp;"|"&amp;$D1839)</f>
        <v/>
      </c>
    </row>
    <row r="1840">
      <c r="H1840" s="58">
        <f>IF($A1840="","",$A1840&amp;"|"&amp;$B1840&amp;"|"&amp;$C1840&amp;"|"&amp;$D1840)</f>
        <v/>
      </c>
    </row>
    <row r="1841">
      <c r="H1841" s="58">
        <f>IF($A1841="","",$A1841&amp;"|"&amp;$B1841&amp;"|"&amp;$C1841&amp;"|"&amp;$D1841)</f>
        <v/>
      </c>
    </row>
    <row r="1842">
      <c r="H1842" s="58">
        <f>IF($A1842="","",$A1842&amp;"|"&amp;$B1842&amp;"|"&amp;$C1842&amp;"|"&amp;$D1842)</f>
        <v/>
      </c>
    </row>
    <row r="1843">
      <c r="H1843" s="58">
        <f>IF($A1843="","",$A1843&amp;"|"&amp;$B1843&amp;"|"&amp;$C1843&amp;"|"&amp;$D1843)</f>
        <v/>
      </c>
    </row>
    <row r="1844">
      <c r="H1844" s="58">
        <f>IF($A1844="","",$A1844&amp;"|"&amp;$B1844&amp;"|"&amp;$C1844&amp;"|"&amp;$D1844)</f>
        <v/>
      </c>
    </row>
    <row r="1845">
      <c r="H1845" s="58">
        <f>IF($A1845="","",$A1845&amp;"|"&amp;$B1845&amp;"|"&amp;$C1845&amp;"|"&amp;$D1845)</f>
        <v/>
      </c>
    </row>
    <row r="1846">
      <c r="H1846" s="58">
        <f>IF($A1846="","",$A1846&amp;"|"&amp;$B1846&amp;"|"&amp;$C1846&amp;"|"&amp;$D1846)</f>
        <v/>
      </c>
    </row>
    <row r="1847">
      <c r="H1847" s="58">
        <f>IF($A1847="","",$A1847&amp;"|"&amp;$B1847&amp;"|"&amp;$C1847&amp;"|"&amp;$D1847)</f>
        <v/>
      </c>
    </row>
    <row r="1848">
      <c r="H1848" s="58">
        <f>IF($A1848="","",$A1848&amp;"|"&amp;$B1848&amp;"|"&amp;$C1848&amp;"|"&amp;$D1848)</f>
        <v/>
      </c>
    </row>
    <row r="1849">
      <c r="H1849" s="58">
        <f>IF($A1849="","",$A1849&amp;"|"&amp;$B1849&amp;"|"&amp;$C1849&amp;"|"&amp;$D1849)</f>
        <v/>
      </c>
    </row>
    <row r="1850">
      <c r="H1850" s="58">
        <f>IF($A1850="","",$A1850&amp;"|"&amp;$B1850&amp;"|"&amp;$C1850&amp;"|"&amp;$D1850)</f>
        <v/>
      </c>
    </row>
    <row r="1851">
      <c r="H1851" s="58">
        <f>IF($A1851="","",$A1851&amp;"|"&amp;$B1851&amp;"|"&amp;$C1851&amp;"|"&amp;$D1851)</f>
        <v/>
      </c>
    </row>
    <row r="1852">
      <c r="H1852" s="58">
        <f>IF($A1852="","",$A1852&amp;"|"&amp;$B1852&amp;"|"&amp;$C1852&amp;"|"&amp;$D1852)</f>
        <v/>
      </c>
    </row>
    <row r="1853">
      <c r="H1853" s="58">
        <f>IF($A1853="","",$A1853&amp;"|"&amp;$B1853&amp;"|"&amp;$C1853&amp;"|"&amp;$D1853)</f>
        <v/>
      </c>
    </row>
    <row r="1854">
      <c r="H1854" s="58">
        <f>IF($A1854="","",$A1854&amp;"|"&amp;$B1854&amp;"|"&amp;$C1854&amp;"|"&amp;$D1854)</f>
        <v/>
      </c>
    </row>
    <row r="1855">
      <c r="H1855" s="58">
        <f>IF($A1855="","",$A1855&amp;"|"&amp;$B1855&amp;"|"&amp;$C1855&amp;"|"&amp;$D1855)</f>
        <v/>
      </c>
    </row>
    <row r="1856">
      <c r="H1856" s="58">
        <f>IF($A1856="","",$A1856&amp;"|"&amp;$B1856&amp;"|"&amp;$C1856&amp;"|"&amp;$D1856)</f>
        <v/>
      </c>
    </row>
    <row r="1857">
      <c r="H1857" s="58">
        <f>IF($A1857="","",$A1857&amp;"|"&amp;$B1857&amp;"|"&amp;$C1857&amp;"|"&amp;$D1857)</f>
        <v/>
      </c>
    </row>
    <row r="1858">
      <c r="H1858" s="58">
        <f>IF($A1858="","",$A1858&amp;"|"&amp;$B1858&amp;"|"&amp;$C1858&amp;"|"&amp;$D1858)</f>
        <v/>
      </c>
    </row>
    <row r="1859">
      <c r="H1859" s="58">
        <f>IF($A1859="","",$A1859&amp;"|"&amp;$B1859&amp;"|"&amp;$C1859&amp;"|"&amp;$D1859)</f>
        <v/>
      </c>
    </row>
    <row r="1860">
      <c r="H1860" s="58">
        <f>IF($A1860="","",$A1860&amp;"|"&amp;$B1860&amp;"|"&amp;$C1860&amp;"|"&amp;$D1860)</f>
        <v/>
      </c>
    </row>
    <row r="1861">
      <c r="H1861" s="58">
        <f>IF($A1861="","",$A1861&amp;"|"&amp;$B1861&amp;"|"&amp;$C1861&amp;"|"&amp;$D1861)</f>
        <v/>
      </c>
    </row>
    <row r="1862">
      <c r="H1862" s="58">
        <f>IF($A1862="","",$A1862&amp;"|"&amp;$B1862&amp;"|"&amp;$C1862&amp;"|"&amp;$D1862)</f>
        <v/>
      </c>
    </row>
    <row r="1863">
      <c r="H1863" s="58">
        <f>IF($A1863="","",$A1863&amp;"|"&amp;$B1863&amp;"|"&amp;$C1863&amp;"|"&amp;$D1863)</f>
        <v/>
      </c>
    </row>
    <row r="1864">
      <c r="H1864" s="58">
        <f>IF($A1864="","",$A1864&amp;"|"&amp;$B1864&amp;"|"&amp;$C1864&amp;"|"&amp;$D1864)</f>
        <v/>
      </c>
    </row>
    <row r="1865">
      <c r="H1865" s="58">
        <f>IF($A1865="","",$A1865&amp;"|"&amp;$B1865&amp;"|"&amp;$C1865&amp;"|"&amp;$D1865)</f>
        <v/>
      </c>
    </row>
    <row r="1866">
      <c r="H1866" s="58">
        <f>IF($A1866="","",$A1866&amp;"|"&amp;$B1866&amp;"|"&amp;$C1866&amp;"|"&amp;$D1866)</f>
        <v/>
      </c>
    </row>
    <row r="1867">
      <c r="H1867" s="58">
        <f>IF($A1867="","",$A1867&amp;"|"&amp;$B1867&amp;"|"&amp;$C1867&amp;"|"&amp;$D1867)</f>
        <v/>
      </c>
    </row>
    <row r="1868">
      <c r="H1868" s="58">
        <f>IF($A1868="","",$A1868&amp;"|"&amp;$B1868&amp;"|"&amp;$C1868&amp;"|"&amp;$D1868)</f>
        <v/>
      </c>
    </row>
    <row r="1869">
      <c r="H1869" s="58">
        <f>IF($A1869="","",$A1869&amp;"|"&amp;$B1869&amp;"|"&amp;$C1869&amp;"|"&amp;$D1869)</f>
        <v/>
      </c>
    </row>
    <row r="1870">
      <c r="H1870" s="58">
        <f>IF($A1870="","",$A1870&amp;"|"&amp;$B1870&amp;"|"&amp;$C1870&amp;"|"&amp;$D1870)</f>
        <v/>
      </c>
    </row>
    <row r="1871">
      <c r="H1871" s="58">
        <f>IF($A1871="","",$A1871&amp;"|"&amp;$B1871&amp;"|"&amp;$C1871&amp;"|"&amp;$D1871)</f>
        <v/>
      </c>
    </row>
    <row r="1872">
      <c r="H1872" s="58">
        <f>IF($A1872="","",$A1872&amp;"|"&amp;$B1872&amp;"|"&amp;$C1872&amp;"|"&amp;$D1872)</f>
        <v/>
      </c>
    </row>
    <row r="1873">
      <c r="H1873" s="58">
        <f>IF($A1873="","",$A1873&amp;"|"&amp;$B1873&amp;"|"&amp;$C1873&amp;"|"&amp;$D1873)</f>
        <v/>
      </c>
    </row>
    <row r="1874">
      <c r="H1874" s="58">
        <f>IF($A1874="","",$A1874&amp;"|"&amp;$B1874&amp;"|"&amp;$C1874&amp;"|"&amp;$D1874)</f>
        <v/>
      </c>
    </row>
    <row r="1875">
      <c r="H1875" s="58">
        <f>IF($A1875="","",$A1875&amp;"|"&amp;$B1875&amp;"|"&amp;$C1875&amp;"|"&amp;$D1875)</f>
        <v/>
      </c>
    </row>
    <row r="1876">
      <c r="H1876" s="58">
        <f>IF($A1876="","",$A1876&amp;"|"&amp;$B1876&amp;"|"&amp;$C1876&amp;"|"&amp;$D1876)</f>
        <v/>
      </c>
    </row>
    <row r="1877">
      <c r="H1877" s="58">
        <f>IF($A1877="","",$A1877&amp;"|"&amp;$B1877&amp;"|"&amp;$C1877&amp;"|"&amp;$D1877)</f>
        <v/>
      </c>
    </row>
    <row r="1878">
      <c r="H1878" s="58">
        <f>IF($A1878="","",$A1878&amp;"|"&amp;$B1878&amp;"|"&amp;$C1878&amp;"|"&amp;$D1878)</f>
        <v/>
      </c>
    </row>
    <row r="1879">
      <c r="H1879" s="58">
        <f>IF($A1879="","",$A1879&amp;"|"&amp;$B1879&amp;"|"&amp;$C1879&amp;"|"&amp;$D1879)</f>
        <v/>
      </c>
    </row>
    <row r="1880">
      <c r="H1880" s="58">
        <f>IF($A1880="","",$A1880&amp;"|"&amp;$B1880&amp;"|"&amp;$C1880&amp;"|"&amp;$D1880)</f>
        <v/>
      </c>
    </row>
    <row r="1881">
      <c r="H1881" s="58">
        <f>IF($A1881="","",$A1881&amp;"|"&amp;$B1881&amp;"|"&amp;$C1881&amp;"|"&amp;$D1881)</f>
        <v/>
      </c>
    </row>
    <row r="1882">
      <c r="H1882" s="58">
        <f>IF($A1882="","",$A1882&amp;"|"&amp;$B1882&amp;"|"&amp;$C1882&amp;"|"&amp;$D1882)</f>
        <v/>
      </c>
    </row>
    <row r="1883">
      <c r="H1883" s="58">
        <f>IF($A1883="","",$A1883&amp;"|"&amp;$B1883&amp;"|"&amp;$C1883&amp;"|"&amp;$D1883)</f>
        <v/>
      </c>
    </row>
    <row r="1884">
      <c r="H1884" s="58">
        <f>IF($A1884="","",$A1884&amp;"|"&amp;$B1884&amp;"|"&amp;$C1884&amp;"|"&amp;$D1884)</f>
        <v/>
      </c>
    </row>
    <row r="1885">
      <c r="H1885" s="58">
        <f>IF($A1885="","",$A1885&amp;"|"&amp;$B1885&amp;"|"&amp;$C1885&amp;"|"&amp;$D1885)</f>
        <v/>
      </c>
    </row>
    <row r="1886">
      <c r="H1886" s="58">
        <f>IF($A1886="","",$A1886&amp;"|"&amp;$B1886&amp;"|"&amp;$C1886&amp;"|"&amp;$D1886)</f>
        <v/>
      </c>
    </row>
    <row r="1887">
      <c r="H1887" s="58">
        <f>IF($A1887="","",$A1887&amp;"|"&amp;$B1887&amp;"|"&amp;$C1887&amp;"|"&amp;$D1887)</f>
        <v/>
      </c>
    </row>
    <row r="1888">
      <c r="H1888" s="58">
        <f>IF($A1888="","",$A1888&amp;"|"&amp;$B1888&amp;"|"&amp;$C1888&amp;"|"&amp;$D1888)</f>
        <v/>
      </c>
    </row>
    <row r="1889">
      <c r="H1889" s="58">
        <f>IF($A1889="","",$A1889&amp;"|"&amp;$B1889&amp;"|"&amp;$C1889&amp;"|"&amp;$D1889)</f>
        <v/>
      </c>
    </row>
    <row r="1890">
      <c r="H1890" s="58">
        <f>IF($A1890="","",$A1890&amp;"|"&amp;$B1890&amp;"|"&amp;$C1890&amp;"|"&amp;$D1890)</f>
        <v/>
      </c>
    </row>
    <row r="1891">
      <c r="H1891" s="58">
        <f>IF($A1891="","",$A1891&amp;"|"&amp;$B1891&amp;"|"&amp;$C1891&amp;"|"&amp;$D1891)</f>
        <v/>
      </c>
    </row>
    <row r="1892">
      <c r="H1892" s="58">
        <f>IF($A1892="","",$A1892&amp;"|"&amp;$B1892&amp;"|"&amp;$C1892&amp;"|"&amp;$D1892)</f>
        <v/>
      </c>
    </row>
    <row r="1893">
      <c r="H1893" s="58">
        <f>IF($A1893="","",$A1893&amp;"|"&amp;$B1893&amp;"|"&amp;$C1893&amp;"|"&amp;$D1893)</f>
        <v/>
      </c>
    </row>
    <row r="1894">
      <c r="H1894" s="58">
        <f>IF($A1894="","",$A1894&amp;"|"&amp;$B1894&amp;"|"&amp;$C1894&amp;"|"&amp;$D1894)</f>
        <v/>
      </c>
    </row>
    <row r="1895">
      <c r="H1895" s="58">
        <f>IF($A1895="","",$A1895&amp;"|"&amp;$B1895&amp;"|"&amp;$C1895&amp;"|"&amp;$D1895)</f>
        <v/>
      </c>
    </row>
    <row r="1896">
      <c r="H1896" s="58">
        <f>IF($A1896="","",$A1896&amp;"|"&amp;$B1896&amp;"|"&amp;$C1896&amp;"|"&amp;$D1896)</f>
        <v/>
      </c>
    </row>
    <row r="1897">
      <c r="H1897" s="58">
        <f>IF($A1897="","",$A1897&amp;"|"&amp;$B1897&amp;"|"&amp;$C1897&amp;"|"&amp;$D1897)</f>
        <v/>
      </c>
    </row>
    <row r="1898">
      <c r="H1898" s="58">
        <f>IF($A1898="","",$A1898&amp;"|"&amp;$B1898&amp;"|"&amp;$C1898&amp;"|"&amp;$D1898)</f>
        <v/>
      </c>
    </row>
    <row r="1899">
      <c r="H1899" s="58">
        <f>IF($A1899="","",$A1899&amp;"|"&amp;$B1899&amp;"|"&amp;$C1899&amp;"|"&amp;$D1899)</f>
        <v/>
      </c>
    </row>
    <row r="1900">
      <c r="H1900" s="58">
        <f>IF($A1900="","",$A1900&amp;"|"&amp;$B1900&amp;"|"&amp;$C1900&amp;"|"&amp;$D1900)</f>
        <v/>
      </c>
    </row>
    <row r="1901">
      <c r="H1901" s="58">
        <f>IF($A1901="","",$A1901&amp;"|"&amp;$B1901&amp;"|"&amp;$C1901&amp;"|"&amp;$D1901)</f>
        <v/>
      </c>
    </row>
    <row r="1902">
      <c r="H1902" s="58">
        <f>IF($A1902="","",$A1902&amp;"|"&amp;$B1902&amp;"|"&amp;$C1902&amp;"|"&amp;$D1902)</f>
        <v/>
      </c>
    </row>
    <row r="1903">
      <c r="H1903" s="58">
        <f>IF($A1903="","",$A1903&amp;"|"&amp;$B1903&amp;"|"&amp;$C1903&amp;"|"&amp;$D1903)</f>
        <v/>
      </c>
    </row>
    <row r="1904">
      <c r="H1904" s="58">
        <f>IF($A1904="","",$A1904&amp;"|"&amp;$B1904&amp;"|"&amp;$C1904&amp;"|"&amp;$D1904)</f>
        <v/>
      </c>
    </row>
    <row r="1905">
      <c r="H1905" s="58">
        <f>IF($A1905="","",$A1905&amp;"|"&amp;$B1905&amp;"|"&amp;$C1905&amp;"|"&amp;$D1905)</f>
        <v/>
      </c>
    </row>
    <row r="1906">
      <c r="H1906" s="58">
        <f>IF($A1906="","",$A1906&amp;"|"&amp;$B1906&amp;"|"&amp;$C1906&amp;"|"&amp;$D1906)</f>
        <v/>
      </c>
    </row>
    <row r="1907">
      <c r="H1907" s="58">
        <f>IF($A1907="","",$A1907&amp;"|"&amp;$B1907&amp;"|"&amp;$C1907&amp;"|"&amp;$D1907)</f>
        <v/>
      </c>
    </row>
    <row r="1908">
      <c r="H1908" s="58">
        <f>IF($A1908="","",$A1908&amp;"|"&amp;$B1908&amp;"|"&amp;$C1908&amp;"|"&amp;$D1908)</f>
        <v/>
      </c>
    </row>
    <row r="1909">
      <c r="H1909" s="58">
        <f>IF($A1909="","",$A1909&amp;"|"&amp;$B1909&amp;"|"&amp;$C1909&amp;"|"&amp;$D1909)</f>
        <v/>
      </c>
    </row>
    <row r="1910">
      <c r="H1910" s="58">
        <f>IF($A1910="","",$A1910&amp;"|"&amp;$B1910&amp;"|"&amp;$C1910&amp;"|"&amp;$D1910)</f>
        <v/>
      </c>
    </row>
    <row r="1911">
      <c r="H1911" s="58">
        <f>IF($A1911="","",$A1911&amp;"|"&amp;$B1911&amp;"|"&amp;$C1911&amp;"|"&amp;$D1911)</f>
        <v/>
      </c>
    </row>
    <row r="1912">
      <c r="H1912" s="58">
        <f>IF($A1912="","",$A1912&amp;"|"&amp;$B1912&amp;"|"&amp;$C1912&amp;"|"&amp;$D1912)</f>
        <v/>
      </c>
    </row>
    <row r="1913">
      <c r="H1913" s="58">
        <f>IF($A1913="","",$A1913&amp;"|"&amp;$B1913&amp;"|"&amp;$C1913&amp;"|"&amp;$D1913)</f>
        <v/>
      </c>
    </row>
    <row r="1914">
      <c r="H1914" s="58">
        <f>IF($A1914="","",$A1914&amp;"|"&amp;$B1914&amp;"|"&amp;$C1914&amp;"|"&amp;$D1914)</f>
        <v/>
      </c>
    </row>
    <row r="1915">
      <c r="H1915" s="58">
        <f>IF($A1915="","",$A1915&amp;"|"&amp;$B1915&amp;"|"&amp;$C1915&amp;"|"&amp;$D1915)</f>
        <v/>
      </c>
    </row>
    <row r="1916">
      <c r="H1916" s="58">
        <f>IF($A1916="","",$A1916&amp;"|"&amp;$B1916&amp;"|"&amp;$C1916&amp;"|"&amp;$D1916)</f>
        <v/>
      </c>
    </row>
    <row r="1917">
      <c r="H1917" s="58">
        <f>IF($A1917="","",$A1917&amp;"|"&amp;$B1917&amp;"|"&amp;$C1917&amp;"|"&amp;$D1917)</f>
        <v/>
      </c>
    </row>
    <row r="1918">
      <c r="H1918" s="58">
        <f>IF($A1918="","",$A1918&amp;"|"&amp;$B1918&amp;"|"&amp;$C1918&amp;"|"&amp;$D1918)</f>
        <v/>
      </c>
    </row>
    <row r="1919">
      <c r="H1919" s="58">
        <f>IF($A1919="","",$A1919&amp;"|"&amp;$B1919&amp;"|"&amp;$C1919&amp;"|"&amp;$D1919)</f>
        <v/>
      </c>
    </row>
    <row r="1920">
      <c r="H1920" s="58">
        <f>IF($A1920="","",$A1920&amp;"|"&amp;$B1920&amp;"|"&amp;$C1920&amp;"|"&amp;$D1920)</f>
        <v/>
      </c>
    </row>
    <row r="1921">
      <c r="H1921" s="58">
        <f>IF($A1921="","",$A1921&amp;"|"&amp;$B1921&amp;"|"&amp;$C1921&amp;"|"&amp;$D1921)</f>
        <v/>
      </c>
    </row>
    <row r="1922">
      <c r="H1922" s="58">
        <f>IF($A1922="","",$A1922&amp;"|"&amp;$B1922&amp;"|"&amp;$C1922&amp;"|"&amp;$D1922)</f>
        <v/>
      </c>
    </row>
    <row r="1923">
      <c r="H1923" s="58">
        <f>IF($A1923="","",$A1923&amp;"|"&amp;$B1923&amp;"|"&amp;$C1923&amp;"|"&amp;$D1923)</f>
        <v/>
      </c>
    </row>
    <row r="1924">
      <c r="H1924" s="58">
        <f>IF($A1924="","",$A1924&amp;"|"&amp;$B1924&amp;"|"&amp;$C1924&amp;"|"&amp;$D1924)</f>
        <v/>
      </c>
    </row>
    <row r="1925">
      <c r="H1925" s="58">
        <f>IF($A1925="","",$A1925&amp;"|"&amp;$B1925&amp;"|"&amp;$C1925&amp;"|"&amp;$D1925)</f>
        <v/>
      </c>
    </row>
    <row r="1926">
      <c r="H1926" s="58">
        <f>IF($A1926="","",$A1926&amp;"|"&amp;$B1926&amp;"|"&amp;$C1926&amp;"|"&amp;$D1926)</f>
        <v/>
      </c>
    </row>
    <row r="1927">
      <c r="H1927" s="58">
        <f>IF($A1927="","",$A1927&amp;"|"&amp;$B1927&amp;"|"&amp;$C1927&amp;"|"&amp;$D1927)</f>
        <v/>
      </c>
    </row>
    <row r="1928">
      <c r="H1928" s="58">
        <f>IF($A1928="","",$A1928&amp;"|"&amp;$B1928&amp;"|"&amp;$C1928&amp;"|"&amp;$D1928)</f>
        <v/>
      </c>
    </row>
    <row r="1929">
      <c r="H1929" s="58">
        <f>IF($A1929="","",$A1929&amp;"|"&amp;$B1929&amp;"|"&amp;$C1929&amp;"|"&amp;$D1929)</f>
        <v/>
      </c>
    </row>
    <row r="1930">
      <c r="H1930" s="58">
        <f>IF($A1930="","",$A1930&amp;"|"&amp;$B1930&amp;"|"&amp;$C1930&amp;"|"&amp;$D1930)</f>
        <v/>
      </c>
    </row>
    <row r="1931">
      <c r="H1931" s="58">
        <f>IF($A1931="","",$A1931&amp;"|"&amp;$B1931&amp;"|"&amp;$C1931&amp;"|"&amp;$D1931)</f>
        <v/>
      </c>
    </row>
    <row r="1932">
      <c r="H1932" s="58">
        <f>IF($A1932="","",$A1932&amp;"|"&amp;$B1932&amp;"|"&amp;$C1932&amp;"|"&amp;$D1932)</f>
        <v/>
      </c>
    </row>
    <row r="1933">
      <c r="H1933" s="58">
        <f>IF($A1933="","",$A1933&amp;"|"&amp;$B1933&amp;"|"&amp;$C1933&amp;"|"&amp;$D1933)</f>
        <v/>
      </c>
    </row>
    <row r="1934">
      <c r="H1934" s="58">
        <f>IF($A1934="","",$A1934&amp;"|"&amp;$B1934&amp;"|"&amp;$C1934&amp;"|"&amp;$D1934)</f>
        <v/>
      </c>
    </row>
    <row r="1935">
      <c r="H1935" s="58">
        <f>IF($A1935="","",$A1935&amp;"|"&amp;$B1935&amp;"|"&amp;$C1935&amp;"|"&amp;$D1935)</f>
        <v/>
      </c>
    </row>
    <row r="1936">
      <c r="H1936" s="58">
        <f>IF($A1936="","",$A1936&amp;"|"&amp;$B1936&amp;"|"&amp;$C1936&amp;"|"&amp;$D1936)</f>
        <v/>
      </c>
    </row>
    <row r="1937">
      <c r="H1937" s="58">
        <f>IF($A1937="","",$A1937&amp;"|"&amp;$B1937&amp;"|"&amp;$C1937&amp;"|"&amp;$D1937)</f>
        <v/>
      </c>
    </row>
    <row r="1938">
      <c r="H1938" s="58">
        <f>IF($A1938="","",$A1938&amp;"|"&amp;$B1938&amp;"|"&amp;$C1938&amp;"|"&amp;$D1938)</f>
        <v/>
      </c>
    </row>
    <row r="1939">
      <c r="H1939" s="58">
        <f>IF($A1939="","",$A1939&amp;"|"&amp;$B1939&amp;"|"&amp;$C1939&amp;"|"&amp;$D1939)</f>
        <v/>
      </c>
    </row>
    <row r="1940">
      <c r="H1940" s="58">
        <f>IF($A1940="","",$A1940&amp;"|"&amp;$B1940&amp;"|"&amp;$C1940&amp;"|"&amp;$D1940)</f>
        <v/>
      </c>
    </row>
    <row r="1941">
      <c r="H1941" s="58">
        <f>IF($A1941="","",$A1941&amp;"|"&amp;$B1941&amp;"|"&amp;$C1941&amp;"|"&amp;$D1941)</f>
        <v/>
      </c>
    </row>
    <row r="1942">
      <c r="H1942" s="58">
        <f>IF($A1942="","",$A1942&amp;"|"&amp;$B1942&amp;"|"&amp;$C1942&amp;"|"&amp;$D1942)</f>
        <v/>
      </c>
    </row>
    <row r="1943">
      <c r="H1943" s="58">
        <f>IF($A1943="","",$A1943&amp;"|"&amp;$B1943&amp;"|"&amp;$C1943&amp;"|"&amp;$D1943)</f>
        <v/>
      </c>
    </row>
    <row r="1944">
      <c r="H1944" s="58">
        <f>IF($A1944="","",$A1944&amp;"|"&amp;$B1944&amp;"|"&amp;$C1944&amp;"|"&amp;$D1944)</f>
        <v/>
      </c>
    </row>
    <row r="1945">
      <c r="H1945" s="58">
        <f>IF($A1945="","",$A1945&amp;"|"&amp;$B1945&amp;"|"&amp;$C1945&amp;"|"&amp;$D1945)</f>
        <v/>
      </c>
    </row>
    <row r="1946">
      <c r="H1946" s="58">
        <f>IF($A1946="","",$A1946&amp;"|"&amp;$B1946&amp;"|"&amp;$C1946&amp;"|"&amp;$D1946)</f>
        <v/>
      </c>
    </row>
    <row r="1947">
      <c r="H1947" s="58">
        <f>IF($A1947="","",$A1947&amp;"|"&amp;$B1947&amp;"|"&amp;$C1947&amp;"|"&amp;$D1947)</f>
        <v/>
      </c>
    </row>
    <row r="1948">
      <c r="H1948" s="58">
        <f>IF($A1948="","",$A1948&amp;"|"&amp;$B1948&amp;"|"&amp;$C1948&amp;"|"&amp;$D1948)</f>
        <v/>
      </c>
    </row>
    <row r="1949">
      <c r="H1949" s="58">
        <f>IF($A1949="","",$A1949&amp;"|"&amp;$B1949&amp;"|"&amp;$C1949&amp;"|"&amp;$D1949)</f>
        <v/>
      </c>
    </row>
    <row r="1950">
      <c r="H1950" s="58">
        <f>IF($A1950="","",$A1950&amp;"|"&amp;$B1950&amp;"|"&amp;$C1950&amp;"|"&amp;$D1950)</f>
        <v/>
      </c>
    </row>
    <row r="1951">
      <c r="H1951" s="58">
        <f>IF($A1951="","",$A1951&amp;"|"&amp;$B1951&amp;"|"&amp;$C1951&amp;"|"&amp;$D1951)</f>
        <v/>
      </c>
    </row>
    <row r="1952">
      <c r="H1952" s="58">
        <f>IF($A1952="","",$A1952&amp;"|"&amp;$B1952&amp;"|"&amp;$C1952&amp;"|"&amp;$D1952)</f>
        <v/>
      </c>
    </row>
    <row r="1953">
      <c r="H1953" s="58">
        <f>IF($A1953="","",$A1953&amp;"|"&amp;$B1953&amp;"|"&amp;$C1953&amp;"|"&amp;$D1953)</f>
        <v/>
      </c>
    </row>
    <row r="1954">
      <c r="H1954" s="58">
        <f>IF($A1954="","",$A1954&amp;"|"&amp;$B1954&amp;"|"&amp;$C1954&amp;"|"&amp;$D1954)</f>
        <v/>
      </c>
    </row>
    <row r="1955">
      <c r="H1955" s="58">
        <f>IF($A1955="","",$A1955&amp;"|"&amp;$B1955&amp;"|"&amp;$C1955&amp;"|"&amp;$D1955)</f>
        <v/>
      </c>
    </row>
    <row r="1956">
      <c r="H1956" s="58">
        <f>IF($A1956="","",$A1956&amp;"|"&amp;$B1956&amp;"|"&amp;$C1956&amp;"|"&amp;$D1956)</f>
        <v/>
      </c>
    </row>
    <row r="1957">
      <c r="H1957" s="58">
        <f>IF($A1957="","",$A1957&amp;"|"&amp;$B1957&amp;"|"&amp;$C1957&amp;"|"&amp;$D1957)</f>
        <v/>
      </c>
    </row>
    <row r="1958">
      <c r="H1958" s="58">
        <f>IF($A1958="","",$A1958&amp;"|"&amp;$B1958&amp;"|"&amp;$C1958&amp;"|"&amp;$D1958)</f>
        <v/>
      </c>
    </row>
    <row r="1959">
      <c r="H1959" s="58">
        <f>IF($A1959="","",$A1959&amp;"|"&amp;$B1959&amp;"|"&amp;$C1959&amp;"|"&amp;$D1959)</f>
        <v/>
      </c>
    </row>
    <row r="1960">
      <c r="H1960" s="58">
        <f>IF($A1960="","",$A1960&amp;"|"&amp;$B1960&amp;"|"&amp;$C1960&amp;"|"&amp;$D1960)</f>
        <v/>
      </c>
    </row>
    <row r="1961">
      <c r="H1961" s="58">
        <f>IF($A1961="","",$A1961&amp;"|"&amp;$B1961&amp;"|"&amp;$C1961&amp;"|"&amp;$D1961)</f>
        <v/>
      </c>
    </row>
    <row r="1962">
      <c r="H1962" s="58">
        <f>IF($A1962="","",$A1962&amp;"|"&amp;$B1962&amp;"|"&amp;$C1962&amp;"|"&amp;$D1962)</f>
        <v/>
      </c>
    </row>
    <row r="1963">
      <c r="H1963" s="58">
        <f>IF($A1963="","",$A1963&amp;"|"&amp;$B1963&amp;"|"&amp;$C1963&amp;"|"&amp;$D1963)</f>
        <v/>
      </c>
    </row>
    <row r="1964">
      <c r="H1964" s="58">
        <f>IF($A1964="","",$A1964&amp;"|"&amp;$B1964&amp;"|"&amp;$C1964&amp;"|"&amp;$D1964)</f>
        <v/>
      </c>
    </row>
    <row r="1965">
      <c r="H1965" s="58">
        <f>IF($A1965="","",$A1965&amp;"|"&amp;$B1965&amp;"|"&amp;$C1965&amp;"|"&amp;$D1965)</f>
        <v/>
      </c>
    </row>
    <row r="1966">
      <c r="H1966" s="58">
        <f>IF($A1966="","",$A1966&amp;"|"&amp;$B1966&amp;"|"&amp;$C1966&amp;"|"&amp;$D1966)</f>
        <v/>
      </c>
    </row>
    <row r="1967">
      <c r="H1967" s="58">
        <f>IF($A1967="","",$A1967&amp;"|"&amp;$B1967&amp;"|"&amp;$C1967&amp;"|"&amp;$D1967)</f>
        <v/>
      </c>
    </row>
    <row r="1968">
      <c r="H1968" s="58">
        <f>IF($A1968="","",$A1968&amp;"|"&amp;$B1968&amp;"|"&amp;$C1968&amp;"|"&amp;$D1968)</f>
        <v/>
      </c>
    </row>
    <row r="1969">
      <c r="H1969" s="58">
        <f>IF($A1969="","",$A1969&amp;"|"&amp;$B1969&amp;"|"&amp;$C1969&amp;"|"&amp;$D1969)</f>
        <v/>
      </c>
    </row>
    <row r="1970">
      <c r="H1970" s="58">
        <f>IF($A1970="","",$A1970&amp;"|"&amp;$B1970&amp;"|"&amp;$C1970&amp;"|"&amp;$D1970)</f>
        <v/>
      </c>
    </row>
    <row r="1971">
      <c r="H1971" s="58">
        <f>IF($A1971="","",$A1971&amp;"|"&amp;$B1971&amp;"|"&amp;$C1971&amp;"|"&amp;$D1971)</f>
        <v/>
      </c>
    </row>
    <row r="1972">
      <c r="H1972" s="58">
        <f>IF($A1972="","",$A1972&amp;"|"&amp;$B1972&amp;"|"&amp;$C1972&amp;"|"&amp;$D1972)</f>
        <v/>
      </c>
    </row>
    <row r="1973">
      <c r="H1973" s="58">
        <f>IF($A1973="","",$A1973&amp;"|"&amp;$B1973&amp;"|"&amp;$C1973&amp;"|"&amp;$D1973)</f>
        <v/>
      </c>
    </row>
    <row r="1974">
      <c r="H1974" s="58">
        <f>IF($A1974="","",$A1974&amp;"|"&amp;$B1974&amp;"|"&amp;$C1974&amp;"|"&amp;$D1974)</f>
        <v/>
      </c>
    </row>
    <row r="1975">
      <c r="H1975" s="58">
        <f>IF($A1975="","",$A1975&amp;"|"&amp;$B1975&amp;"|"&amp;$C1975&amp;"|"&amp;$D1975)</f>
        <v/>
      </c>
    </row>
    <row r="1976">
      <c r="H1976" s="58">
        <f>IF($A1976="","",$A1976&amp;"|"&amp;$B1976&amp;"|"&amp;$C1976&amp;"|"&amp;$D1976)</f>
        <v/>
      </c>
    </row>
    <row r="1977">
      <c r="H1977" s="58">
        <f>IF($A1977="","",$A1977&amp;"|"&amp;$B1977&amp;"|"&amp;$C1977&amp;"|"&amp;$D1977)</f>
        <v/>
      </c>
    </row>
    <row r="1978">
      <c r="H1978" s="58">
        <f>IF($A1978="","",$A1978&amp;"|"&amp;$B1978&amp;"|"&amp;$C1978&amp;"|"&amp;$D1978)</f>
        <v/>
      </c>
    </row>
    <row r="1979">
      <c r="H1979" s="58">
        <f>IF($A1979="","",$A1979&amp;"|"&amp;$B1979&amp;"|"&amp;$C1979&amp;"|"&amp;$D1979)</f>
        <v/>
      </c>
    </row>
    <row r="1980">
      <c r="H1980" s="58">
        <f>IF($A1980="","",$A1980&amp;"|"&amp;$B1980&amp;"|"&amp;$C1980&amp;"|"&amp;$D1980)</f>
        <v/>
      </c>
    </row>
    <row r="1981">
      <c r="H1981" s="58">
        <f>IF($A1981="","",$A1981&amp;"|"&amp;$B1981&amp;"|"&amp;$C1981&amp;"|"&amp;$D1981)</f>
        <v/>
      </c>
    </row>
    <row r="1982">
      <c r="H1982" s="58">
        <f>IF($A1982="","",$A1982&amp;"|"&amp;$B1982&amp;"|"&amp;$C1982&amp;"|"&amp;$D1982)</f>
        <v/>
      </c>
    </row>
    <row r="1983">
      <c r="H1983" s="58">
        <f>IF($A1983="","",$A1983&amp;"|"&amp;$B1983&amp;"|"&amp;$C1983&amp;"|"&amp;$D1983)</f>
        <v/>
      </c>
    </row>
    <row r="1984">
      <c r="H1984" s="58">
        <f>IF($A1984="","",$A1984&amp;"|"&amp;$B1984&amp;"|"&amp;$C1984&amp;"|"&amp;$D1984)</f>
        <v/>
      </c>
    </row>
    <row r="1985">
      <c r="H1985" s="58">
        <f>IF($A1985="","",$A1985&amp;"|"&amp;$B1985&amp;"|"&amp;$C1985&amp;"|"&amp;$D1985)</f>
        <v/>
      </c>
    </row>
    <row r="1986">
      <c r="H1986" s="58">
        <f>IF($A1986="","",$A1986&amp;"|"&amp;$B1986&amp;"|"&amp;$C1986&amp;"|"&amp;$D1986)</f>
        <v/>
      </c>
    </row>
    <row r="1987">
      <c r="H1987" s="58">
        <f>IF($A1987="","",$A1987&amp;"|"&amp;$B1987&amp;"|"&amp;$C1987&amp;"|"&amp;$D1987)</f>
        <v/>
      </c>
    </row>
    <row r="1988">
      <c r="H1988" s="58">
        <f>IF($A1988="","",$A1988&amp;"|"&amp;$B1988&amp;"|"&amp;$C1988&amp;"|"&amp;$D1988)</f>
        <v/>
      </c>
    </row>
    <row r="1989">
      <c r="H1989" s="58">
        <f>IF($A1989="","",$A1989&amp;"|"&amp;$B1989&amp;"|"&amp;$C1989&amp;"|"&amp;$D1989)</f>
        <v/>
      </c>
    </row>
    <row r="1990">
      <c r="H1990" s="58">
        <f>IF($A1990="","",$A1990&amp;"|"&amp;$B1990&amp;"|"&amp;$C1990&amp;"|"&amp;$D1990)</f>
        <v/>
      </c>
    </row>
    <row r="1991">
      <c r="H1991" s="58">
        <f>IF($A1991="","",$A1991&amp;"|"&amp;$B1991&amp;"|"&amp;$C1991&amp;"|"&amp;$D1991)</f>
        <v/>
      </c>
    </row>
    <row r="1992">
      <c r="H1992" s="58">
        <f>IF($A1992="","",$A1992&amp;"|"&amp;$B1992&amp;"|"&amp;$C1992&amp;"|"&amp;$D1992)</f>
        <v/>
      </c>
    </row>
    <row r="1993">
      <c r="H1993" s="58">
        <f>IF($A1993="","",$A1993&amp;"|"&amp;$B1993&amp;"|"&amp;$C1993&amp;"|"&amp;$D1993)</f>
        <v/>
      </c>
    </row>
    <row r="1994">
      <c r="H1994" s="58">
        <f>IF($A1994="","",$A1994&amp;"|"&amp;$B1994&amp;"|"&amp;$C1994&amp;"|"&amp;$D1994)</f>
        <v/>
      </c>
    </row>
    <row r="1995">
      <c r="H1995" s="58">
        <f>IF($A1995="","",$A1995&amp;"|"&amp;$B1995&amp;"|"&amp;$C1995&amp;"|"&amp;$D1995)</f>
        <v/>
      </c>
    </row>
    <row r="1996">
      <c r="H1996" s="58">
        <f>IF($A1996="","",$A1996&amp;"|"&amp;$B1996&amp;"|"&amp;$C1996&amp;"|"&amp;$D1996)</f>
        <v/>
      </c>
    </row>
    <row r="1997">
      <c r="H1997" s="58">
        <f>IF($A1997="","",$A1997&amp;"|"&amp;$B1997&amp;"|"&amp;$C1997&amp;"|"&amp;$D1997)</f>
        <v/>
      </c>
    </row>
    <row r="1998">
      <c r="H1998" s="58">
        <f>IF($A1998="","",$A1998&amp;"|"&amp;$B1998&amp;"|"&amp;$C1998&amp;"|"&amp;$D1998)</f>
        <v/>
      </c>
    </row>
    <row r="1999">
      <c r="H1999" s="58">
        <f>IF($A1999="","",$A1999&amp;"|"&amp;$B1999&amp;"|"&amp;$C1999&amp;"|"&amp;$D1999)</f>
        <v/>
      </c>
    </row>
    <row r="2000">
      <c r="H2000" s="58">
        <f>IF($A2000="","",$A2000&amp;"|"&amp;$B2000&amp;"|"&amp;$C2000&amp;"|"&amp;$D2000)</f>
        <v/>
      </c>
    </row>
    <row r="2001">
      <c r="H2001" s="58">
        <f>IF($A2001="","",$A2001&amp;"|"&amp;$B2001&amp;"|"&amp;$C2001&amp;"|"&amp;$D2001)</f>
        <v/>
      </c>
    </row>
    <row r="2002">
      <c r="H2002" s="58">
        <f>IF($A2002="","",$A2002&amp;"|"&amp;$B2002&amp;"|"&amp;$C2002&amp;"|"&amp;$D2002)</f>
        <v/>
      </c>
    </row>
    <row r="2003">
      <c r="H2003" s="58">
        <f>IF($A2003="","",$A2003&amp;"|"&amp;$B2003&amp;"|"&amp;$C2003&amp;"|"&amp;$D2003)</f>
        <v/>
      </c>
    </row>
    <row r="2004">
      <c r="H2004" s="58">
        <f>IF($A2004="","",$A2004&amp;"|"&amp;$B2004&amp;"|"&amp;$C2004&amp;"|"&amp;$D2004)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9" customWidth="1" min="3" max="3"/>
    <col width="13" customWidth="1" min="4" max="4"/>
    <col width="11" customWidth="1" min="5" max="5"/>
    <col width="13" customWidth="1" min="6" max="6"/>
    <col width="12" customWidth="1" min="7" max="7"/>
    <col width="12" customWidth="1" min="8" max="8"/>
    <col width="12" customWidth="1" min="9" max="9"/>
    <col width="8" customWidth="1" min="10" max="10"/>
    <col width="11" customWidth="1" min="11" max="11"/>
    <col width="50" customWidth="1" min="12" max="12"/>
    <col width="17" customWidth="1" min="13" max="13"/>
  </cols>
  <sheetData>
    <row r="1">
      <c r="A1" s="1" t="inlineStr">
        <is>
          <t>월마감 이력</t>
        </is>
      </c>
    </row>
    <row r="2">
      <c r="A2" s="2" t="inlineStr">
        <is>
          <t>[월마감 저장] 매크로가 집계 결과를 값으로 보관합니다 · 같은 월을 다시 저장하면 덮어쓰기 확인</t>
        </is>
      </c>
    </row>
    <row r="4" ht="30" customHeight="1">
      <c r="A4" s="5" t="inlineStr">
        <is>
          <t>연도</t>
        </is>
      </c>
      <c r="B4" s="5" t="inlineStr">
        <is>
          <t>월</t>
        </is>
      </c>
      <c r="C4" s="5" t="inlineStr">
        <is>
          <t>부서코드</t>
        </is>
      </c>
      <c r="D4" s="5" t="inlineStr">
        <is>
          <t>부서명</t>
        </is>
      </c>
      <c r="E4" s="5" t="inlineStr">
        <is>
          <t>예산항목코드</t>
        </is>
      </c>
      <c r="F4" s="5" t="inlineStr">
        <is>
          <t>예산항목명</t>
        </is>
      </c>
      <c r="G4" s="5" t="inlineStr">
        <is>
          <t>누계예산</t>
        </is>
      </c>
      <c r="H4" s="5" t="inlineStr">
        <is>
          <t>누계실적</t>
        </is>
      </c>
      <c r="I4" s="5" t="inlineStr">
        <is>
          <t>누계차이</t>
        </is>
      </c>
      <c r="J4" s="5" t="inlineStr">
        <is>
          <t>집행률</t>
        </is>
      </c>
      <c r="K4" s="5" t="inlineStr">
        <is>
          <t>판정</t>
        </is>
      </c>
      <c r="L4" s="5" t="inlineStr">
        <is>
          <t>코멘트</t>
        </is>
      </c>
      <c r="M4" s="5" t="inlineStr">
        <is>
          <t>저장일시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Y52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3" customWidth="1" min="4" max="4"/>
    <col width="11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3" customWidth="1" min="20" max="20"/>
    <col width="7" customWidth="1" min="21" max="21"/>
    <col width="12" customWidth="1" min="22" max="22"/>
    <col width="11" customWidth="1" min="23" max="23"/>
    <col width="11" customWidth="1" min="24" max="24"/>
    <col width="8" customWidth="1" min="25" max="25"/>
  </cols>
  <sheetData>
    <row r="1">
      <c r="A1" s="1" t="inlineStr">
        <is>
          <t>예산 원본</t>
        </is>
      </c>
    </row>
    <row r="2">
      <c r="A2" s="2" t="inlineStr">
        <is>
          <t>A~R열: 붙여넣기/불러오기 (금액은 설정의 '예산_원본 금액단위') · T~Y열: 보조수식 (회색, 수정 금지)</t>
        </is>
      </c>
    </row>
    <row r="4" ht="30" customHeight="1">
      <c r="A4" s="5" t="inlineStr">
        <is>
          <t>연도</t>
        </is>
      </c>
      <c r="B4" s="5" t="inlineStr">
        <is>
          <t>예산버전</t>
        </is>
      </c>
      <c r="C4" s="5" t="inlineStr">
        <is>
          <t>부서코드</t>
        </is>
      </c>
      <c r="D4" s="5" t="inlineStr">
        <is>
          <t>부서명</t>
        </is>
      </c>
      <c r="E4" s="5" t="inlineStr">
        <is>
          <t>예산항목코드</t>
        </is>
      </c>
      <c r="F4" s="5" t="inlineStr">
        <is>
          <t>예산항목명</t>
        </is>
      </c>
      <c r="G4" s="59" t="n">
        <v>1</v>
      </c>
      <c r="H4" s="59" t="n">
        <v>2</v>
      </c>
      <c r="I4" s="59" t="n">
        <v>3</v>
      </c>
      <c r="J4" s="59" t="n">
        <v>4</v>
      </c>
      <c r="K4" s="59" t="n">
        <v>5</v>
      </c>
      <c r="L4" s="59" t="n">
        <v>6</v>
      </c>
      <c r="M4" s="59" t="n">
        <v>7</v>
      </c>
      <c r="N4" s="59" t="n">
        <v>8</v>
      </c>
      <c r="O4" s="59" t="n">
        <v>9</v>
      </c>
      <c r="P4" s="59" t="n">
        <v>10</v>
      </c>
      <c r="Q4" s="59" t="n">
        <v>11</v>
      </c>
      <c r="R4" s="59" t="n">
        <v>12</v>
      </c>
      <c r="S4" s="5" t="inlineStr">
        <is>
          <t>비고</t>
        </is>
      </c>
      <c r="T4" s="43" t="inlineStr">
        <is>
          <t>키</t>
        </is>
      </c>
      <c r="U4" s="43" t="inlineStr">
        <is>
          <t>연도(숫자)</t>
        </is>
      </c>
      <c r="V4" s="43" t="inlineStr">
        <is>
          <t>연간예산
(보고단위)</t>
        </is>
      </c>
      <c r="W4" s="43" t="inlineStr">
        <is>
          <t>당월예산
(보고단위)</t>
        </is>
      </c>
      <c r="X4" s="43" t="inlineStr">
        <is>
          <t>누계예산
(보고단위)</t>
        </is>
      </c>
      <c r="Y4" s="43" t="inlineStr">
        <is>
          <t>집계포함</t>
        </is>
      </c>
    </row>
    <row r="5">
      <c r="A5" s="60" t="n">
        <v>2026</v>
      </c>
      <c r="B5" s="60" t="inlineStr">
        <is>
          <t>본예산</t>
        </is>
      </c>
      <c r="C5" s="60" t="inlineStr">
        <is>
          <t>D100</t>
        </is>
      </c>
      <c r="D5" s="60" t="inlineStr">
        <is>
          <t>경영기획팀</t>
        </is>
      </c>
      <c r="E5" s="60" t="inlineStr">
        <is>
          <t>B01</t>
        </is>
      </c>
      <c r="F5" s="60" t="inlineStr">
        <is>
          <t>여비교통비</t>
        </is>
      </c>
      <c r="G5" s="61" t="n">
        <v>3000</v>
      </c>
      <c r="H5" s="61" t="n">
        <v>3000</v>
      </c>
      <c r="I5" s="61" t="n">
        <v>3000</v>
      </c>
      <c r="J5" s="61" t="n">
        <v>3000</v>
      </c>
      <c r="K5" s="61" t="n">
        <v>3000</v>
      </c>
      <c r="L5" s="61" t="n">
        <v>3000</v>
      </c>
      <c r="M5" s="61" t="n">
        <v>3000</v>
      </c>
      <c r="N5" s="61" t="n">
        <v>3000</v>
      </c>
      <c r="O5" s="61" t="n">
        <v>3000</v>
      </c>
      <c r="P5" s="61" t="n">
        <v>3000</v>
      </c>
      <c r="Q5" s="61" t="n">
        <v>3000</v>
      </c>
      <c r="R5" s="61" t="n">
        <v>3000</v>
      </c>
      <c r="T5" s="4">
        <f>IF($A5="","",$C5&amp;"|"&amp;$E5)</f>
        <v/>
      </c>
      <c r="U5" s="4">
        <f>IF($A5="","",VALUE($A5&amp;""))</f>
        <v/>
      </c>
      <c r="V5" s="62">
        <f>IF($A5="","",SUM($G5:$R5)*설정!$C$14)</f>
        <v/>
      </c>
      <c r="W5" s="62">
        <f>IF($A5="","",INDEX($G5:$R5,설정!$C$7)*설정!$C$14)</f>
        <v/>
      </c>
      <c r="X5" s="62">
        <f>IF($A5="","",SUMPRODUCT(($G$4:$R$4&lt;=설정!$C$7)*$G5:$R5)*설정!$C$14)</f>
        <v/>
      </c>
      <c r="Y5" s="63">
        <f>IF($A5="","",IF(COUNTIF(집계!$E$7:$E$506,$T5)&gt;0,"Y","N"))</f>
        <v/>
      </c>
    </row>
    <row r="6">
      <c r="A6" s="60" t="n">
        <v>2026</v>
      </c>
      <c r="B6" s="60" t="inlineStr">
        <is>
          <t>본예산</t>
        </is>
      </c>
      <c r="C6" s="60" t="inlineStr">
        <is>
          <t>D100</t>
        </is>
      </c>
      <c r="D6" s="60" t="inlineStr">
        <is>
          <t>경영기획팀</t>
        </is>
      </c>
      <c r="E6" s="60" t="inlineStr">
        <is>
          <t>B02</t>
        </is>
      </c>
      <c r="F6" s="60" t="inlineStr">
        <is>
          <t>통신비</t>
        </is>
      </c>
      <c r="G6" s="61" t="n">
        <v>800</v>
      </c>
      <c r="H6" s="61" t="n">
        <v>800</v>
      </c>
      <c r="I6" s="61" t="n">
        <v>800</v>
      </c>
      <c r="J6" s="61" t="n">
        <v>800</v>
      </c>
      <c r="K6" s="61" t="n">
        <v>800</v>
      </c>
      <c r="L6" s="61" t="n">
        <v>800</v>
      </c>
      <c r="M6" s="61" t="n">
        <v>800</v>
      </c>
      <c r="N6" s="61" t="n">
        <v>800</v>
      </c>
      <c r="O6" s="61" t="n">
        <v>800</v>
      </c>
      <c r="P6" s="61" t="n">
        <v>800</v>
      </c>
      <c r="Q6" s="61" t="n">
        <v>800</v>
      </c>
      <c r="R6" s="61" t="n">
        <v>800</v>
      </c>
      <c r="T6" s="4">
        <f>IF($A6="","",$C6&amp;"|"&amp;$E6)</f>
        <v/>
      </c>
      <c r="U6" s="4">
        <f>IF($A6="","",VALUE($A6&amp;""))</f>
        <v/>
      </c>
      <c r="V6" s="62">
        <f>IF($A6="","",SUM($G6:$R6)*설정!$C$14)</f>
        <v/>
      </c>
      <c r="W6" s="62">
        <f>IF($A6="","",INDEX($G6:$R6,설정!$C$7)*설정!$C$14)</f>
        <v/>
      </c>
      <c r="X6" s="62">
        <f>IF($A6="","",SUMPRODUCT(($G$4:$R$4&lt;=설정!$C$7)*$G6:$R6)*설정!$C$14)</f>
        <v/>
      </c>
      <c r="Y6" s="63">
        <f>IF($A6="","",IF(COUNTIF(집계!$E$7:$E$506,$T6)&gt;0,"Y","N"))</f>
        <v/>
      </c>
    </row>
    <row r="7">
      <c r="A7" s="60" t="n">
        <v>2026</v>
      </c>
      <c r="B7" s="60" t="inlineStr">
        <is>
          <t>본예산</t>
        </is>
      </c>
      <c r="C7" s="60" t="inlineStr">
        <is>
          <t>D100</t>
        </is>
      </c>
      <c r="D7" s="60" t="inlineStr">
        <is>
          <t>경영기획팀</t>
        </is>
      </c>
      <c r="E7" s="60" t="inlineStr">
        <is>
          <t>B03</t>
        </is>
      </c>
      <c r="F7" s="60" t="inlineStr">
        <is>
          <t>소모품비</t>
        </is>
      </c>
      <c r="G7" s="61" t="n">
        <v>500</v>
      </c>
      <c r="H7" s="61" t="n">
        <v>500</v>
      </c>
      <c r="I7" s="61" t="n">
        <v>500</v>
      </c>
      <c r="J7" s="61" t="n">
        <v>500</v>
      </c>
      <c r="K7" s="61" t="n">
        <v>500</v>
      </c>
      <c r="L7" s="61" t="n">
        <v>500</v>
      </c>
      <c r="M7" s="61" t="n">
        <v>500</v>
      </c>
      <c r="N7" s="61" t="n">
        <v>500</v>
      </c>
      <c r="O7" s="61" t="n">
        <v>500</v>
      </c>
      <c r="P7" s="61" t="n">
        <v>500</v>
      </c>
      <c r="Q7" s="61" t="n">
        <v>500</v>
      </c>
      <c r="R7" s="61" t="n">
        <v>500</v>
      </c>
      <c r="T7" s="4">
        <f>IF($A7="","",$C7&amp;"|"&amp;$E7)</f>
        <v/>
      </c>
      <c r="U7" s="4">
        <f>IF($A7="","",VALUE($A7&amp;""))</f>
        <v/>
      </c>
      <c r="V7" s="62">
        <f>IF($A7="","",SUM($G7:$R7)*설정!$C$14)</f>
        <v/>
      </c>
      <c r="W7" s="62">
        <f>IF($A7="","",INDEX($G7:$R7,설정!$C$7)*설정!$C$14)</f>
        <v/>
      </c>
      <c r="X7" s="62">
        <f>IF($A7="","",SUMPRODUCT(($G$4:$R$4&lt;=설정!$C$7)*$G7:$R7)*설정!$C$14)</f>
        <v/>
      </c>
      <c r="Y7" s="63">
        <f>IF($A7="","",IF(COUNTIF(집계!$E$7:$E$506,$T7)&gt;0,"Y","N"))</f>
        <v/>
      </c>
    </row>
    <row r="8">
      <c r="A8" s="60" t="n">
        <v>2026</v>
      </c>
      <c r="B8" s="60" t="inlineStr">
        <is>
          <t>본예산</t>
        </is>
      </c>
      <c r="C8" s="60" t="inlineStr">
        <is>
          <t>D100</t>
        </is>
      </c>
      <c r="D8" s="60" t="inlineStr">
        <is>
          <t>경영기획팀</t>
        </is>
      </c>
      <c r="E8" s="60" t="inlineStr">
        <is>
          <t>B05</t>
        </is>
      </c>
      <c r="F8" s="60" t="inlineStr">
        <is>
          <t>회의비</t>
        </is>
      </c>
      <c r="G8" s="61" t="n">
        <v>1000</v>
      </c>
      <c r="H8" s="61" t="n">
        <v>1000</v>
      </c>
      <c r="I8" s="61" t="n">
        <v>1000</v>
      </c>
      <c r="J8" s="61" t="n">
        <v>1000</v>
      </c>
      <c r="K8" s="61" t="n">
        <v>1000</v>
      </c>
      <c r="L8" s="61" t="n">
        <v>1000</v>
      </c>
      <c r="M8" s="61" t="n">
        <v>1000</v>
      </c>
      <c r="N8" s="61" t="n">
        <v>1000</v>
      </c>
      <c r="O8" s="61" t="n">
        <v>1000</v>
      </c>
      <c r="P8" s="61" t="n">
        <v>1000</v>
      </c>
      <c r="Q8" s="61" t="n">
        <v>1000</v>
      </c>
      <c r="R8" s="61" t="n">
        <v>1000</v>
      </c>
      <c r="T8" s="4">
        <f>IF($A8="","",$C8&amp;"|"&amp;$E8)</f>
        <v/>
      </c>
      <c r="U8" s="4">
        <f>IF($A8="","",VALUE($A8&amp;""))</f>
        <v/>
      </c>
      <c r="V8" s="62">
        <f>IF($A8="","",SUM($G8:$R8)*설정!$C$14)</f>
        <v/>
      </c>
      <c r="W8" s="62">
        <f>IF($A8="","",INDEX($G8:$R8,설정!$C$7)*설정!$C$14)</f>
        <v/>
      </c>
      <c r="X8" s="62">
        <f>IF($A8="","",SUMPRODUCT(($G$4:$R$4&lt;=설정!$C$7)*$G8:$R8)*설정!$C$14)</f>
        <v/>
      </c>
      <c r="Y8" s="63">
        <f>IF($A8="","",IF(COUNTIF(집계!$E$7:$E$506,$T8)&gt;0,"Y","N"))</f>
        <v/>
      </c>
    </row>
    <row r="9">
      <c r="A9" s="60" t="n">
        <v>2026</v>
      </c>
      <c r="B9" s="60" t="inlineStr">
        <is>
          <t>본예산</t>
        </is>
      </c>
      <c r="C9" s="60" t="inlineStr">
        <is>
          <t>D100</t>
        </is>
      </c>
      <c r="D9" s="60" t="inlineStr">
        <is>
          <t>경영기획팀</t>
        </is>
      </c>
      <c r="E9" s="60" t="inlineStr">
        <is>
          <t>B06</t>
        </is>
      </c>
      <c r="F9" s="60" t="inlineStr">
        <is>
          <t>업무추진비</t>
        </is>
      </c>
      <c r="G9" s="61" t="n">
        <v>4000</v>
      </c>
      <c r="H9" s="61" t="n">
        <v>4000</v>
      </c>
      <c r="I9" s="61" t="n">
        <v>4000</v>
      </c>
      <c r="J9" s="61" t="n">
        <v>4000</v>
      </c>
      <c r="K9" s="61" t="n">
        <v>4000</v>
      </c>
      <c r="L9" s="61" t="n">
        <v>4000</v>
      </c>
      <c r="M9" s="61" t="n">
        <v>4000</v>
      </c>
      <c r="N9" s="61" t="n">
        <v>4000</v>
      </c>
      <c r="O9" s="61" t="n">
        <v>4000</v>
      </c>
      <c r="P9" s="61" t="n">
        <v>4000</v>
      </c>
      <c r="Q9" s="61" t="n">
        <v>4000</v>
      </c>
      <c r="R9" s="61" t="n">
        <v>4000</v>
      </c>
      <c r="T9" s="4">
        <f>IF($A9="","",$C9&amp;"|"&amp;$E9)</f>
        <v/>
      </c>
      <c r="U9" s="4">
        <f>IF($A9="","",VALUE($A9&amp;""))</f>
        <v/>
      </c>
      <c r="V9" s="62">
        <f>IF($A9="","",SUM($G9:$R9)*설정!$C$14)</f>
        <v/>
      </c>
      <c r="W9" s="62">
        <f>IF($A9="","",INDEX($G9:$R9,설정!$C$7)*설정!$C$14)</f>
        <v/>
      </c>
      <c r="X9" s="62">
        <f>IF($A9="","",SUMPRODUCT(($G$4:$R$4&lt;=설정!$C$7)*$G9:$R9)*설정!$C$14)</f>
        <v/>
      </c>
      <c r="Y9" s="63">
        <f>IF($A9="","",IF(COUNTIF(집계!$E$7:$E$506,$T9)&gt;0,"Y","N"))</f>
        <v/>
      </c>
    </row>
    <row r="10">
      <c r="A10" s="60" t="n">
        <v>2026</v>
      </c>
      <c r="B10" s="60" t="inlineStr">
        <is>
          <t>본예산</t>
        </is>
      </c>
      <c r="C10" s="60" t="inlineStr">
        <is>
          <t>D100</t>
        </is>
      </c>
      <c r="D10" s="60" t="inlineStr">
        <is>
          <t>경영기획팀</t>
        </is>
      </c>
      <c r="E10" s="60" t="inlineStr">
        <is>
          <t>B09</t>
        </is>
      </c>
      <c r="F10" s="60" t="inlineStr">
        <is>
          <t>지급수수료</t>
        </is>
      </c>
      <c r="G10" s="61" t="n">
        <v>20000</v>
      </c>
      <c r="H10" s="61" t="n">
        <v>20000</v>
      </c>
      <c r="I10" s="61" t="n">
        <v>20000</v>
      </c>
      <c r="J10" s="61" t="n">
        <v>20000</v>
      </c>
      <c r="K10" s="61" t="n">
        <v>20000</v>
      </c>
      <c r="L10" s="61" t="n">
        <v>20000</v>
      </c>
      <c r="M10" s="61" t="n">
        <v>20000</v>
      </c>
      <c r="N10" s="61" t="n">
        <v>20000</v>
      </c>
      <c r="O10" s="61" t="n">
        <v>20000</v>
      </c>
      <c r="P10" s="61" t="n">
        <v>20000</v>
      </c>
      <c r="Q10" s="61" t="n">
        <v>20000</v>
      </c>
      <c r="R10" s="61" t="n">
        <v>20000</v>
      </c>
      <c r="T10" s="4">
        <f>IF($A10="","",$C10&amp;"|"&amp;$E10)</f>
        <v/>
      </c>
      <c r="U10" s="4">
        <f>IF($A10="","",VALUE($A10&amp;""))</f>
        <v/>
      </c>
      <c r="V10" s="62">
        <f>IF($A10="","",SUM($G10:$R10)*설정!$C$14)</f>
        <v/>
      </c>
      <c r="W10" s="62">
        <f>IF($A10="","",INDEX($G10:$R10,설정!$C$7)*설정!$C$14)</f>
        <v/>
      </c>
      <c r="X10" s="62">
        <f>IF($A10="","",SUMPRODUCT(($G$4:$R$4&lt;=설정!$C$7)*$G10:$R10)*설정!$C$14)</f>
        <v/>
      </c>
      <c r="Y10" s="63">
        <f>IF($A10="","",IF(COUNTIF(집계!$E$7:$E$506,$T10)&gt;0,"Y","N"))</f>
        <v/>
      </c>
    </row>
    <row r="11">
      <c r="A11" s="60" t="n">
        <v>2026</v>
      </c>
      <c r="B11" s="60" t="inlineStr">
        <is>
          <t>본예산</t>
        </is>
      </c>
      <c r="C11" s="60" t="inlineStr">
        <is>
          <t>D200</t>
        </is>
      </c>
      <c r="D11" s="60" t="inlineStr">
        <is>
          <t>재무회계팀</t>
        </is>
      </c>
      <c r="E11" s="60" t="inlineStr">
        <is>
          <t>B01</t>
        </is>
      </c>
      <c r="F11" s="60" t="inlineStr">
        <is>
          <t>여비교통비</t>
        </is>
      </c>
      <c r="G11" s="61" t="n">
        <v>1500</v>
      </c>
      <c r="H11" s="61" t="n">
        <v>1500</v>
      </c>
      <c r="I11" s="61" t="n">
        <v>1500</v>
      </c>
      <c r="J11" s="61" t="n">
        <v>1500</v>
      </c>
      <c r="K11" s="61" t="n">
        <v>1500</v>
      </c>
      <c r="L11" s="61" t="n">
        <v>1500</v>
      </c>
      <c r="M11" s="61" t="n">
        <v>1500</v>
      </c>
      <c r="N11" s="61" t="n">
        <v>1500</v>
      </c>
      <c r="O11" s="61" t="n">
        <v>1500</v>
      </c>
      <c r="P11" s="61" t="n">
        <v>1500</v>
      </c>
      <c r="Q11" s="61" t="n">
        <v>1500</v>
      </c>
      <c r="R11" s="61" t="n">
        <v>1500</v>
      </c>
      <c r="T11" s="4">
        <f>IF($A11="","",$C11&amp;"|"&amp;$E11)</f>
        <v/>
      </c>
      <c r="U11" s="4">
        <f>IF($A11="","",VALUE($A11&amp;""))</f>
        <v/>
      </c>
      <c r="V11" s="62">
        <f>IF($A11="","",SUM($G11:$R11)*설정!$C$14)</f>
        <v/>
      </c>
      <c r="W11" s="62">
        <f>IF($A11="","",INDEX($G11:$R11,설정!$C$7)*설정!$C$14)</f>
        <v/>
      </c>
      <c r="X11" s="62">
        <f>IF($A11="","",SUMPRODUCT(($G$4:$R$4&lt;=설정!$C$7)*$G11:$R11)*설정!$C$14)</f>
        <v/>
      </c>
      <c r="Y11" s="63">
        <f>IF($A11="","",IF(COUNTIF(집계!$E$7:$E$506,$T11)&gt;0,"Y","N"))</f>
        <v/>
      </c>
    </row>
    <row r="12">
      <c r="A12" s="60" t="n">
        <v>2026</v>
      </c>
      <c r="B12" s="60" t="inlineStr">
        <is>
          <t>본예산</t>
        </is>
      </c>
      <c r="C12" s="60" t="inlineStr">
        <is>
          <t>D200</t>
        </is>
      </c>
      <c r="D12" s="60" t="inlineStr">
        <is>
          <t>재무회계팀</t>
        </is>
      </c>
      <c r="E12" s="60" t="inlineStr">
        <is>
          <t>B02</t>
        </is>
      </c>
      <c r="F12" s="60" t="inlineStr">
        <is>
          <t>통신비</t>
        </is>
      </c>
      <c r="G12" s="61" t="n">
        <v>600</v>
      </c>
      <c r="H12" s="61" t="n">
        <v>600</v>
      </c>
      <c r="I12" s="61" t="n">
        <v>600</v>
      </c>
      <c r="J12" s="61" t="n">
        <v>600</v>
      </c>
      <c r="K12" s="61" t="n">
        <v>600</v>
      </c>
      <c r="L12" s="61" t="n">
        <v>600</v>
      </c>
      <c r="M12" s="61" t="n">
        <v>600</v>
      </c>
      <c r="N12" s="61" t="n">
        <v>600</v>
      </c>
      <c r="O12" s="61" t="n">
        <v>600</v>
      </c>
      <c r="P12" s="61" t="n">
        <v>600</v>
      </c>
      <c r="Q12" s="61" t="n">
        <v>600</v>
      </c>
      <c r="R12" s="61" t="n">
        <v>600</v>
      </c>
      <c r="T12" s="4">
        <f>IF($A12="","",$C12&amp;"|"&amp;$E12)</f>
        <v/>
      </c>
      <c r="U12" s="4">
        <f>IF($A12="","",VALUE($A12&amp;""))</f>
        <v/>
      </c>
      <c r="V12" s="62">
        <f>IF($A12="","",SUM($G12:$R12)*설정!$C$14)</f>
        <v/>
      </c>
      <c r="W12" s="62">
        <f>IF($A12="","",INDEX($G12:$R12,설정!$C$7)*설정!$C$14)</f>
        <v/>
      </c>
      <c r="X12" s="62">
        <f>IF($A12="","",SUMPRODUCT(($G$4:$R$4&lt;=설정!$C$7)*$G12:$R12)*설정!$C$14)</f>
        <v/>
      </c>
      <c r="Y12" s="63">
        <f>IF($A12="","",IF(COUNTIF(집계!$E$7:$E$506,$T12)&gt;0,"Y","N"))</f>
        <v/>
      </c>
    </row>
    <row r="13">
      <c r="A13" s="60" t="n">
        <v>2026</v>
      </c>
      <c r="B13" s="60" t="inlineStr">
        <is>
          <t>본예산</t>
        </is>
      </c>
      <c r="C13" s="60" t="inlineStr">
        <is>
          <t>D200</t>
        </is>
      </c>
      <c r="D13" s="60" t="inlineStr">
        <is>
          <t>재무회계팀</t>
        </is>
      </c>
      <c r="E13" s="60" t="inlineStr">
        <is>
          <t>B03</t>
        </is>
      </c>
      <c r="F13" s="60" t="inlineStr">
        <is>
          <t>소모품비</t>
        </is>
      </c>
      <c r="G13" s="61" t="n">
        <v>600</v>
      </c>
      <c r="H13" s="61" t="n">
        <v>600</v>
      </c>
      <c r="I13" s="61" t="n">
        <v>600</v>
      </c>
      <c r="J13" s="61" t="n">
        <v>600</v>
      </c>
      <c r="K13" s="61" t="n">
        <v>600</v>
      </c>
      <c r="L13" s="61" t="n">
        <v>600</v>
      </c>
      <c r="M13" s="61" t="n">
        <v>600</v>
      </c>
      <c r="N13" s="61" t="n">
        <v>600</v>
      </c>
      <c r="O13" s="61" t="n">
        <v>600</v>
      </c>
      <c r="P13" s="61" t="n">
        <v>600</v>
      </c>
      <c r="Q13" s="61" t="n">
        <v>600</v>
      </c>
      <c r="R13" s="61" t="n">
        <v>600</v>
      </c>
      <c r="T13" s="4">
        <f>IF($A13="","",$C13&amp;"|"&amp;$E13)</f>
        <v/>
      </c>
      <c r="U13" s="4">
        <f>IF($A13="","",VALUE($A13&amp;""))</f>
        <v/>
      </c>
      <c r="V13" s="62">
        <f>IF($A13="","",SUM($G13:$R13)*설정!$C$14)</f>
        <v/>
      </c>
      <c r="W13" s="62">
        <f>IF($A13="","",INDEX($G13:$R13,설정!$C$7)*설정!$C$14)</f>
        <v/>
      </c>
      <c r="X13" s="62">
        <f>IF($A13="","",SUMPRODUCT(($G$4:$R$4&lt;=설정!$C$7)*$G13:$R13)*설정!$C$14)</f>
        <v/>
      </c>
      <c r="Y13" s="63">
        <f>IF($A13="","",IF(COUNTIF(집계!$E$7:$E$506,$T13)&gt;0,"Y","N"))</f>
        <v/>
      </c>
    </row>
    <row r="14">
      <c r="A14" s="60" t="n">
        <v>2026</v>
      </c>
      <c r="B14" s="60" t="inlineStr">
        <is>
          <t>본예산</t>
        </is>
      </c>
      <c r="C14" s="60" t="inlineStr">
        <is>
          <t>D200</t>
        </is>
      </c>
      <c r="D14" s="60" t="inlineStr">
        <is>
          <t>재무회계팀</t>
        </is>
      </c>
      <c r="E14" s="60" t="inlineStr">
        <is>
          <t>B05</t>
        </is>
      </c>
      <c r="F14" s="60" t="inlineStr">
        <is>
          <t>회의비</t>
        </is>
      </c>
      <c r="G14" s="61" t="n">
        <v>500</v>
      </c>
      <c r="H14" s="61" t="n">
        <v>500</v>
      </c>
      <c r="I14" s="61" t="n">
        <v>500</v>
      </c>
      <c r="J14" s="61" t="n">
        <v>500</v>
      </c>
      <c r="K14" s="61" t="n">
        <v>500</v>
      </c>
      <c r="L14" s="61" t="n">
        <v>500</v>
      </c>
      <c r="M14" s="61" t="n">
        <v>500</v>
      </c>
      <c r="N14" s="61" t="n">
        <v>500</v>
      </c>
      <c r="O14" s="61" t="n">
        <v>500</v>
      </c>
      <c r="P14" s="61" t="n">
        <v>500</v>
      </c>
      <c r="Q14" s="61" t="n">
        <v>500</v>
      </c>
      <c r="R14" s="61" t="n">
        <v>500</v>
      </c>
      <c r="T14" s="4">
        <f>IF($A14="","",$C14&amp;"|"&amp;$E14)</f>
        <v/>
      </c>
      <c r="U14" s="4">
        <f>IF($A14="","",VALUE($A14&amp;""))</f>
        <v/>
      </c>
      <c r="V14" s="62">
        <f>IF($A14="","",SUM($G14:$R14)*설정!$C$14)</f>
        <v/>
      </c>
      <c r="W14" s="62">
        <f>IF($A14="","",INDEX($G14:$R14,설정!$C$7)*설정!$C$14)</f>
        <v/>
      </c>
      <c r="X14" s="62">
        <f>IF($A14="","",SUMPRODUCT(($G$4:$R$4&lt;=설정!$C$7)*$G14:$R14)*설정!$C$14)</f>
        <v/>
      </c>
      <c r="Y14" s="63">
        <f>IF($A14="","",IF(COUNTIF(집계!$E$7:$E$506,$T14)&gt;0,"Y","N"))</f>
        <v/>
      </c>
    </row>
    <row r="15">
      <c r="A15" s="60" t="n">
        <v>2026</v>
      </c>
      <c r="B15" s="60" t="inlineStr">
        <is>
          <t>본예산</t>
        </is>
      </c>
      <c r="C15" s="60" t="inlineStr">
        <is>
          <t>D200</t>
        </is>
      </c>
      <c r="D15" s="60" t="inlineStr">
        <is>
          <t>재무회계팀</t>
        </is>
      </c>
      <c r="E15" s="60" t="inlineStr">
        <is>
          <t>B09</t>
        </is>
      </c>
      <c r="F15" s="60" t="inlineStr">
        <is>
          <t>지급수수료</t>
        </is>
      </c>
      <c r="G15" s="61" t="n">
        <v>35000</v>
      </c>
      <c r="H15" s="61" t="n">
        <v>35000</v>
      </c>
      <c r="I15" s="61" t="n">
        <v>35000</v>
      </c>
      <c r="J15" s="61" t="n">
        <v>35000</v>
      </c>
      <c r="K15" s="61" t="n">
        <v>35000</v>
      </c>
      <c r="L15" s="61" t="n">
        <v>35000</v>
      </c>
      <c r="M15" s="61" t="n">
        <v>35000</v>
      </c>
      <c r="N15" s="61" t="n">
        <v>35000</v>
      </c>
      <c r="O15" s="61" t="n">
        <v>35000</v>
      </c>
      <c r="P15" s="61" t="n">
        <v>35000</v>
      </c>
      <c r="Q15" s="61" t="n">
        <v>35000</v>
      </c>
      <c r="R15" s="61" t="n">
        <v>35000</v>
      </c>
      <c r="T15" s="4">
        <f>IF($A15="","",$C15&amp;"|"&amp;$E15)</f>
        <v/>
      </c>
      <c r="U15" s="4">
        <f>IF($A15="","",VALUE($A15&amp;""))</f>
        <v/>
      </c>
      <c r="V15" s="62">
        <f>IF($A15="","",SUM($G15:$R15)*설정!$C$14)</f>
        <v/>
      </c>
      <c r="W15" s="62">
        <f>IF($A15="","",INDEX($G15:$R15,설정!$C$7)*설정!$C$14)</f>
        <v/>
      </c>
      <c r="X15" s="62">
        <f>IF($A15="","",SUMPRODUCT(($G$4:$R$4&lt;=설정!$C$7)*$G15:$R15)*설정!$C$14)</f>
        <v/>
      </c>
      <c r="Y15" s="63">
        <f>IF($A15="","",IF(COUNTIF(집계!$E$7:$E$506,$T15)&gt;0,"Y","N"))</f>
        <v/>
      </c>
    </row>
    <row r="16">
      <c r="A16" s="60" t="n">
        <v>2026</v>
      </c>
      <c r="B16" s="60" t="inlineStr">
        <is>
          <t>본예산</t>
        </is>
      </c>
      <c r="C16" s="60" t="inlineStr">
        <is>
          <t>D300</t>
        </is>
      </c>
      <c r="D16" s="60" t="inlineStr">
        <is>
          <t>인사팀</t>
        </is>
      </c>
      <c r="E16" s="60" t="inlineStr">
        <is>
          <t>B01</t>
        </is>
      </c>
      <c r="F16" s="60" t="inlineStr">
        <is>
          <t>여비교통비</t>
        </is>
      </c>
      <c r="G16" s="61" t="n">
        <v>2000</v>
      </c>
      <c r="H16" s="61" t="n">
        <v>2000</v>
      </c>
      <c r="I16" s="61" t="n">
        <v>2000</v>
      </c>
      <c r="J16" s="61" t="n">
        <v>2000</v>
      </c>
      <c r="K16" s="61" t="n">
        <v>2000</v>
      </c>
      <c r="L16" s="61" t="n">
        <v>2000</v>
      </c>
      <c r="M16" s="61" t="n">
        <v>2000</v>
      </c>
      <c r="N16" s="61" t="n">
        <v>2000</v>
      </c>
      <c r="O16" s="61" t="n">
        <v>2000</v>
      </c>
      <c r="P16" s="61" t="n">
        <v>2000</v>
      </c>
      <c r="Q16" s="61" t="n">
        <v>2000</v>
      </c>
      <c r="R16" s="61" t="n">
        <v>2000</v>
      </c>
      <c r="T16" s="4">
        <f>IF($A16="","",$C16&amp;"|"&amp;$E16)</f>
        <v/>
      </c>
      <c r="U16" s="4">
        <f>IF($A16="","",VALUE($A16&amp;""))</f>
        <v/>
      </c>
      <c r="V16" s="62">
        <f>IF($A16="","",SUM($G16:$R16)*설정!$C$14)</f>
        <v/>
      </c>
      <c r="W16" s="62">
        <f>IF($A16="","",INDEX($G16:$R16,설정!$C$7)*설정!$C$14)</f>
        <v/>
      </c>
      <c r="X16" s="62">
        <f>IF($A16="","",SUMPRODUCT(($G$4:$R$4&lt;=설정!$C$7)*$G16:$R16)*설정!$C$14)</f>
        <v/>
      </c>
      <c r="Y16" s="63">
        <f>IF($A16="","",IF(COUNTIF(집계!$E$7:$E$506,$T16)&gt;0,"Y","N"))</f>
        <v/>
      </c>
    </row>
    <row r="17">
      <c r="A17" s="60" t="n">
        <v>2026</v>
      </c>
      <c r="B17" s="60" t="inlineStr">
        <is>
          <t>본예산</t>
        </is>
      </c>
      <c r="C17" s="60" t="inlineStr">
        <is>
          <t>D300</t>
        </is>
      </c>
      <c r="D17" s="60" t="inlineStr">
        <is>
          <t>인사팀</t>
        </is>
      </c>
      <c r="E17" s="60" t="inlineStr">
        <is>
          <t>B02</t>
        </is>
      </c>
      <c r="F17" s="60" t="inlineStr">
        <is>
          <t>통신비</t>
        </is>
      </c>
      <c r="G17" s="61" t="n">
        <v>700</v>
      </c>
      <c r="H17" s="61" t="n">
        <v>700</v>
      </c>
      <c r="I17" s="61" t="n">
        <v>700</v>
      </c>
      <c r="J17" s="61" t="n">
        <v>700</v>
      </c>
      <c r="K17" s="61" t="n">
        <v>700</v>
      </c>
      <c r="L17" s="61" t="n">
        <v>700</v>
      </c>
      <c r="M17" s="61" t="n">
        <v>700</v>
      </c>
      <c r="N17" s="61" t="n">
        <v>700</v>
      </c>
      <c r="O17" s="61" t="n">
        <v>700</v>
      </c>
      <c r="P17" s="61" t="n">
        <v>700</v>
      </c>
      <c r="Q17" s="61" t="n">
        <v>700</v>
      </c>
      <c r="R17" s="61" t="n">
        <v>700</v>
      </c>
      <c r="T17" s="4">
        <f>IF($A17="","",$C17&amp;"|"&amp;$E17)</f>
        <v/>
      </c>
      <c r="U17" s="4">
        <f>IF($A17="","",VALUE($A17&amp;""))</f>
        <v/>
      </c>
      <c r="V17" s="62">
        <f>IF($A17="","",SUM($G17:$R17)*설정!$C$14)</f>
        <v/>
      </c>
      <c r="W17" s="62">
        <f>IF($A17="","",INDEX($G17:$R17,설정!$C$7)*설정!$C$14)</f>
        <v/>
      </c>
      <c r="X17" s="62">
        <f>IF($A17="","",SUMPRODUCT(($G$4:$R$4&lt;=설정!$C$7)*$G17:$R17)*설정!$C$14)</f>
        <v/>
      </c>
      <c r="Y17" s="63">
        <f>IF($A17="","",IF(COUNTIF(집계!$E$7:$E$506,$T17)&gt;0,"Y","N"))</f>
        <v/>
      </c>
    </row>
    <row r="18">
      <c r="A18" s="60" t="n">
        <v>2026</v>
      </c>
      <c r="B18" s="60" t="inlineStr">
        <is>
          <t>본예산</t>
        </is>
      </c>
      <c r="C18" s="60" t="inlineStr">
        <is>
          <t>D300</t>
        </is>
      </c>
      <c r="D18" s="60" t="inlineStr">
        <is>
          <t>인사팀</t>
        </is>
      </c>
      <c r="E18" s="60" t="inlineStr">
        <is>
          <t>B03</t>
        </is>
      </c>
      <c r="F18" s="60" t="inlineStr">
        <is>
          <t>소모품비</t>
        </is>
      </c>
      <c r="G18" s="61" t="n">
        <v>800</v>
      </c>
      <c r="H18" s="61" t="n">
        <v>800</v>
      </c>
      <c r="I18" s="61" t="n">
        <v>800</v>
      </c>
      <c r="J18" s="61" t="n">
        <v>800</v>
      </c>
      <c r="K18" s="61" t="n">
        <v>800</v>
      </c>
      <c r="L18" s="61" t="n">
        <v>800</v>
      </c>
      <c r="M18" s="61" t="n">
        <v>800</v>
      </c>
      <c r="N18" s="61" t="n">
        <v>800</v>
      </c>
      <c r="O18" s="61" t="n">
        <v>800</v>
      </c>
      <c r="P18" s="61" t="n">
        <v>800</v>
      </c>
      <c r="Q18" s="61" t="n">
        <v>800</v>
      </c>
      <c r="R18" s="61" t="n">
        <v>800</v>
      </c>
      <c r="T18" s="4">
        <f>IF($A18="","",$C18&amp;"|"&amp;$E18)</f>
        <v/>
      </c>
      <c r="U18" s="4">
        <f>IF($A18="","",VALUE($A18&amp;""))</f>
        <v/>
      </c>
      <c r="V18" s="62">
        <f>IF($A18="","",SUM($G18:$R18)*설정!$C$14)</f>
        <v/>
      </c>
      <c r="W18" s="62">
        <f>IF($A18="","",INDEX($G18:$R18,설정!$C$7)*설정!$C$14)</f>
        <v/>
      </c>
      <c r="X18" s="62">
        <f>IF($A18="","",SUMPRODUCT(($G$4:$R$4&lt;=설정!$C$7)*$G18:$R18)*설정!$C$14)</f>
        <v/>
      </c>
      <c r="Y18" s="63">
        <f>IF($A18="","",IF(COUNTIF(집계!$E$7:$E$506,$T18)&gt;0,"Y","N"))</f>
        <v/>
      </c>
    </row>
    <row r="19">
      <c r="A19" s="60" t="n">
        <v>2026</v>
      </c>
      <c r="B19" s="60" t="inlineStr">
        <is>
          <t>본예산</t>
        </is>
      </c>
      <c r="C19" s="60" t="inlineStr">
        <is>
          <t>D300</t>
        </is>
      </c>
      <c r="D19" s="60" t="inlineStr">
        <is>
          <t>인사팀</t>
        </is>
      </c>
      <c r="E19" s="60" t="inlineStr">
        <is>
          <t>B05</t>
        </is>
      </c>
      <c r="F19" s="60" t="inlineStr">
        <is>
          <t>회의비</t>
        </is>
      </c>
      <c r="G19" s="61" t="n">
        <v>800</v>
      </c>
      <c r="H19" s="61" t="n">
        <v>800</v>
      </c>
      <c r="I19" s="61" t="n">
        <v>800</v>
      </c>
      <c r="J19" s="61" t="n">
        <v>800</v>
      </c>
      <c r="K19" s="61" t="n">
        <v>800</v>
      </c>
      <c r="L19" s="61" t="n">
        <v>800</v>
      </c>
      <c r="M19" s="61" t="n">
        <v>800</v>
      </c>
      <c r="N19" s="61" t="n">
        <v>800</v>
      </c>
      <c r="O19" s="61" t="n">
        <v>800</v>
      </c>
      <c r="P19" s="61" t="n">
        <v>800</v>
      </c>
      <c r="Q19" s="61" t="n">
        <v>800</v>
      </c>
      <c r="R19" s="61" t="n">
        <v>800</v>
      </c>
      <c r="T19" s="4">
        <f>IF($A19="","",$C19&amp;"|"&amp;$E19)</f>
        <v/>
      </c>
      <c r="U19" s="4">
        <f>IF($A19="","",VALUE($A19&amp;""))</f>
        <v/>
      </c>
      <c r="V19" s="62">
        <f>IF($A19="","",SUM($G19:$R19)*설정!$C$14)</f>
        <v/>
      </c>
      <c r="W19" s="62">
        <f>IF($A19="","",INDEX($G19:$R19,설정!$C$7)*설정!$C$14)</f>
        <v/>
      </c>
      <c r="X19" s="62">
        <f>IF($A19="","",SUMPRODUCT(($G$4:$R$4&lt;=설정!$C$7)*$G19:$R19)*설정!$C$14)</f>
        <v/>
      </c>
      <c r="Y19" s="63">
        <f>IF($A19="","",IF(COUNTIF(집계!$E$7:$E$506,$T19)&gt;0,"Y","N"))</f>
        <v/>
      </c>
    </row>
    <row r="20">
      <c r="A20" s="60" t="n">
        <v>2026</v>
      </c>
      <c r="B20" s="60" t="inlineStr">
        <is>
          <t>본예산</t>
        </is>
      </c>
      <c r="C20" s="60" t="inlineStr">
        <is>
          <t>D300</t>
        </is>
      </c>
      <c r="D20" s="60" t="inlineStr">
        <is>
          <t>인사팀</t>
        </is>
      </c>
      <c r="E20" s="60" t="inlineStr">
        <is>
          <t>B06</t>
        </is>
      </c>
      <c r="F20" s="60" t="inlineStr">
        <is>
          <t>업무추진비</t>
        </is>
      </c>
      <c r="G20" s="61" t="n">
        <v>2000</v>
      </c>
      <c r="H20" s="61" t="n">
        <v>2000</v>
      </c>
      <c r="I20" s="61" t="n">
        <v>2000</v>
      </c>
      <c r="J20" s="61" t="n">
        <v>2000</v>
      </c>
      <c r="K20" s="61" t="n">
        <v>2000</v>
      </c>
      <c r="L20" s="61" t="n">
        <v>2000</v>
      </c>
      <c r="M20" s="61" t="n">
        <v>2000</v>
      </c>
      <c r="N20" s="61" t="n">
        <v>2000</v>
      </c>
      <c r="O20" s="61" t="n">
        <v>2000</v>
      </c>
      <c r="P20" s="61" t="n">
        <v>2000</v>
      </c>
      <c r="Q20" s="61" t="n">
        <v>2000</v>
      </c>
      <c r="R20" s="61" t="n">
        <v>2000</v>
      </c>
      <c r="T20" s="4">
        <f>IF($A20="","",$C20&amp;"|"&amp;$E20)</f>
        <v/>
      </c>
      <c r="U20" s="4">
        <f>IF($A20="","",VALUE($A20&amp;""))</f>
        <v/>
      </c>
      <c r="V20" s="62">
        <f>IF($A20="","",SUM($G20:$R20)*설정!$C$14)</f>
        <v/>
      </c>
      <c r="W20" s="62">
        <f>IF($A20="","",INDEX($G20:$R20,설정!$C$7)*설정!$C$14)</f>
        <v/>
      </c>
      <c r="X20" s="62">
        <f>IF($A20="","",SUMPRODUCT(($G$4:$R$4&lt;=설정!$C$7)*$G20:$R20)*설정!$C$14)</f>
        <v/>
      </c>
      <c r="Y20" s="63">
        <f>IF($A20="","",IF(COUNTIF(집계!$E$7:$E$506,$T20)&gt;0,"Y","N"))</f>
        <v/>
      </c>
    </row>
    <row r="21">
      <c r="A21" s="60" t="n">
        <v>2026</v>
      </c>
      <c r="B21" s="60" t="inlineStr">
        <is>
          <t>본예산</t>
        </is>
      </c>
      <c r="C21" s="60" t="inlineStr">
        <is>
          <t>D300</t>
        </is>
      </c>
      <c r="D21" s="60" t="inlineStr">
        <is>
          <t>인사팀</t>
        </is>
      </c>
      <c r="E21" s="60" t="inlineStr">
        <is>
          <t>B08</t>
        </is>
      </c>
      <c r="F21" s="60" t="inlineStr">
        <is>
          <t>교육훈련비</t>
        </is>
      </c>
      <c r="G21" s="61" t="n">
        <v>20000</v>
      </c>
      <c r="H21" s="61" t="n">
        <v>40000</v>
      </c>
      <c r="I21" s="61" t="n">
        <v>52000</v>
      </c>
      <c r="J21" s="61" t="n">
        <v>48000</v>
      </c>
      <c r="K21" s="61" t="n">
        <v>40000</v>
      </c>
      <c r="L21" s="61" t="n">
        <v>32000</v>
      </c>
      <c r="M21" s="61" t="n">
        <v>24000</v>
      </c>
      <c r="N21" s="61" t="n">
        <v>32000</v>
      </c>
      <c r="O21" s="61" t="n">
        <v>48000</v>
      </c>
      <c r="P21" s="61" t="n">
        <v>52000</v>
      </c>
      <c r="Q21" s="61" t="n">
        <v>48000</v>
      </c>
      <c r="R21" s="61" t="n">
        <v>44000</v>
      </c>
      <c r="T21" s="4">
        <f>IF($A21="","",$C21&amp;"|"&amp;$E21)</f>
        <v/>
      </c>
      <c r="U21" s="4">
        <f>IF($A21="","",VALUE($A21&amp;""))</f>
        <v/>
      </c>
      <c r="V21" s="62">
        <f>IF($A21="","",SUM($G21:$R21)*설정!$C$14)</f>
        <v/>
      </c>
      <c r="W21" s="62">
        <f>IF($A21="","",INDEX($G21:$R21,설정!$C$7)*설정!$C$14)</f>
        <v/>
      </c>
      <c r="X21" s="62">
        <f>IF($A21="","",SUMPRODUCT(($G$4:$R$4&lt;=설정!$C$7)*$G21:$R21)*설정!$C$14)</f>
        <v/>
      </c>
      <c r="Y21" s="63">
        <f>IF($A21="","",IF(COUNTIF(집계!$E$7:$E$506,$T21)&gt;0,"Y","N"))</f>
        <v/>
      </c>
    </row>
    <row r="22">
      <c r="A22" s="60" t="n">
        <v>2026</v>
      </c>
      <c r="B22" s="60" t="inlineStr">
        <is>
          <t>본예산</t>
        </is>
      </c>
      <c r="C22" s="60" t="inlineStr">
        <is>
          <t>D400</t>
        </is>
      </c>
      <c r="D22" s="60" t="inlineStr">
        <is>
          <t>상품개발팀</t>
        </is>
      </c>
      <c r="E22" s="60" t="inlineStr">
        <is>
          <t>B01</t>
        </is>
      </c>
      <c r="F22" s="60" t="inlineStr">
        <is>
          <t>여비교통비</t>
        </is>
      </c>
      <c r="G22" s="61" t="n">
        <v>2500</v>
      </c>
      <c r="H22" s="61" t="n">
        <v>2500</v>
      </c>
      <c r="I22" s="61" t="n">
        <v>2500</v>
      </c>
      <c r="J22" s="61" t="n">
        <v>2500</v>
      </c>
      <c r="K22" s="61" t="n">
        <v>2500</v>
      </c>
      <c r="L22" s="61" t="n">
        <v>2500</v>
      </c>
      <c r="M22" s="61" t="n">
        <v>2500</v>
      </c>
      <c r="N22" s="61" t="n">
        <v>2500</v>
      </c>
      <c r="O22" s="61" t="n">
        <v>2500</v>
      </c>
      <c r="P22" s="61" t="n">
        <v>2500</v>
      </c>
      <c r="Q22" s="61" t="n">
        <v>2500</v>
      </c>
      <c r="R22" s="61" t="n">
        <v>2500</v>
      </c>
      <c r="T22" s="4">
        <f>IF($A22="","",$C22&amp;"|"&amp;$E22)</f>
        <v/>
      </c>
      <c r="U22" s="4">
        <f>IF($A22="","",VALUE($A22&amp;""))</f>
        <v/>
      </c>
      <c r="V22" s="62">
        <f>IF($A22="","",SUM($G22:$R22)*설정!$C$14)</f>
        <v/>
      </c>
      <c r="W22" s="62">
        <f>IF($A22="","",INDEX($G22:$R22,설정!$C$7)*설정!$C$14)</f>
        <v/>
      </c>
      <c r="X22" s="62">
        <f>IF($A22="","",SUMPRODUCT(($G$4:$R$4&lt;=설정!$C$7)*$G22:$R22)*설정!$C$14)</f>
        <v/>
      </c>
      <c r="Y22" s="63">
        <f>IF($A22="","",IF(COUNTIF(집계!$E$7:$E$506,$T22)&gt;0,"Y","N"))</f>
        <v/>
      </c>
    </row>
    <row r="23">
      <c r="A23" s="60" t="n">
        <v>2026</v>
      </c>
      <c r="B23" s="60" t="inlineStr">
        <is>
          <t>본예산</t>
        </is>
      </c>
      <c r="C23" s="60" t="inlineStr">
        <is>
          <t>D400</t>
        </is>
      </c>
      <c r="D23" s="60" t="inlineStr">
        <is>
          <t>상품개발팀</t>
        </is>
      </c>
      <c r="E23" s="60" t="inlineStr">
        <is>
          <t>B02</t>
        </is>
      </c>
      <c r="F23" s="60" t="inlineStr">
        <is>
          <t>통신비</t>
        </is>
      </c>
      <c r="G23" s="61" t="n">
        <v>600</v>
      </c>
      <c r="H23" s="61" t="n">
        <v>600</v>
      </c>
      <c r="I23" s="61" t="n">
        <v>600</v>
      </c>
      <c r="J23" s="61" t="n">
        <v>600</v>
      </c>
      <c r="K23" s="61" t="n">
        <v>600</v>
      </c>
      <c r="L23" s="61" t="n">
        <v>600</v>
      </c>
      <c r="M23" s="61" t="n">
        <v>600</v>
      </c>
      <c r="N23" s="61" t="n">
        <v>600</v>
      </c>
      <c r="O23" s="61" t="n">
        <v>600</v>
      </c>
      <c r="P23" s="61" t="n">
        <v>600</v>
      </c>
      <c r="Q23" s="61" t="n">
        <v>600</v>
      </c>
      <c r="R23" s="61" t="n">
        <v>600</v>
      </c>
      <c r="T23" s="4">
        <f>IF($A23="","",$C23&amp;"|"&amp;$E23)</f>
        <v/>
      </c>
      <c r="U23" s="4">
        <f>IF($A23="","",VALUE($A23&amp;""))</f>
        <v/>
      </c>
      <c r="V23" s="62">
        <f>IF($A23="","",SUM($G23:$R23)*설정!$C$14)</f>
        <v/>
      </c>
      <c r="W23" s="62">
        <f>IF($A23="","",INDEX($G23:$R23,설정!$C$7)*설정!$C$14)</f>
        <v/>
      </c>
      <c r="X23" s="62">
        <f>IF($A23="","",SUMPRODUCT(($G$4:$R$4&lt;=설정!$C$7)*$G23:$R23)*설정!$C$14)</f>
        <v/>
      </c>
      <c r="Y23" s="63">
        <f>IF($A23="","",IF(COUNTIF(집계!$E$7:$E$506,$T23)&gt;0,"Y","N"))</f>
        <v/>
      </c>
    </row>
    <row r="24">
      <c r="A24" s="60" t="n">
        <v>2026</v>
      </c>
      <c r="B24" s="60" t="inlineStr">
        <is>
          <t>본예산</t>
        </is>
      </c>
      <c r="C24" s="60" t="inlineStr">
        <is>
          <t>D400</t>
        </is>
      </c>
      <c r="D24" s="60" t="inlineStr">
        <is>
          <t>상품개발팀</t>
        </is>
      </c>
      <c r="E24" s="60" t="inlineStr">
        <is>
          <t>B03</t>
        </is>
      </c>
      <c r="F24" s="60" t="inlineStr">
        <is>
          <t>소모품비</t>
        </is>
      </c>
      <c r="G24" s="61" t="n">
        <v>400</v>
      </c>
      <c r="H24" s="61" t="n">
        <v>400</v>
      </c>
      <c r="I24" s="61" t="n">
        <v>400</v>
      </c>
      <c r="J24" s="61" t="n">
        <v>400</v>
      </c>
      <c r="K24" s="61" t="n">
        <v>400</v>
      </c>
      <c r="L24" s="61" t="n">
        <v>400</v>
      </c>
      <c r="M24" s="61" t="n">
        <v>400</v>
      </c>
      <c r="N24" s="61" t="n">
        <v>400</v>
      </c>
      <c r="O24" s="61" t="n">
        <v>400</v>
      </c>
      <c r="P24" s="61" t="n">
        <v>400</v>
      </c>
      <c r="Q24" s="61" t="n">
        <v>400</v>
      </c>
      <c r="R24" s="61" t="n">
        <v>400</v>
      </c>
      <c r="T24" s="4">
        <f>IF($A24="","",$C24&amp;"|"&amp;$E24)</f>
        <v/>
      </c>
      <c r="U24" s="4">
        <f>IF($A24="","",VALUE($A24&amp;""))</f>
        <v/>
      </c>
      <c r="V24" s="62">
        <f>IF($A24="","",SUM($G24:$R24)*설정!$C$14)</f>
        <v/>
      </c>
      <c r="W24" s="62">
        <f>IF($A24="","",INDEX($G24:$R24,설정!$C$7)*설정!$C$14)</f>
        <v/>
      </c>
      <c r="X24" s="62">
        <f>IF($A24="","",SUMPRODUCT(($G$4:$R$4&lt;=설정!$C$7)*$G24:$R24)*설정!$C$14)</f>
        <v/>
      </c>
      <c r="Y24" s="63">
        <f>IF($A24="","",IF(COUNTIF(집계!$E$7:$E$506,$T24)&gt;0,"Y","N"))</f>
        <v/>
      </c>
    </row>
    <row r="25">
      <c r="A25" s="60" t="n">
        <v>2026</v>
      </c>
      <c r="B25" s="60" t="inlineStr">
        <is>
          <t>본예산</t>
        </is>
      </c>
      <c r="C25" s="60" t="inlineStr">
        <is>
          <t>D400</t>
        </is>
      </c>
      <c r="D25" s="60" t="inlineStr">
        <is>
          <t>상품개발팀</t>
        </is>
      </c>
      <c r="E25" s="60" t="inlineStr">
        <is>
          <t>B04</t>
        </is>
      </c>
      <c r="F25" s="60" t="inlineStr">
        <is>
          <t>도서인쇄비</t>
        </is>
      </c>
      <c r="G25" s="61" t="n">
        <v>1000</v>
      </c>
      <c r="H25" s="61" t="n">
        <v>1000</v>
      </c>
      <c r="I25" s="61" t="n">
        <v>1000</v>
      </c>
      <c r="J25" s="61" t="n">
        <v>1000</v>
      </c>
      <c r="K25" s="61" t="n">
        <v>1000</v>
      </c>
      <c r="L25" s="61" t="n">
        <v>1000</v>
      </c>
      <c r="M25" s="61" t="n">
        <v>1000</v>
      </c>
      <c r="N25" s="61" t="n">
        <v>1000</v>
      </c>
      <c r="O25" s="61" t="n">
        <v>1000</v>
      </c>
      <c r="P25" s="61" t="n">
        <v>1000</v>
      </c>
      <c r="Q25" s="61" t="n">
        <v>1000</v>
      </c>
      <c r="R25" s="61" t="n">
        <v>1000</v>
      </c>
      <c r="T25" s="4">
        <f>IF($A25="","",$C25&amp;"|"&amp;$E25)</f>
        <v/>
      </c>
      <c r="U25" s="4">
        <f>IF($A25="","",VALUE($A25&amp;""))</f>
        <v/>
      </c>
      <c r="V25" s="62">
        <f>IF($A25="","",SUM($G25:$R25)*설정!$C$14)</f>
        <v/>
      </c>
      <c r="W25" s="62">
        <f>IF($A25="","",INDEX($G25:$R25,설정!$C$7)*설정!$C$14)</f>
        <v/>
      </c>
      <c r="X25" s="62">
        <f>IF($A25="","",SUMPRODUCT(($G$4:$R$4&lt;=설정!$C$7)*$G25:$R25)*설정!$C$14)</f>
        <v/>
      </c>
      <c r="Y25" s="63">
        <f>IF($A25="","",IF(COUNTIF(집계!$E$7:$E$506,$T25)&gt;0,"Y","N"))</f>
        <v/>
      </c>
    </row>
    <row r="26">
      <c r="A26" s="60" t="n">
        <v>2026</v>
      </c>
      <c r="B26" s="60" t="inlineStr">
        <is>
          <t>본예산</t>
        </is>
      </c>
      <c r="C26" s="60" t="inlineStr">
        <is>
          <t>D400</t>
        </is>
      </c>
      <c r="D26" s="60" t="inlineStr">
        <is>
          <t>상품개발팀</t>
        </is>
      </c>
      <c r="E26" s="60" t="inlineStr">
        <is>
          <t>B05</t>
        </is>
      </c>
      <c r="F26" s="60" t="inlineStr">
        <is>
          <t>회의비</t>
        </is>
      </c>
      <c r="G26" s="61" t="n">
        <v>600</v>
      </c>
      <c r="H26" s="61" t="n">
        <v>600</v>
      </c>
      <c r="I26" s="61" t="n">
        <v>600</v>
      </c>
      <c r="J26" s="61" t="n">
        <v>600</v>
      </c>
      <c r="K26" s="61" t="n">
        <v>600</v>
      </c>
      <c r="L26" s="61" t="n">
        <v>600</v>
      </c>
      <c r="M26" s="61" t="n">
        <v>600</v>
      </c>
      <c r="N26" s="61" t="n">
        <v>600</v>
      </c>
      <c r="O26" s="61" t="n">
        <v>600</v>
      </c>
      <c r="P26" s="61" t="n">
        <v>600</v>
      </c>
      <c r="Q26" s="61" t="n">
        <v>600</v>
      </c>
      <c r="R26" s="61" t="n">
        <v>600</v>
      </c>
      <c r="T26" s="4">
        <f>IF($A26="","",$C26&amp;"|"&amp;$E26)</f>
        <v/>
      </c>
      <c r="U26" s="4">
        <f>IF($A26="","",VALUE($A26&amp;""))</f>
        <v/>
      </c>
      <c r="V26" s="62">
        <f>IF($A26="","",SUM($G26:$R26)*설정!$C$14)</f>
        <v/>
      </c>
      <c r="W26" s="62">
        <f>IF($A26="","",INDEX($G26:$R26,설정!$C$7)*설정!$C$14)</f>
        <v/>
      </c>
      <c r="X26" s="62">
        <f>IF($A26="","",SUMPRODUCT(($G$4:$R$4&lt;=설정!$C$7)*$G26:$R26)*설정!$C$14)</f>
        <v/>
      </c>
      <c r="Y26" s="63">
        <f>IF($A26="","",IF(COUNTIF(집계!$E$7:$E$506,$T26)&gt;0,"Y","N"))</f>
        <v/>
      </c>
    </row>
    <row r="27">
      <c r="A27" s="60" t="n">
        <v>2026</v>
      </c>
      <c r="B27" s="60" t="inlineStr">
        <is>
          <t>본예산</t>
        </is>
      </c>
      <c r="C27" s="60" t="inlineStr">
        <is>
          <t>D400</t>
        </is>
      </c>
      <c r="D27" s="60" t="inlineStr">
        <is>
          <t>상품개발팀</t>
        </is>
      </c>
      <c r="E27" s="60" t="inlineStr">
        <is>
          <t>B09</t>
        </is>
      </c>
      <c r="F27" s="60" t="inlineStr">
        <is>
          <t>지급수수료</t>
        </is>
      </c>
      <c r="G27" s="61" t="n">
        <v>30000</v>
      </c>
      <c r="H27" s="61" t="n">
        <v>30000</v>
      </c>
      <c r="I27" s="61" t="n">
        <v>30000</v>
      </c>
      <c r="J27" s="61" t="n">
        <v>30000</v>
      </c>
      <c r="K27" s="61" t="n">
        <v>30000</v>
      </c>
      <c r="L27" s="61" t="n">
        <v>30000</v>
      </c>
      <c r="M27" s="61" t="n">
        <v>30000</v>
      </c>
      <c r="N27" s="61" t="n">
        <v>30000</v>
      </c>
      <c r="O27" s="61" t="n">
        <v>30000</v>
      </c>
      <c r="P27" s="61" t="n">
        <v>30000</v>
      </c>
      <c r="Q27" s="61" t="n">
        <v>30000</v>
      </c>
      <c r="R27" s="61" t="n">
        <v>30000</v>
      </c>
      <c r="T27" s="4">
        <f>IF($A27="","",$C27&amp;"|"&amp;$E27)</f>
        <v/>
      </c>
      <c r="U27" s="4">
        <f>IF($A27="","",VALUE($A27&amp;""))</f>
        <v/>
      </c>
      <c r="V27" s="62">
        <f>IF($A27="","",SUM($G27:$R27)*설정!$C$14)</f>
        <v/>
      </c>
      <c r="W27" s="62">
        <f>IF($A27="","",INDEX($G27:$R27,설정!$C$7)*설정!$C$14)</f>
        <v/>
      </c>
      <c r="X27" s="62">
        <f>IF($A27="","",SUMPRODUCT(($G$4:$R$4&lt;=설정!$C$7)*$G27:$R27)*설정!$C$14)</f>
        <v/>
      </c>
      <c r="Y27" s="63">
        <f>IF($A27="","",IF(COUNTIF(집계!$E$7:$E$506,$T27)&gt;0,"Y","N"))</f>
        <v/>
      </c>
    </row>
    <row r="28">
      <c r="A28" s="60" t="n">
        <v>2026</v>
      </c>
      <c r="B28" s="60" t="inlineStr">
        <is>
          <t>본예산</t>
        </is>
      </c>
      <c r="C28" s="60" t="inlineStr">
        <is>
          <t>D500</t>
        </is>
      </c>
      <c r="D28" s="60" t="inlineStr">
        <is>
          <t>마케팅팀</t>
        </is>
      </c>
      <c r="E28" s="60" t="inlineStr">
        <is>
          <t>B01</t>
        </is>
      </c>
      <c r="F28" s="60" t="inlineStr">
        <is>
          <t>여비교통비</t>
        </is>
      </c>
      <c r="G28" s="61" t="n">
        <v>3500</v>
      </c>
      <c r="H28" s="61" t="n">
        <v>3500</v>
      </c>
      <c r="I28" s="61" t="n">
        <v>3500</v>
      </c>
      <c r="J28" s="61" t="n">
        <v>3500</v>
      </c>
      <c r="K28" s="61" t="n">
        <v>3500</v>
      </c>
      <c r="L28" s="61" t="n">
        <v>3500</v>
      </c>
      <c r="M28" s="61" t="n">
        <v>3500</v>
      </c>
      <c r="N28" s="61" t="n">
        <v>3500</v>
      </c>
      <c r="O28" s="61" t="n">
        <v>3500</v>
      </c>
      <c r="P28" s="61" t="n">
        <v>3500</v>
      </c>
      <c r="Q28" s="61" t="n">
        <v>3500</v>
      </c>
      <c r="R28" s="61" t="n">
        <v>3500</v>
      </c>
      <c r="T28" s="4">
        <f>IF($A28="","",$C28&amp;"|"&amp;$E28)</f>
        <v/>
      </c>
      <c r="U28" s="4">
        <f>IF($A28="","",VALUE($A28&amp;""))</f>
        <v/>
      </c>
      <c r="V28" s="62">
        <f>IF($A28="","",SUM($G28:$R28)*설정!$C$14)</f>
        <v/>
      </c>
      <c r="W28" s="62">
        <f>IF($A28="","",INDEX($G28:$R28,설정!$C$7)*설정!$C$14)</f>
        <v/>
      </c>
      <c r="X28" s="62">
        <f>IF($A28="","",SUMPRODUCT(($G$4:$R$4&lt;=설정!$C$7)*$G28:$R28)*설정!$C$14)</f>
        <v/>
      </c>
      <c r="Y28" s="63">
        <f>IF($A28="","",IF(COUNTIF(집계!$E$7:$E$506,$T28)&gt;0,"Y","N"))</f>
        <v/>
      </c>
    </row>
    <row r="29">
      <c r="A29" s="60" t="n">
        <v>2026</v>
      </c>
      <c r="B29" s="60" t="inlineStr">
        <is>
          <t>본예산</t>
        </is>
      </c>
      <c r="C29" s="60" t="inlineStr">
        <is>
          <t>D500</t>
        </is>
      </c>
      <c r="D29" s="60" t="inlineStr">
        <is>
          <t>마케팅팀</t>
        </is>
      </c>
      <c r="E29" s="60" t="inlineStr">
        <is>
          <t>B02</t>
        </is>
      </c>
      <c r="F29" s="60" t="inlineStr">
        <is>
          <t>통신비</t>
        </is>
      </c>
      <c r="G29" s="61" t="n">
        <v>1000</v>
      </c>
      <c r="H29" s="61" t="n">
        <v>1000</v>
      </c>
      <c r="I29" s="61" t="n">
        <v>1000</v>
      </c>
      <c r="J29" s="61" t="n">
        <v>1000</v>
      </c>
      <c r="K29" s="61" t="n">
        <v>1000</v>
      </c>
      <c r="L29" s="61" t="n">
        <v>1000</v>
      </c>
      <c r="M29" s="61" t="n">
        <v>1000</v>
      </c>
      <c r="N29" s="61" t="n">
        <v>1000</v>
      </c>
      <c r="O29" s="61" t="n">
        <v>1000</v>
      </c>
      <c r="P29" s="61" t="n">
        <v>1000</v>
      </c>
      <c r="Q29" s="61" t="n">
        <v>1000</v>
      </c>
      <c r="R29" s="61" t="n">
        <v>1000</v>
      </c>
      <c r="T29" s="4">
        <f>IF($A29="","",$C29&amp;"|"&amp;$E29)</f>
        <v/>
      </c>
      <c r="U29" s="4">
        <f>IF($A29="","",VALUE($A29&amp;""))</f>
        <v/>
      </c>
      <c r="V29" s="62">
        <f>IF($A29="","",SUM($G29:$R29)*설정!$C$14)</f>
        <v/>
      </c>
      <c r="W29" s="62">
        <f>IF($A29="","",INDEX($G29:$R29,설정!$C$7)*설정!$C$14)</f>
        <v/>
      </c>
      <c r="X29" s="62">
        <f>IF($A29="","",SUMPRODUCT(($G$4:$R$4&lt;=설정!$C$7)*$G29:$R29)*설정!$C$14)</f>
        <v/>
      </c>
      <c r="Y29" s="63">
        <f>IF($A29="","",IF(COUNTIF(집계!$E$7:$E$506,$T29)&gt;0,"Y","N"))</f>
        <v/>
      </c>
    </row>
    <row r="30">
      <c r="A30" s="60" t="n">
        <v>2026</v>
      </c>
      <c r="B30" s="60" t="inlineStr">
        <is>
          <t>본예산</t>
        </is>
      </c>
      <c r="C30" s="60" t="inlineStr">
        <is>
          <t>D500</t>
        </is>
      </c>
      <c r="D30" s="60" t="inlineStr">
        <is>
          <t>마케팅팀</t>
        </is>
      </c>
      <c r="E30" s="60" t="inlineStr">
        <is>
          <t>B03</t>
        </is>
      </c>
      <c r="F30" s="60" t="inlineStr">
        <is>
          <t>소모품비</t>
        </is>
      </c>
      <c r="G30" s="61" t="n">
        <v>800</v>
      </c>
      <c r="H30" s="61" t="n">
        <v>800</v>
      </c>
      <c r="I30" s="61" t="n">
        <v>800</v>
      </c>
      <c r="J30" s="61" t="n">
        <v>800</v>
      </c>
      <c r="K30" s="61" t="n">
        <v>800</v>
      </c>
      <c r="L30" s="61" t="n">
        <v>800</v>
      </c>
      <c r="M30" s="61" t="n">
        <v>800</v>
      </c>
      <c r="N30" s="61" t="n">
        <v>800</v>
      </c>
      <c r="O30" s="61" t="n">
        <v>800</v>
      </c>
      <c r="P30" s="61" t="n">
        <v>800</v>
      </c>
      <c r="Q30" s="61" t="n">
        <v>800</v>
      </c>
      <c r="R30" s="61" t="n">
        <v>800</v>
      </c>
      <c r="T30" s="4">
        <f>IF($A30="","",$C30&amp;"|"&amp;$E30)</f>
        <v/>
      </c>
      <c r="U30" s="4">
        <f>IF($A30="","",VALUE($A30&amp;""))</f>
        <v/>
      </c>
      <c r="V30" s="62">
        <f>IF($A30="","",SUM($G30:$R30)*설정!$C$14)</f>
        <v/>
      </c>
      <c r="W30" s="62">
        <f>IF($A30="","",INDEX($G30:$R30,설정!$C$7)*설정!$C$14)</f>
        <v/>
      </c>
      <c r="X30" s="62">
        <f>IF($A30="","",SUMPRODUCT(($G$4:$R$4&lt;=설정!$C$7)*$G30:$R30)*설정!$C$14)</f>
        <v/>
      </c>
      <c r="Y30" s="63">
        <f>IF($A30="","",IF(COUNTIF(집계!$E$7:$E$506,$T30)&gt;0,"Y","N"))</f>
        <v/>
      </c>
    </row>
    <row r="31">
      <c r="A31" s="60" t="n">
        <v>2026</v>
      </c>
      <c r="B31" s="60" t="inlineStr">
        <is>
          <t>본예산</t>
        </is>
      </c>
      <c r="C31" s="60" t="inlineStr">
        <is>
          <t>D500</t>
        </is>
      </c>
      <c r="D31" s="60" t="inlineStr">
        <is>
          <t>마케팅팀</t>
        </is>
      </c>
      <c r="E31" s="60" t="inlineStr">
        <is>
          <t>B04</t>
        </is>
      </c>
      <c r="F31" s="60" t="inlineStr">
        <is>
          <t>도서인쇄비</t>
        </is>
      </c>
      <c r="G31" s="61" t="n">
        <v>7000</v>
      </c>
      <c r="H31" s="61" t="n">
        <v>7000</v>
      </c>
      <c r="I31" s="61" t="n">
        <v>7000</v>
      </c>
      <c r="J31" s="61" t="n">
        <v>7000</v>
      </c>
      <c r="K31" s="61" t="n">
        <v>7000</v>
      </c>
      <c r="L31" s="61" t="n">
        <v>7000</v>
      </c>
      <c r="M31" s="61" t="n">
        <v>7000</v>
      </c>
      <c r="N31" s="61" t="n">
        <v>7000</v>
      </c>
      <c r="O31" s="61" t="n">
        <v>7000</v>
      </c>
      <c r="P31" s="61" t="n">
        <v>7000</v>
      </c>
      <c r="Q31" s="61" t="n">
        <v>7000</v>
      </c>
      <c r="R31" s="61" t="n">
        <v>7000</v>
      </c>
      <c r="T31" s="4">
        <f>IF($A31="","",$C31&amp;"|"&amp;$E31)</f>
        <v/>
      </c>
      <c r="U31" s="4">
        <f>IF($A31="","",VALUE($A31&amp;""))</f>
        <v/>
      </c>
      <c r="V31" s="62">
        <f>IF($A31="","",SUM($G31:$R31)*설정!$C$14)</f>
        <v/>
      </c>
      <c r="W31" s="62">
        <f>IF($A31="","",INDEX($G31:$R31,설정!$C$7)*설정!$C$14)</f>
        <v/>
      </c>
      <c r="X31" s="62">
        <f>IF($A31="","",SUMPRODUCT(($G$4:$R$4&lt;=설정!$C$7)*$G31:$R31)*설정!$C$14)</f>
        <v/>
      </c>
      <c r="Y31" s="63">
        <f>IF($A31="","",IF(COUNTIF(집계!$E$7:$E$506,$T31)&gt;0,"Y","N"))</f>
        <v/>
      </c>
    </row>
    <row r="32">
      <c r="A32" s="60" t="n">
        <v>2026</v>
      </c>
      <c r="B32" s="60" t="inlineStr">
        <is>
          <t>본예산</t>
        </is>
      </c>
      <c r="C32" s="60" t="inlineStr">
        <is>
          <t>D500</t>
        </is>
      </c>
      <c r="D32" s="60" t="inlineStr">
        <is>
          <t>마케팅팀</t>
        </is>
      </c>
      <c r="E32" s="60" t="inlineStr">
        <is>
          <t>B05</t>
        </is>
      </c>
      <c r="F32" s="60" t="inlineStr">
        <is>
          <t>회의비</t>
        </is>
      </c>
      <c r="G32" s="61" t="n">
        <v>1200</v>
      </c>
      <c r="H32" s="61" t="n">
        <v>1200</v>
      </c>
      <c r="I32" s="61" t="n">
        <v>1200</v>
      </c>
      <c r="J32" s="61" t="n">
        <v>1200</v>
      </c>
      <c r="K32" s="61" t="n">
        <v>1200</v>
      </c>
      <c r="L32" s="61" t="n">
        <v>1200</v>
      </c>
      <c r="M32" s="61" t="n">
        <v>1200</v>
      </c>
      <c r="N32" s="61" t="n">
        <v>1200</v>
      </c>
      <c r="O32" s="61" t="n">
        <v>1200</v>
      </c>
      <c r="P32" s="61" t="n">
        <v>1200</v>
      </c>
      <c r="Q32" s="61" t="n">
        <v>1200</v>
      </c>
      <c r="R32" s="61" t="n">
        <v>1200</v>
      </c>
      <c r="T32" s="4">
        <f>IF($A32="","",$C32&amp;"|"&amp;$E32)</f>
        <v/>
      </c>
      <c r="U32" s="4">
        <f>IF($A32="","",VALUE($A32&amp;""))</f>
        <v/>
      </c>
      <c r="V32" s="62">
        <f>IF($A32="","",SUM($G32:$R32)*설정!$C$14)</f>
        <v/>
      </c>
      <c r="W32" s="62">
        <f>IF($A32="","",INDEX($G32:$R32,설정!$C$7)*설정!$C$14)</f>
        <v/>
      </c>
      <c r="X32" s="62">
        <f>IF($A32="","",SUMPRODUCT(($G$4:$R$4&lt;=설정!$C$7)*$G32:$R32)*설정!$C$14)</f>
        <v/>
      </c>
      <c r="Y32" s="63">
        <f>IF($A32="","",IF(COUNTIF(집계!$E$7:$E$506,$T32)&gt;0,"Y","N"))</f>
        <v/>
      </c>
    </row>
    <row r="33">
      <c r="A33" s="60" t="n">
        <v>2026</v>
      </c>
      <c r="B33" s="60" t="inlineStr">
        <is>
          <t>본예산</t>
        </is>
      </c>
      <c r="C33" s="60" t="inlineStr">
        <is>
          <t>D500</t>
        </is>
      </c>
      <c r="D33" s="60" t="inlineStr">
        <is>
          <t>마케팅팀</t>
        </is>
      </c>
      <c r="E33" s="60" t="inlineStr">
        <is>
          <t>B06</t>
        </is>
      </c>
      <c r="F33" s="60" t="inlineStr">
        <is>
          <t>업무추진비</t>
        </is>
      </c>
      <c r="G33" s="61" t="n">
        <v>3000</v>
      </c>
      <c r="H33" s="61" t="n">
        <v>3000</v>
      </c>
      <c r="I33" s="61" t="n">
        <v>3000</v>
      </c>
      <c r="J33" s="61" t="n">
        <v>3000</v>
      </c>
      <c r="K33" s="61" t="n">
        <v>3000</v>
      </c>
      <c r="L33" s="61" t="n">
        <v>3000</v>
      </c>
      <c r="M33" s="61" t="n">
        <v>3000</v>
      </c>
      <c r="N33" s="61" t="n">
        <v>3000</v>
      </c>
      <c r="O33" s="61" t="n">
        <v>3000</v>
      </c>
      <c r="P33" s="61" t="n">
        <v>3000</v>
      </c>
      <c r="Q33" s="61" t="n">
        <v>3000</v>
      </c>
      <c r="R33" s="61" t="n">
        <v>3000</v>
      </c>
      <c r="T33" s="4">
        <f>IF($A33="","",$C33&amp;"|"&amp;$E33)</f>
        <v/>
      </c>
      <c r="U33" s="4">
        <f>IF($A33="","",VALUE($A33&amp;""))</f>
        <v/>
      </c>
      <c r="V33" s="62">
        <f>IF($A33="","",SUM($G33:$R33)*설정!$C$14)</f>
        <v/>
      </c>
      <c r="W33" s="62">
        <f>IF($A33="","",INDEX($G33:$R33,설정!$C$7)*설정!$C$14)</f>
        <v/>
      </c>
      <c r="X33" s="62">
        <f>IF($A33="","",SUMPRODUCT(($G$4:$R$4&lt;=설정!$C$7)*$G33:$R33)*설정!$C$14)</f>
        <v/>
      </c>
      <c r="Y33" s="63">
        <f>IF($A33="","",IF(COUNTIF(집계!$E$7:$E$506,$T33)&gt;0,"Y","N"))</f>
        <v/>
      </c>
    </row>
    <row r="34">
      <c r="A34" s="60" t="n">
        <v>2026</v>
      </c>
      <c r="B34" s="60" t="inlineStr">
        <is>
          <t>본예산</t>
        </is>
      </c>
      <c r="C34" s="60" t="inlineStr">
        <is>
          <t>D500</t>
        </is>
      </c>
      <c r="D34" s="60" t="inlineStr">
        <is>
          <t>마케팅팀</t>
        </is>
      </c>
      <c r="E34" s="60" t="inlineStr">
        <is>
          <t>B07</t>
        </is>
      </c>
      <c r="F34" s="60" t="inlineStr">
        <is>
          <t>광고선전비</t>
        </is>
      </c>
      <c r="G34" s="61" t="n">
        <v>90000</v>
      </c>
      <c r="H34" s="61" t="n">
        <v>120000</v>
      </c>
      <c r="I34" s="61" t="n">
        <v>210000</v>
      </c>
      <c r="J34" s="61" t="n">
        <v>180000</v>
      </c>
      <c r="K34" s="61" t="n">
        <v>150000</v>
      </c>
      <c r="L34" s="61" t="n">
        <v>120000</v>
      </c>
      <c r="M34" s="61" t="n">
        <v>105000</v>
      </c>
      <c r="N34" s="61" t="n">
        <v>120000</v>
      </c>
      <c r="O34" s="61" t="n">
        <v>210000</v>
      </c>
      <c r="P34" s="61" t="n">
        <v>195000</v>
      </c>
      <c r="Q34" s="61" t="n">
        <v>150000</v>
      </c>
      <c r="R34" s="61" t="n">
        <v>150000</v>
      </c>
      <c r="T34" s="4">
        <f>IF($A34="","",$C34&amp;"|"&amp;$E34)</f>
        <v/>
      </c>
      <c r="U34" s="4">
        <f>IF($A34="","",VALUE($A34&amp;""))</f>
        <v/>
      </c>
      <c r="V34" s="62">
        <f>IF($A34="","",SUM($G34:$R34)*설정!$C$14)</f>
        <v/>
      </c>
      <c r="W34" s="62">
        <f>IF($A34="","",INDEX($G34:$R34,설정!$C$7)*설정!$C$14)</f>
        <v/>
      </c>
      <c r="X34" s="62">
        <f>IF($A34="","",SUMPRODUCT(($G$4:$R$4&lt;=설정!$C$7)*$G34:$R34)*설정!$C$14)</f>
        <v/>
      </c>
      <c r="Y34" s="63">
        <f>IF($A34="","",IF(COUNTIF(집계!$E$7:$E$506,$T34)&gt;0,"Y","N"))</f>
        <v/>
      </c>
    </row>
    <row r="35">
      <c r="A35" s="60" t="n">
        <v>2026</v>
      </c>
      <c r="B35" s="60" t="inlineStr">
        <is>
          <t>본예산</t>
        </is>
      </c>
      <c r="C35" s="60" t="inlineStr">
        <is>
          <t>D600</t>
        </is>
      </c>
      <c r="D35" s="60" t="inlineStr">
        <is>
          <t>영업지원팀</t>
        </is>
      </c>
      <c r="E35" s="60" t="inlineStr">
        <is>
          <t>B01</t>
        </is>
      </c>
      <c r="F35" s="60" t="inlineStr">
        <is>
          <t>여비교통비</t>
        </is>
      </c>
      <c r="G35" s="61" t="n">
        <v>8000</v>
      </c>
      <c r="H35" s="61" t="n">
        <v>8000</v>
      </c>
      <c r="I35" s="61" t="n">
        <v>8000</v>
      </c>
      <c r="J35" s="61" t="n">
        <v>8000</v>
      </c>
      <c r="K35" s="61" t="n">
        <v>8000</v>
      </c>
      <c r="L35" s="61" t="n">
        <v>8000</v>
      </c>
      <c r="M35" s="61" t="n">
        <v>8000</v>
      </c>
      <c r="N35" s="61" t="n">
        <v>8000</v>
      </c>
      <c r="O35" s="61" t="n">
        <v>8000</v>
      </c>
      <c r="P35" s="61" t="n">
        <v>8000</v>
      </c>
      <c r="Q35" s="61" t="n">
        <v>8000</v>
      </c>
      <c r="R35" s="61" t="n">
        <v>8000</v>
      </c>
      <c r="T35" s="4">
        <f>IF($A35="","",$C35&amp;"|"&amp;$E35)</f>
        <v/>
      </c>
      <c r="U35" s="4">
        <f>IF($A35="","",VALUE($A35&amp;""))</f>
        <v/>
      </c>
      <c r="V35" s="62">
        <f>IF($A35="","",SUM($G35:$R35)*설정!$C$14)</f>
        <v/>
      </c>
      <c r="W35" s="62">
        <f>IF($A35="","",INDEX($G35:$R35,설정!$C$7)*설정!$C$14)</f>
        <v/>
      </c>
      <c r="X35" s="62">
        <f>IF($A35="","",SUMPRODUCT(($G$4:$R$4&lt;=설정!$C$7)*$G35:$R35)*설정!$C$14)</f>
        <v/>
      </c>
      <c r="Y35" s="63">
        <f>IF($A35="","",IF(COUNTIF(집계!$E$7:$E$506,$T35)&gt;0,"Y","N"))</f>
        <v/>
      </c>
    </row>
    <row r="36">
      <c r="A36" s="60" t="n">
        <v>2026</v>
      </c>
      <c r="B36" s="60" t="inlineStr">
        <is>
          <t>본예산</t>
        </is>
      </c>
      <c r="C36" s="60" t="inlineStr">
        <is>
          <t>D600</t>
        </is>
      </c>
      <c r="D36" s="60" t="inlineStr">
        <is>
          <t>영업지원팀</t>
        </is>
      </c>
      <c r="E36" s="60" t="inlineStr">
        <is>
          <t>B02</t>
        </is>
      </c>
      <c r="F36" s="60" t="inlineStr">
        <is>
          <t>통신비</t>
        </is>
      </c>
      <c r="G36" s="61" t="n">
        <v>2200</v>
      </c>
      <c r="H36" s="61" t="n">
        <v>2200</v>
      </c>
      <c r="I36" s="61" t="n">
        <v>2200</v>
      </c>
      <c r="J36" s="61" t="n">
        <v>2200</v>
      </c>
      <c r="K36" s="61" t="n">
        <v>2200</v>
      </c>
      <c r="L36" s="61" t="n">
        <v>2200</v>
      </c>
      <c r="M36" s="61" t="n">
        <v>2200</v>
      </c>
      <c r="N36" s="61" t="n">
        <v>2200</v>
      </c>
      <c r="O36" s="61" t="n">
        <v>2200</v>
      </c>
      <c r="P36" s="61" t="n">
        <v>2200</v>
      </c>
      <c r="Q36" s="61" t="n">
        <v>2200</v>
      </c>
      <c r="R36" s="61" t="n">
        <v>2200</v>
      </c>
      <c r="T36" s="4">
        <f>IF($A36="","",$C36&amp;"|"&amp;$E36)</f>
        <v/>
      </c>
      <c r="U36" s="4">
        <f>IF($A36="","",VALUE($A36&amp;""))</f>
        <v/>
      </c>
      <c r="V36" s="62">
        <f>IF($A36="","",SUM($G36:$R36)*설정!$C$14)</f>
        <v/>
      </c>
      <c r="W36" s="62">
        <f>IF($A36="","",INDEX($G36:$R36,설정!$C$7)*설정!$C$14)</f>
        <v/>
      </c>
      <c r="X36" s="62">
        <f>IF($A36="","",SUMPRODUCT(($G$4:$R$4&lt;=설정!$C$7)*$G36:$R36)*설정!$C$14)</f>
        <v/>
      </c>
      <c r="Y36" s="63">
        <f>IF($A36="","",IF(COUNTIF(집계!$E$7:$E$506,$T36)&gt;0,"Y","N"))</f>
        <v/>
      </c>
    </row>
    <row r="37">
      <c r="A37" s="60" t="n">
        <v>2026</v>
      </c>
      <c r="B37" s="60" t="inlineStr">
        <is>
          <t>본예산</t>
        </is>
      </c>
      <c r="C37" s="60" t="inlineStr">
        <is>
          <t>D600</t>
        </is>
      </c>
      <c r="D37" s="60" t="inlineStr">
        <is>
          <t>영업지원팀</t>
        </is>
      </c>
      <c r="E37" s="60" t="inlineStr">
        <is>
          <t>B03</t>
        </is>
      </c>
      <c r="F37" s="60" t="inlineStr">
        <is>
          <t>소모품비</t>
        </is>
      </c>
      <c r="G37" s="61" t="n">
        <v>1200</v>
      </c>
      <c r="H37" s="61" t="n">
        <v>1200</v>
      </c>
      <c r="I37" s="61" t="n">
        <v>1200</v>
      </c>
      <c r="J37" s="61" t="n">
        <v>1200</v>
      </c>
      <c r="K37" s="61" t="n">
        <v>1200</v>
      </c>
      <c r="L37" s="61" t="n">
        <v>1200</v>
      </c>
      <c r="M37" s="61" t="n">
        <v>1200</v>
      </c>
      <c r="N37" s="61" t="n">
        <v>1200</v>
      </c>
      <c r="O37" s="61" t="n">
        <v>1200</v>
      </c>
      <c r="P37" s="61" t="n">
        <v>1200</v>
      </c>
      <c r="Q37" s="61" t="n">
        <v>1200</v>
      </c>
      <c r="R37" s="61" t="n">
        <v>1200</v>
      </c>
      <c r="T37" s="4">
        <f>IF($A37="","",$C37&amp;"|"&amp;$E37)</f>
        <v/>
      </c>
      <c r="U37" s="4">
        <f>IF($A37="","",VALUE($A37&amp;""))</f>
        <v/>
      </c>
      <c r="V37" s="62">
        <f>IF($A37="","",SUM($G37:$R37)*설정!$C$14)</f>
        <v/>
      </c>
      <c r="W37" s="62">
        <f>IF($A37="","",INDEX($G37:$R37,설정!$C$7)*설정!$C$14)</f>
        <v/>
      </c>
      <c r="X37" s="62">
        <f>IF($A37="","",SUMPRODUCT(($G$4:$R$4&lt;=설정!$C$7)*$G37:$R37)*설정!$C$14)</f>
        <v/>
      </c>
      <c r="Y37" s="63">
        <f>IF($A37="","",IF(COUNTIF(집계!$E$7:$E$506,$T37)&gt;0,"Y","N"))</f>
        <v/>
      </c>
    </row>
    <row r="38">
      <c r="A38" s="60" t="n">
        <v>2026</v>
      </c>
      <c r="B38" s="60" t="inlineStr">
        <is>
          <t>본예산</t>
        </is>
      </c>
      <c r="C38" s="60" t="inlineStr">
        <is>
          <t>D600</t>
        </is>
      </c>
      <c r="D38" s="60" t="inlineStr">
        <is>
          <t>영업지원팀</t>
        </is>
      </c>
      <c r="E38" s="60" t="inlineStr">
        <is>
          <t>B05</t>
        </is>
      </c>
      <c r="F38" s="60" t="inlineStr">
        <is>
          <t>회의비</t>
        </is>
      </c>
      <c r="G38" s="61" t="n">
        <v>1500</v>
      </c>
      <c r="H38" s="61" t="n">
        <v>1500</v>
      </c>
      <c r="I38" s="61" t="n">
        <v>1500</v>
      </c>
      <c r="J38" s="61" t="n">
        <v>1500</v>
      </c>
      <c r="K38" s="61" t="n">
        <v>1500</v>
      </c>
      <c r="L38" s="61" t="n">
        <v>1500</v>
      </c>
      <c r="M38" s="61" t="n">
        <v>1500</v>
      </c>
      <c r="N38" s="61" t="n">
        <v>1500</v>
      </c>
      <c r="O38" s="61" t="n">
        <v>1500</v>
      </c>
      <c r="P38" s="61" t="n">
        <v>1500</v>
      </c>
      <c r="Q38" s="61" t="n">
        <v>1500</v>
      </c>
      <c r="R38" s="61" t="n">
        <v>1500</v>
      </c>
      <c r="T38" s="4">
        <f>IF($A38="","",$C38&amp;"|"&amp;$E38)</f>
        <v/>
      </c>
      <c r="U38" s="4">
        <f>IF($A38="","",VALUE($A38&amp;""))</f>
        <v/>
      </c>
      <c r="V38" s="62">
        <f>IF($A38="","",SUM($G38:$R38)*설정!$C$14)</f>
        <v/>
      </c>
      <c r="W38" s="62">
        <f>IF($A38="","",INDEX($G38:$R38,설정!$C$7)*설정!$C$14)</f>
        <v/>
      </c>
      <c r="X38" s="62">
        <f>IF($A38="","",SUMPRODUCT(($G$4:$R$4&lt;=설정!$C$7)*$G38:$R38)*설정!$C$14)</f>
        <v/>
      </c>
      <c r="Y38" s="63">
        <f>IF($A38="","",IF(COUNTIF(집계!$E$7:$E$506,$T38)&gt;0,"Y","N"))</f>
        <v/>
      </c>
    </row>
    <row r="39">
      <c r="A39" s="60" t="n">
        <v>2026</v>
      </c>
      <c r="B39" s="60" t="inlineStr">
        <is>
          <t>본예산</t>
        </is>
      </c>
      <c r="C39" s="60" t="inlineStr">
        <is>
          <t>D600</t>
        </is>
      </c>
      <c r="D39" s="60" t="inlineStr">
        <is>
          <t>영업지원팀</t>
        </is>
      </c>
      <c r="E39" s="60" t="inlineStr">
        <is>
          <t>B06</t>
        </is>
      </c>
      <c r="F39" s="60" t="inlineStr">
        <is>
          <t>업무추진비</t>
        </is>
      </c>
      <c r="G39" s="61" t="n">
        <v>3500</v>
      </c>
      <c r="H39" s="61" t="n">
        <v>3500</v>
      </c>
      <c r="I39" s="61" t="n">
        <v>3500</v>
      </c>
      <c r="J39" s="61" t="n">
        <v>3500</v>
      </c>
      <c r="K39" s="61" t="n">
        <v>3500</v>
      </c>
      <c r="L39" s="61" t="n">
        <v>3500</v>
      </c>
      <c r="M39" s="61" t="n">
        <v>3500</v>
      </c>
      <c r="N39" s="61" t="n">
        <v>3500</v>
      </c>
      <c r="O39" s="61" t="n">
        <v>3500</v>
      </c>
      <c r="P39" s="61" t="n">
        <v>3500</v>
      </c>
      <c r="Q39" s="61" t="n">
        <v>3500</v>
      </c>
      <c r="R39" s="61" t="n">
        <v>3500</v>
      </c>
      <c r="T39" s="4">
        <f>IF($A39="","",$C39&amp;"|"&amp;$E39)</f>
        <v/>
      </c>
      <c r="U39" s="4">
        <f>IF($A39="","",VALUE($A39&amp;""))</f>
        <v/>
      </c>
      <c r="V39" s="62">
        <f>IF($A39="","",SUM($G39:$R39)*설정!$C$14)</f>
        <v/>
      </c>
      <c r="W39" s="62">
        <f>IF($A39="","",INDEX($G39:$R39,설정!$C$7)*설정!$C$14)</f>
        <v/>
      </c>
      <c r="X39" s="62">
        <f>IF($A39="","",SUMPRODUCT(($G$4:$R$4&lt;=설정!$C$7)*$G39:$R39)*설정!$C$14)</f>
        <v/>
      </c>
      <c r="Y39" s="63">
        <f>IF($A39="","",IF(COUNTIF(집계!$E$7:$E$506,$T39)&gt;0,"Y","N"))</f>
        <v/>
      </c>
    </row>
    <row r="40">
      <c r="A40" s="60" t="n">
        <v>2026</v>
      </c>
      <c r="B40" s="60" t="inlineStr">
        <is>
          <t>본예산</t>
        </is>
      </c>
      <c r="C40" s="60" t="inlineStr">
        <is>
          <t>D600</t>
        </is>
      </c>
      <c r="D40" s="60" t="inlineStr">
        <is>
          <t>영업지원팀</t>
        </is>
      </c>
      <c r="E40" s="60" t="inlineStr">
        <is>
          <t>B11</t>
        </is>
      </c>
      <c r="F40" s="60" t="inlineStr">
        <is>
          <t>임차료</t>
        </is>
      </c>
      <c r="G40" s="61" t="n">
        <v>18000</v>
      </c>
      <c r="H40" s="61" t="n">
        <v>18000</v>
      </c>
      <c r="I40" s="61" t="n">
        <v>18000</v>
      </c>
      <c r="J40" s="61" t="n">
        <v>18000</v>
      </c>
      <c r="K40" s="61" t="n">
        <v>18000</v>
      </c>
      <c r="L40" s="61" t="n">
        <v>18000</v>
      </c>
      <c r="M40" s="61" t="n">
        <v>18000</v>
      </c>
      <c r="N40" s="61" t="n">
        <v>18000</v>
      </c>
      <c r="O40" s="61" t="n">
        <v>18000</v>
      </c>
      <c r="P40" s="61" t="n">
        <v>18000</v>
      </c>
      <c r="Q40" s="61" t="n">
        <v>18000</v>
      </c>
      <c r="R40" s="61" t="n">
        <v>18000</v>
      </c>
      <c r="T40" s="4">
        <f>IF($A40="","",$C40&amp;"|"&amp;$E40)</f>
        <v/>
      </c>
      <c r="U40" s="4">
        <f>IF($A40="","",VALUE($A40&amp;""))</f>
        <v/>
      </c>
      <c r="V40" s="62">
        <f>IF($A40="","",SUM($G40:$R40)*설정!$C$14)</f>
        <v/>
      </c>
      <c r="W40" s="62">
        <f>IF($A40="","",INDEX($G40:$R40,설정!$C$7)*설정!$C$14)</f>
        <v/>
      </c>
      <c r="X40" s="62">
        <f>IF($A40="","",SUMPRODUCT(($G$4:$R$4&lt;=설정!$C$7)*$G40:$R40)*설정!$C$14)</f>
        <v/>
      </c>
      <c r="Y40" s="63">
        <f>IF($A40="","",IF(COUNTIF(집계!$E$7:$E$506,$T40)&gt;0,"Y","N"))</f>
        <v/>
      </c>
    </row>
    <row r="41">
      <c r="A41" s="60" t="n">
        <v>2026</v>
      </c>
      <c r="B41" s="60" t="inlineStr">
        <is>
          <t>본예산</t>
        </is>
      </c>
      <c r="C41" s="60" t="inlineStr">
        <is>
          <t>D600</t>
        </is>
      </c>
      <c r="D41" s="60" t="inlineStr">
        <is>
          <t>영업지원팀</t>
        </is>
      </c>
      <c r="E41" s="60" t="inlineStr">
        <is>
          <t>B12</t>
        </is>
      </c>
      <c r="F41" s="60" t="inlineStr">
        <is>
          <t>차량유지비</t>
        </is>
      </c>
      <c r="G41" s="61" t="n">
        <v>8000</v>
      </c>
      <c r="H41" s="61" t="n">
        <v>8000</v>
      </c>
      <c r="I41" s="61" t="n">
        <v>8000</v>
      </c>
      <c r="J41" s="61" t="n">
        <v>8000</v>
      </c>
      <c r="K41" s="61" t="n">
        <v>8000</v>
      </c>
      <c r="L41" s="61" t="n">
        <v>8000</v>
      </c>
      <c r="M41" s="61" t="n">
        <v>8000</v>
      </c>
      <c r="N41" s="61" t="n">
        <v>8000</v>
      </c>
      <c r="O41" s="61" t="n">
        <v>8000</v>
      </c>
      <c r="P41" s="61" t="n">
        <v>8000</v>
      </c>
      <c r="Q41" s="61" t="n">
        <v>8000</v>
      </c>
      <c r="R41" s="61" t="n">
        <v>8000</v>
      </c>
      <c r="T41" s="4">
        <f>IF($A41="","",$C41&amp;"|"&amp;$E41)</f>
        <v/>
      </c>
      <c r="U41" s="4">
        <f>IF($A41="","",VALUE($A41&amp;""))</f>
        <v/>
      </c>
      <c r="V41" s="62">
        <f>IF($A41="","",SUM($G41:$R41)*설정!$C$14)</f>
        <v/>
      </c>
      <c r="W41" s="62">
        <f>IF($A41="","",INDEX($G41:$R41,설정!$C$7)*설정!$C$14)</f>
        <v/>
      </c>
      <c r="X41" s="62">
        <f>IF($A41="","",SUMPRODUCT(($G$4:$R$4&lt;=설정!$C$7)*$G41:$R41)*설정!$C$14)</f>
        <v/>
      </c>
      <c r="Y41" s="63">
        <f>IF($A41="","",IF(COUNTIF(집계!$E$7:$E$506,$T41)&gt;0,"Y","N"))</f>
        <v/>
      </c>
    </row>
    <row r="42">
      <c r="A42" s="60" t="n">
        <v>2026</v>
      </c>
      <c r="B42" s="60" t="inlineStr">
        <is>
          <t>본예산</t>
        </is>
      </c>
      <c r="C42" s="60" t="inlineStr">
        <is>
          <t>D700</t>
        </is>
      </c>
      <c r="D42" s="60" t="inlineStr">
        <is>
          <t>IT운영팀</t>
        </is>
      </c>
      <c r="E42" s="60" t="inlineStr">
        <is>
          <t>B01</t>
        </is>
      </c>
      <c r="F42" s="60" t="inlineStr">
        <is>
          <t>여비교통비</t>
        </is>
      </c>
      <c r="G42" s="61" t="n">
        <v>1200</v>
      </c>
      <c r="H42" s="61" t="n">
        <v>1200</v>
      </c>
      <c r="I42" s="61" t="n">
        <v>1200</v>
      </c>
      <c r="J42" s="61" t="n">
        <v>1200</v>
      </c>
      <c r="K42" s="61" t="n">
        <v>1200</v>
      </c>
      <c r="L42" s="61" t="n">
        <v>1200</v>
      </c>
      <c r="M42" s="61" t="n">
        <v>1200</v>
      </c>
      <c r="N42" s="61" t="n">
        <v>1200</v>
      </c>
      <c r="O42" s="61" t="n">
        <v>1200</v>
      </c>
      <c r="P42" s="61" t="n">
        <v>1200</v>
      </c>
      <c r="Q42" s="61" t="n">
        <v>1200</v>
      </c>
      <c r="R42" s="61" t="n">
        <v>1200</v>
      </c>
      <c r="T42" s="4">
        <f>IF($A42="","",$C42&amp;"|"&amp;$E42)</f>
        <v/>
      </c>
      <c r="U42" s="4">
        <f>IF($A42="","",VALUE($A42&amp;""))</f>
        <v/>
      </c>
      <c r="V42" s="62">
        <f>IF($A42="","",SUM($G42:$R42)*설정!$C$14)</f>
        <v/>
      </c>
      <c r="W42" s="62">
        <f>IF($A42="","",INDEX($G42:$R42,설정!$C$7)*설정!$C$14)</f>
        <v/>
      </c>
      <c r="X42" s="62">
        <f>IF($A42="","",SUMPRODUCT(($G$4:$R$4&lt;=설정!$C$7)*$G42:$R42)*설정!$C$14)</f>
        <v/>
      </c>
      <c r="Y42" s="63">
        <f>IF($A42="","",IF(COUNTIF(집계!$E$7:$E$506,$T42)&gt;0,"Y","N"))</f>
        <v/>
      </c>
    </row>
    <row r="43">
      <c r="A43" s="60" t="n">
        <v>2026</v>
      </c>
      <c r="B43" s="60" t="inlineStr">
        <is>
          <t>본예산</t>
        </is>
      </c>
      <c r="C43" s="60" t="inlineStr">
        <is>
          <t>D700</t>
        </is>
      </c>
      <c r="D43" s="60" t="inlineStr">
        <is>
          <t>IT운영팀</t>
        </is>
      </c>
      <c r="E43" s="60" t="inlineStr">
        <is>
          <t>B02</t>
        </is>
      </c>
      <c r="F43" s="60" t="inlineStr">
        <is>
          <t>통신비</t>
        </is>
      </c>
      <c r="G43" s="61" t="n">
        <v>15000</v>
      </c>
      <c r="H43" s="61" t="n">
        <v>15000</v>
      </c>
      <c r="I43" s="61" t="n">
        <v>15000</v>
      </c>
      <c r="J43" s="61" t="n">
        <v>15000</v>
      </c>
      <c r="K43" s="61" t="n">
        <v>15000</v>
      </c>
      <c r="L43" s="61" t="n">
        <v>15000</v>
      </c>
      <c r="M43" s="61" t="n">
        <v>15000</v>
      </c>
      <c r="N43" s="61" t="n">
        <v>15000</v>
      </c>
      <c r="O43" s="61" t="n">
        <v>15000</v>
      </c>
      <c r="P43" s="61" t="n">
        <v>15000</v>
      </c>
      <c r="Q43" s="61" t="n">
        <v>15000</v>
      </c>
      <c r="R43" s="61" t="n">
        <v>15000</v>
      </c>
      <c r="T43" s="4">
        <f>IF($A43="","",$C43&amp;"|"&amp;$E43)</f>
        <v/>
      </c>
      <c r="U43" s="4">
        <f>IF($A43="","",VALUE($A43&amp;""))</f>
        <v/>
      </c>
      <c r="V43" s="62">
        <f>IF($A43="","",SUM($G43:$R43)*설정!$C$14)</f>
        <v/>
      </c>
      <c r="W43" s="62">
        <f>IF($A43="","",INDEX($G43:$R43,설정!$C$7)*설정!$C$14)</f>
        <v/>
      </c>
      <c r="X43" s="62">
        <f>IF($A43="","",SUMPRODUCT(($G$4:$R$4&lt;=설정!$C$7)*$G43:$R43)*설정!$C$14)</f>
        <v/>
      </c>
      <c r="Y43" s="63">
        <f>IF($A43="","",IF(COUNTIF(집계!$E$7:$E$506,$T43)&gt;0,"Y","N"))</f>
        <v/>
      </c>
    </row>
    <row r="44">
      <c r="A44" s="60" t="n">
        <v>2026</v>
      </c>
      <c r="B44" s="60" t="inlineStr">
        <is>
          <t>본예산</t>
        </is>
      </c>
      <c r="C44" s="60" t="inlineStr">
        <is>
          <t>D700</t>
        </is>
      </c>
      <c r="D44" s="60" t="inlineStr">
        <is>
          <t>IT운영팀</t>
        </is>
      </c>
      <c r="E44" s="60" t="inlineStr">
        <is>
          <t>B03</t>
        </is>
      </c>
      <c r="F44" s="60" t="inlineStr">
        <is>
          <t>소모품비</t>
        </is>
      </c>
      <c r="G44" s="61" t="n">
        <v>1000</v>
      </c>
      <c r="H44" s="61" t="n">
        <v>1000</v>
      </c>
      <c r="I44" s="61" t="n">
        <v>1000</v>
      </c>
      <c r="J44" s="61" t="n">
        <v>1000</v>
      </c>
      <c r="K44" s="61" t="n">
        <v>1000</v>
      </c>
      <c r="L44" s="61" t="n">
        <v>1000</v>
      </c>
      <c r="M44" s="61" t="n">
        <v>1000</v>
      </c>
      <c r="N44" s="61" t="n">
        <v>1000</v>
      </c>
      <c r="O44" s="61" t="n">
        <v>1000</v>
      </c>
      <c r="P44" s="61" t="n">
        <v>1000</v>
      </c>
      <c r="Q44" s="61" t="n">
        <v>1000</v>
      </c>
      <c r="R44" s="61" t="n">
        <v>1000</v>
      </c>
      <c r="T44" s="4">
        <f>IF($A44="","",$C44&amp;"|"&amp;$E44)</f>
        <v/>
      </c>
      <c r="U44" s="4">
        <f>IF($A44="","",VALUE($A44&amp;""))</f>
        <v/>
      </c>
      <c r="V44" s="62">
        <f>IF($A44="","",SUM($G44:$R44)*설정!$C$14)</f>
        <v/>
      </c>
      <c r="W44" s="62">
        <f>IF($A44="","",INDEX($G44:$R44,설정!$C$7)*설정!$C$14)</f>
        <v/>
      </c>
      <c r="X44" s="62">
        <f>IF($A44="","",SUMPRODUCT(($G$4:$R$4&lt;=설정!$C$7)*$G44:$R44)*설정!$C$14)</f>
        <v/>
      </c>
      <c r="Y44" s="63">
        <f>IF($A44="","",IF(COUNTIF(집계!$E$7:$E$506,$T44)&gt;0,"Y","N"))</f>
        <v/>
      </c>
    </row>
    <row r="45">
      <c r="A45" s="60" t="n">
        <v>2026</v>
      </c>
      <c r="B45" s="60" t="inlineStr">
        <is>
          <t>본예산</t>
        </is>
      </c>
      <c r="C45" s="60" t="inlineStr">
        <is>
          <t>D700</t>
        </is>
      </c>
      <c r="D45" s="60" t="inlineStr">
        <is>
          <t>IT운영팀</t>
        </is>
      </c>
      <c r="E45" s="60" t="inlineStr">
        <is>
          <t>B05</t>
        </is>
      </c>
      <c r="F45" s="60" t="inlineStr">
        <is>
          <t>회의비</t>
        </is>
      </c>
      <c r="G45" s="61" t="n">
        <v>400</v>
      </c>
      <c r="H45" s="61" t="n">
        <v>400</v>
      </c>
      <c r="I45" s="61" t="n">
        <v>400</v>
      </c>
      <c r="J45" s="61" t="n">
        <v>400</v>
      </c>
      <c r="K45" s="61" t="n">
        <v>400</v>
      </c>
      <c r="L45" s="61" t="n">
        <v>400</v>
      </c>
      <c r="M45" s="61" t="n">
        <v>400</v>
      </c>
      <c r="N45" s="61" t="n">
        <v>400</v>
      </c>
      <c r="O45" s="61" t="n">
        <v>400</v>
      </c>
      <c r="P45" s="61" t="n">
        <v>400</v>
      </c>
      <c r="Q45" s="61" t="n">
        <v>400</v>
      </c>
      <c r="R45" s="61" t="n">
        <v>400</v>
      </c>
      <c r="T45" s="4">
        <f>IF($A45="","",$C45&amp;"|"&amp;$E45)</f>
        <v/>
      </c>
      <c r="U45" s="4">
        <f>IF($A45="","",VALUE($A45&amp;""))</f>
        <v/>
      </c>
      <c r="V45" s="62">
        <f>IF($A45="","",SUM($G45:$R45)*설정!$C$14)</f>
        <v/>
      </c>
      <c r="W45" s="62">
        <f>IF($A45="","",INDEX($G45:$R45,설정!$C$7)*설정!$C$14)</f>
        <v/>
      </c>
      <c r="X45" s="62">
        <f>IF($A45="","",SUMPRODUCT(($G$4:$R$4&lt;=설정!$C$7)*$G45:$R45)*설정!$C$14)</f>
        <v/>
      </c>
      <c r="Y45" s="63">
        <f>IF($A45="","",IF(COUNTIF(집계!$E$7:$E$506,$T45)&gt;0,"Y","N"))</f>
        <v/>
      </c>
    </row>
    <row r="46">
      <c r="A46" s="60" t="n">
        <v>2026</v>
      </c>
      <c r="B46" s="60" t="inlineStr">
        <is>
          <t>본예산</t>
        </is>
      </c>
      <c r="C46" s="60" t="inlineStr">
        <is>
          <t>D700</t>
        </is>
      </c>
      <c r="D46" s="60" t="inlineStr">
        <is>
          <t>IT운영팀</t>
        </is>
      </c>
      <c r="E46" s="60" t="inlineStr">
        <is>
          <t>B10</t>
        </is>
      </c>
      <c r="F46" s="60" t="inlineStr">
        <is>
          <t>전산운영비</t>
        </is>
      </c>
      <c r="G46" s="61" t="n">
        <v>200000</v>
      </c>
      <c r="H46" s="61" t="n">
        <v>200000</v>
      </c>
      <c r="I46" s="61" t="n">
        <v>200000</v>
      </c>
      <c r="J46" s="61" t="n">
        <v>200000</v>
      </c>
      <c r="K46" s="61" t="n">
        <v>200000</v>
      </c>
      <c r="L46" s="61" t="n">
        <v>200000</v>
      </c>
      <c r="M46" s="61" t="n">
        <v>200000</v>
      </c>
      <c r="N46" s="61" t="n">
        <v>200000</v>
      </c>
      <c r="O46" s="61" t="n">
        <v>200000</v>
      </c>
      <c r="P46" s="61" t="n">
        <v>200000</v>
      </c>
      <c r="Q46" s="61" t="n">
        <v>200000</v>
      </c>
      <c r="R46" s="61" t="n">
        <v>200000</v>
      </c>
      <c r="T46" s="4">
        <f>IF($A46="","",$C46&amp;"|"&amp;$E46)</f>
        <v/>
      </c>
      <c r="U46" s="4">
        <f>IF($A46="","",VALUE($A46&amp;""))</f>
        <v/>
      </c>
      <c r="V46" s="62">
        <f>IF($A46="","",SUM($G46:$R46)*설정!$C$14)</f>
        <v/>
      </c>
      <c r="W46" s="62">
        <f>IF($A46="","",INDEX($G46:$R46,설정!$C$7)*설정!$C$14)</f>
        <v/>
      </c>
      <c r="X46" s="62">
        <f>IF($A46="","",SUMPRODUCT(($G$4:$R$4&lt;=설정!$C$7)*$G46:$R46)*설정!$C$14)</f>
        <v/>
      </c>
      <c r="Y46" s="63">
        <f>IF($A46="","",IF(COUNTIF(집계!$E$7:$E$506,$T46)&gt;0,"Y","N"))</f>
        <v/>
      </c>
    </row>
    <row r="47">
      <c r="A47" s="60" t="n">
        <v>2026</v>
      </c>
      <c r="B47" s="60" t="inlineStr">
        <is>
          <t>본예산</t>
        </is>
      </c>
      <c r="C47" s="60" t="inlineStr">
        <is>
          <t>D800</t>
        </is>
      </c>
      <c r="D47" s="60" t="inlineStr">
        <is>
          <t>고객서비스팀</t>
        </is>
      </c>
      <c r="E47" s="60" t="inlineStr">
        <is>
          <t>B01</t>
        </is>
      </c>
      <c r="F47" s="60" t="inlineStr">
        <is>
          <t>여비교통비</t>
        </is>
      </c>
      <c r="G47" s="61" t="n">
        <v>1000</v>
      </c>
      <c r="H47" s="61" t="n">
        <v>1000</v>
      </c>
      <c r="I47" s="61" t="n">
        <v>1000</v>
      </c>
      <c r="J47" s="61" t="n">
        <v>1000</v>
      </c>
      <c r="K47" s="61" t="n">
        <v>1000</v>
      </c>
      <c r="L47" s="61" t="n">
        <v>1000</v>
      </c>
      <c r="M47" s="61" t="n">
        <v>1000</v>
      </c>
      <c r="N47" s="61" t="n">
        <v>1000</v>
      </c>
      <c r="O47" s="61" t="n">
        <v>1000</v>
      </c>
      <c r="P47" s="61" t="n">
        <v>1000</v>
      </c>
      <c r="Q47" s="61" t="n">
        <v>1000</v>
      </c>
      <c r="R47" s="61" t="n">
        <v>1000</v>
      </c>
      <c r="T47" s="4">
        <f>IF($A47="","",$C47&amp;"|"&amp;$E47)</f>
        <v/>
      </c>
      <c r="U47" s="4">
        <f>IF($A47="","",VALUE($A47&amp;""))</f>
        <v/>
      </c>
      <c r="V47" s="62">
        <f>IF($A47="","",SUM($G47:$R47)*설정!$C$14)</f>
        <v/>
      </c>
      <c r="W47" s="62">
        <f>IF($A47="","",INDEX($G47:$R47,설정!$C$7)*설정!$C$14)</f>
        <v/>
      </c>
      <c r="X47" s="62">
        <f>IF($A47="","",SUMPRODUCT(($G$4:$R$4&lt;=설정!$C$7)*$G47:$R47)*설정!$C$14)</f>
        <v/>
      </c>
      <c r="Y47" s="63">
        <f>IF($A47="","",IF(COUNTIF(집계!$E$7:$E$506,$T47)&gt;0,"Y","N"))</f>
        <v/>
      </c>
    </row>
    <row r="48">
      <c r="A48" s="60" t="n">
        <v>2026</v>
      </c>
      <c r="B48" s="60" t="inlineStr">
        <is>
          <t>본예산</t>
        </is>
      </c>
      <c r="C48" s="60" t="inlineStr">
        <is>
          <t>D800</t>
        </is>
      </c>
      <c r="D48" s="60" t="inlineStr">
        <is>
          <t>고객서비스팀</t>
        </is>
      </c>
      <c r="E48" s="60" t="inlineStr">
        <is>
          <t>B02</t>
        </is>
      </c>
      <c r="F48" s="60" t="inlineStr">
        <is>
          <t>통신비</t>
        </is>
      </c>
      <c r="G48" s="61" t="n">
        <v>20000</v>
      </c>
      <c r="H48" s="61" t="n">
        <v>20000</v>
      </c>
      <c r="I48" s="61" t="n">
        <v>20000</v>
      </c>
      <c r="J48" s="61" t="n">
        <v>20000</v>
      </c>
      <c r="K48" s="61" t="n">
        <v>20000</v>
      </c>
      <c r="L48" s="61" t="n">
        <v>20000</v>
      </c>
      <c r="M48" s="61" t="n">
        <v>20000</v>
      </c>
      <c r="N48" s="61" t="n">
        <v>20000</v>
      </c>
      <c r="O48" s="61" t="n">
        <v>20000</v>
      </c>
      <c r="P48" s="61" t="n">
        <v>20000</v>
      </c>
      <c r="Q48" s="61" t="n">
        <v>20000</v>
      </c>
      <c r="R48" s="61" t="n">
        <v>20000</v>
      </c>
      <c r="T48" s="4">
        <f>IF($A48="","",$C48&amp;"|"&amp;$E48)</f>
        <v/>
      </c>
      <c r="U48" s="4">
        <f>IF($A48="","",VALUE($A48&amp;""))</f>
        <v/>
      </c>
      <c r="V48" s="62">
        <f>IF($A48="","",SUM($G48:$R48)*설정!$C$14)</f>
        <v/>
      </c>
      <c r="W48" s="62">
        <f>IF($A48="","",INDEX($G48:$R48,설정!$C$7)*설정!$C$14)</f>
        <v/>
      </c>
      <c r="X48" s="62">
        <f>IF($A48="","",SUMPRODUCT(($G$4:$R$4&lt;=설정!$C$7)*$G48:$R48)*설정!$C$14)</f>
        <v/>
      </c>
      <c r="Y48" s="63">
        <f>IF($A48="","",IF(COUNTIF(집계!$E$7:$E$506,$T48)&gt;0,"Y","N"))</f>
        <v/>
      </c>
    </row>
    <row r="49">
      <c r="A49" s="60" t="n">
        <v>2026</v>
      </c>
      <c r="B49" s="60" t="inlineStr">
        <is>
          <t>본예산</t>
        </is>
      </c>
      <c r="C49" s="60" t="inlineStr">
        <is>
          <t>D800</t>
        </is>
      </c>
      <c r="D49" s="60" t="inlineStr">
        <is>
          <t>고객서비스팀</t>
        </is>
      </c>
      <c r="E49" s="60" t="inlineStr">
        <is>
          <t>B03</t>
        </is>
      </c>
      <c r="F49" s="60" t="inlineStr">
        <is>
          <t>소모품비</t>
        </is>
      </c>
      <c r="G49" s="61" t="n">
        <v>1500</v>
      </c>
      <c r="H49" s="61" t="n">
        <v>1500</v>
      </c>
      <c r="I49" s="61" t="n">
        <v>1500</v>
      </c>
      <c r="J49" s="61" t="n">
        <v>1500</v>
      </c>
      <c r="K49" s="61" t="n">
        <v>1500</v>
      </c>
      <c r="L49" s="61" t="n">
        <v>1500</v>
      </c>
      <c r="M49" s="61" t="n">
        <v>1500</v>
      </c>
      <c r="N49" s="61" t="n">
        <v>1500</v>
      </c>
      <c r="O49" s="61" t="n">
        <v>1500</v>
      </c>
      <c r="P49" s="61" t="n">
        <v>1500</v>
      </c>
      <c r="Q49" s="61" t="n">
        <v>1500</v>
      </c>
      <c r="R49" s="61" t="n">
        <v>1500</v>
      </c>
      <c r="T49" s="4">
        <f>IF($A49="","",$C49&amp;"|"&amp;$E49)</f>
        <v/>
      </c>
      <c r="U49" s="4">
        <f>IF($A49="","",VALUE($A49&amp;""))</f>
        <v/>
      </c>
      <c r="V49" s="62">
        <f>IF($A49="","",SUM($G49:$R49)*설정!$C$14)</f>
        <v/>
      </c>
      <c r="W49" s="62">
        <f>IF($A49="","",INDEX($G49:$R49,설정!$C$7)*설정!$C$14)</f>
        <v/>
      </c>
      <c r="X49" s="62">
        <f>IF($A49="","",SUMPRODUCT(($G$4:$R$4&lt;=설정!$C$7)*$G49:$R49)*설정!$C$14)</f>
        <v/>
      </c>
      <c r="Y49" s="63">
        <f>IF($A49="","",IF(COUNTIF(집계!$E$7:$E$506,$T49)&gt;0,"Y","N"))</f>
        <v/>
      </c>
    </row>
    <row r="50">
      <c r="A50" s="60" t="n">
        <v>2026</v>
      </c>
      <c r="B50" s="60" t="inlineStr">
        <is>
          <t>본예산</t>
        </is>
      </c>
      <c r="C50" s="60" t="inlineStr">
        <is>
          <t>D800</t>
        </is>
      </c>
      <c r="D50" s="60" t="inlineStr">
        <is>
          <t>고객서비스팀</t>
        </is>
      </c>
      <c r="E50" s="60" t="inlineStr">
        <is>
          <t>B04</t>
        </is>
      </c>
      <c r="F50" s="60" t="inlineStr">
        <is>
          <t>도서인쇄비</t>
        </is>
      </c>
      <c r="G50" s="61" t="n">
        <v>8000</v>
      </c>
      <c r="H50" s="61" t="n">
        <v>8000</v>
      </c>
      <c r="I50" s="61" t="n">
        <v>8000</v>
      </c>
      <c r="J50" s="61" t="n">
        <v>8000</v>
      </c>
      <c r="K50" s="61" t="n">
        <v>8000</v>
      </c>
      <c r="L50" s="61" t="n">
        <v>8000</v>
      </c>
      <c r="M50" s="61" t="n">
        <v>8000</v>
      </c>
      <c r="N50" s="61" t="n">
        <v>8000</v>
      </c>
      <c r="O50" s="61" t="n">
        <v>8000</v>
      </c>
      <c r="P50" s="61" t="n">
        <v>8000</v>
      </c>
      <c r="Q50" s="61" t="n">
        <v>8000</v>
      </c>
      <c r="R50" s="61" t="n">
        <v>8000</v>
      </c>
      <c r="T50" s="4">
        <f>IF($A50="","",$C50&amp;"|"&amp;$E50)</f>
        <v/>
      </c>
      <c r="U50" s="4">
        <f>IF($A50="","",VALUE($A50&amp;""))</f>
        <v/>
      </c>
      <c r="V50" s="62">
        <f>IF($A50="","",SUM($G50:$R50)*설정!$C$14)</f>
        <v/>
      </c>
      <c r="W50" s="62">
        <f>IF($A50="","",INDEX($G50:$R50,설정!$C$7)*설정!$C$14)</f>
        <v/>
      </c>
      <c r="X50" s="62">
        <f>IF($A50="","",SUMPRODUCT(($G$4:$R$4&lt;=설정!$C$7)*$G50:$R50)*설정!$C$14)</f>
        <v/>
      </c>
      <c r="Y50" s="63">
        <f>IF($A50="","",IF(COUNTIF(집계!$E$7:$E$506,$T50)&gt;0,"Y","N"))</f>
        <v/>
      </c>
    </row>
    <row r="51">
      <c r="A51" s="60" t="n">
        <v>2026</v>
      </c>
      <c r="B51" s="60" t="inlineStr">
        <is>
          <t>본예산</t>
        </is>
      </c>
      <c r="C51" s="60" t="inlineStr">
        <is>
          <t>D800</t>
        </is>
      </c>
      <c r="D51" s="60" t="inlineStr">
        <is>
          <t>고객서비스팀</t>
        </is>
      </c>
      <c r="E51" s="60" t="inlineStr">
        <is>
          <t>B05</t>
        </is>
      </c>
      <c r="F51" s="60" t="inlineStr">
        <is>
          <t>회의비</t>
        </is>
      </c>
      <c r="G51" s="61" t="n">
        <v>500</v>
      </c>
      <c r="H51" s="61" t="n">
        <v>500</v>
      </c>
      <c r="I51" s="61" t="n">
        <v>500</v>
      </c>
      <c r="J51" s="61" t="n">
        <v>500</v>
      </c>
      <c r="K51" s="61" t="n">
        <v>500</v>
      </c>
      <c r="L51" s="61" t="n">
        <v>500</v>
      </c>
      <c r="M51" s="61" t="n">
        <v>500</v>
      </c>
      <c r="N51" s="61" t="n">
        <v>500</v>
      </c>
      <c r="O51" s="61" t="n">
        <v>500</v>
      </c>
      <c r="P51" s="61" t="n">
        <v>500</v>
      </c>
      <c r="Q51" s="61" t="n">
        <v>500</v>
      </c>
      <c r="R51" s="61" t="n">
        <v>500</v>
      </c>
      <c r="T51" s="4">
        <f>IF($A51="","",$C51&amp;"|"&amp;$E51)</f>
        <v/>
      </c>
      <c r="U51" s="4">
        <f>IF($A51="","",VALUE($A51&amp;""))</f>
        <v/>
      </c>
      <c r="V51" s="62">
        <f>IF($A51="","",SUM($G51:$R51)*설정!$C$14)</f>
        <v/>
      </c>
      <c r="W51" s="62">
        <f>IF($A51="","",INDEX($G51:$R51,설정!$C$7)*설정!$C$14)</f>
        <v/>
      </c>
      <c r="X51" s="62">
        <f>IF($A51="","",SUMPRODUCT(($G$4:$R$4&lt;=설정!$C$7)*$G51:$R51)*설정!$C$14)</f>
        <v/>
      </c>
      <c r="Y51" s="63">
        <f>IF($A51="","",IF(COUNTIF(집계!$E$7:$E$506,$T51)&gt;0,"Y","N"))</f>
        <v/>
      </c>
    </row>
    <row r="52">
      <c r="A52" s="60" t="n">
        <v>2026</v>
      </c>
      <c r="B52" s="60" t="inlineStr">
        <is>
          <t>본예산</t>
        </is>
      </c>
      <c r="C52" s="60" t="inlineStr">
        <is>
          <t>D800</t>
        </is>
      </c>
      <c r="D52" s="60" t="inlineStr">
        <is>
          <t>고객서비스팀</t>
        </is>
      </c>
      <c r="E52" s="60" t="inlineStr">
        <is>
          <t>B09</t>
        </is>
      </c>
      <c r="F52" s="60" t="inlineStr">
        <is>
          <t>지급수수료</t>
        </is>
      </c>
      <c r="G52" s="61" t="n">
        <v>50000</v>
      </c>
      <c r="H52" s="61" t="n">
        <v>50000</v>
      </c>
      <c r="I52" s="61" t="n">
        <v>50000</v>
      </c>
      <c r="J52" s="61" t="n">
        <v>50000</v>
      </c>
      <c r="K52" s="61" t="n">
        <v>50000</v>
      </c>
      <c r="L52" s="61" t="n">
        <v>50000</v>
      </c>
      <c r="M52" s="61" t="n">
        <v>50000</v>
      </c>
      <c r="N52" s="61" t="n">
        <v>50000</v>
      </c>
      <c r="O52" s="61" t="n">
        <v>50000</v>
      </c>
      <c r="P52" s="61" t="n">
        <v>50000</v>
      </c>
      <c r="Q52" s="61" t="n">
        <v>50000</v>
      </c>
      <c r="R52" s="61" t="n">
        <v>50000</v>
      </c>
      <c r="T52" s="4">
        <f>IF($A52="","",$C52&amp;"|"&amp;$E52)</f>
        <v/>
      </c>
      <c r="U52" s="4">
        <f>IF($A52="","",VALUE($A52&amp;""))</f>
        <v/>
      </c>
      <c r="V52" s="62">
        <f>IF($A52="","",SUM($G52:$R52)*설정!$C$14)</f>
        <v/>
      </c>
      <c r="W52" s="62">
        <f>IF($A52="","",INDEX($G52:$R52,설정!$C$7)*설정!$C$14)</f>
        <v/>
      </c>
      <c r="X52" s="62">
        <f>IF($A52="","",SUMPRODUCT(($G$4:$R$4&lt;=설정!$C$7)*$G52:$R52)*설정!$C$14)</f>
        <v/>
      </c>
      <c r="Y52" s="63">
        <f>IF($A52="","",IF(COUNTIF(집계!$E$7:$E$506,$T52)&gt;0,"Y","N"))</f>
        <v/>
      </c>
    </row>
  </sheetData>
  <autoFilter ref="A4:Y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/>
  </sheetPr>
  <dimension ref="A1:Q16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11" customWidth="1" min="4" max="4"/>
    <col width="18" customWidth="1" min="5" max="5"/>
    <col width="11" customWidth="1" min="6" max="6"/>
    <col width="22" customWidth="1" min="7" max="7"/>
    <col width="15" customWidth="1" min="8" max="8"/>
    <col width="2" customWidth="1" min="9" max="9"/>
    <col width="9" customWidth="1" min="10" max="10"/>
    <col width="11" customWidth="1" min="11" max="11"/>
    <col width="9" customWidth="1" min="12" max="12"/>
    <col width="7" customWidth="1" min="13" max="13"/>
    <col width="14" customWidth="1" min="14" max="14"/>
    <col width="12" customWidth="1" min="15" max="15"/>
    <col width="8" customWidth="1" min="16" max="16"/>
    <col width="8" customWidth="1" min="17" max="17"/>
  </cols>
  <sheetData>
    <row r="1">
      <c r="A1" s="1" t="inlineStr">
        <is>
          <t>실적 원본 (자체 화면 추출)</t>
        </is>
      </c>
    </row>
    <row r="2">
      <c r="A2" s="2" t="inlineStr">
        <is>
          <t>A~H열: 붙여넣기/불러오기 · J~Q열: 보조수식 (회색, 수정 금지) · 전년 실적도 함께 넣으세요</t>
        </is>
      </c>
    </row>
    <row r="4" ht="30" customHeight="1">
      <c r="A4" s="5" t="inlineStr">
        <is>
          <t>회계연도</t>
        </is>
      </c>
      <c r="B4" s="5" t="inlineStr">
        <is>
          <t>기간</t>
        </is>
      </c>
      <c r="C4" s="5" t="inlineStr">
        <is>
          <t>회사코드</t>
        </is>
      </c>
      <c r="D4" s="5" t="inlineStr">
        <is>
          <t>코스트센터</t>
        </is>
      </c>
      <c r="E4" s="5" t="inlineStr">
        <is>
          <t>코스트센터명</t>
        </is>
      </c>
      <c r="F4" s="5" t="inlineStr">
        <is>
          <t>G/L계정</t>
        </is>
      </c>
      <c r="G4" s="5" t="inlineStr">
        <is>
          <t>계정명</t>
        </is>
      </c>
      <c r="H4" s="5" t="inlineStr">
        <is>
          <t>금액</t>
        </is>
      </c>
      <c r="J4" s="43" t="inlineStr">
        <is>
          <t>부서코드</t>
        </is>
      </c>
      <c r="K4" s="43" t="inlineStr">
        <is>
          <t>예산항목코드</t>
        </is>
      </c>
      <c r="L4" s="43" t="inlineStr">
        <is>
          <t>연도(숫자)</t>
        </is>
      </c>
      <c r="M4" s="43" t="inlineStr">
        <is>
          <t>월(숫자)</t>
        </is>
      </c>
      <c r="N4" s="43" t="inlineStr">
        <is>
          <t>금액(보고단위)</t>
        </is>
      </c>
      <c r="O4" s="43" t="inlineStr">
        <is>
          <t>키</t>
        </is>
      </c>
      <c r="P4" s="43" t="inlineStr">
        <is>
          <t>예산유무</t>
        </is>
      </c>
      <c r="Q4" s="43" t="inlineStr">
        <is>
          <t>집계포함</t>
        </is>
      </c>
    </row>
    <row r="5">
      <c r="A5" s="60" t="n">
        <v>2025</v>
      </c>
      <c r="B5" s="60" t="n">
        <v>1</v>
      </c>
      <c r="C5" s="60" t="inlineStr">
        <is>
          <t>1000</t>
        </is>
      </c>
      <c r="D5" s="60" t="n">
        <v>1101</v>
      </c>
      <c r="E5" s="60" t="inlineStr">
        <is>
          <t>경영기획</t>
        </is>
      </c>
      <c r="F5" s="60" t="n">
        <v>62101000</v>
      </c>
      <c r="G5" s="60" t="inlineStr">
        <is>
          <t>여비교통비-국내</t>
        </is>
      </c>
      <c r="H5" s="61" t="n">
        <v>2127060</v>
      </c>
      <c r="J5" s="63">
        <f>IF($A5="","",IFERROR(INDEX(부서매핑!$C$5:$C$504,MATCH($D5&amp;"",부서매핑!$A$5:$A$504,0)),"미매핑"))</f>
        <v/>
      </c>
      <c r="K5" s="63">
        <f>IF($A5="","",IFERROR(INDEX(계정매핑!$C$5:$C$504,MATCH($F5&amp;"",계정매핑!$A$5:$A$504,0)),"미매핑"))</f>
        <v/>
      </c>
      <c r="L5" s="4">
        <f>IF($A5="","",VALUE($A5&amp;""))</f>
        <v/>
      </c>
      <c r="M5" s="4">
        <f>IF($A5="","",VALUE($B5&amp;""))</f>
        <v/>
      </c>
      <c r="N5" s="64">
        <f>IF($A5="","",$H5*설정!$C$15)</f>
        <v/>
      </c>
      <c r="O5" s="4">
        <f>IF($A5="","",J5&amp;"|"&amp;K5)</f>
        <v/>
      </c>
      <c r="P5" s="63">
        <f>IF($A5="","",IF(COUNTIFS(예산_원본!$T$5:$T$3004,O5,예산_원본!$B$5:$B$3004,설정!$C$8,예산_원본!$U$5:$U$3004,L5)&gt;0,"Y","N"))</f>
        <v/>
      </c>
      <c r="Q5" s="63">
        <f>IF($A5="","",IF(COUNTIF(집계!$E$7:$E$506,O5)&gt;0,"Y","N"))</f>
        <v/>
      </c>
    </row>
    <row r="6">
      <c r="A6" s="60" t="n">
        <v>2025</v>
      </c>
      <c r="B6" s="60" t="n">
        <v>1</v>
      </c>
      <c r="C6" s="60" t="inlineStr">
        <is>
          <t>1000</t>
        </is>
      </c>
      <c r="D6" s="60" t="n">
        <v>1101</v>
      </c>
      <c r="E6" s="60" t="inlineStr">
        <is>
          <t>경영기획</t>
        </is>
      </c>
      <c r="F6" s="60" t="n">
        <v>62102000</v>
      </c>
      <c r="G6" s="60" t="inlineStr">
        <is>
          <t>여비교통비-해외</t>
        </is>
      </c>
      <c r="H6" s="61" t="n">
        <v>413410</v>
      </c>
      <c r="J6" s="63">
        <f>IF($A6="","",IFERROR(INDEX(부서매핑!$C$5:$C$504,MATCH($D6&amp;"",부서매핑!$A$5:$A$504,0)),"미매핑"))</f>
        <v/>
      </c>
      <c r="K6" s="63">
        <f>IF($A6="","",IFERROR(INDEX(계정매핑!$C$5:$C$504,MATCH($F6&amp;"",계정매핑!$A$5:$A$504,0)),"미매핑"))</f>
        <v/>
      </c>
      <c r="L6" s="4">
        <f>IF($A6="","",VALUE($A6&amp;""))</f>
        <v/>
      </c>
      <c r="M6" s="4">
        <f>IF($A6="","",VALUE($B6&amp;""))</f>
        <v/>
      </c>
      <c r="N6" s="64">
        <f>IF($A6="","",$H6*설정!$C$15)</f>
        <v/>
      </c>
      <c r="O6" s="4">
        <f>IF($A6="","",J6&amp;"|"&amp;K6)</f>
        <v/>
      </c>
      <c r="P6" s="63">
        <f>IF($A6="","",IF(COUNTIFS(예산_원본!$T$5:$T$3004,O6,예산_원본!$B$5:$B$3004,설정!$C$8,예산_원본!$U$5:$U$3004,L6)&gt;0,"Y","N"))</f>
        <v/>
      </c>
      <c r="Q6" s="63">
        <f>IF($A6="","",IF(COUNTIF(집계!$E$7:$E$506,O6)&gt;0,"Y","N"))</f>
        <v/>
      </c>
    </row>
    <row r="7">
      <c r="A7" s="60" t="n">
        <v>2025</v>
      </c>
      <c r="B7" s="60" t="n">
        <v>1</v>
      </c>
      <c r="C7" s="60" t="inlineStr">
        <is>
          <t>1000</t>
        </is>
      </c>
      <c r="D7" s="60" t="n">
        <v>1101</v>
      </c>
      <c r="E7" s="60" t="inlineStr">
        <is>
          <t>경영기획</t>
        </is>
      </c>
      <c r="F7" s="60" t="n">
        <v>62201000</v>
      </c>
      <c r="G7" s="60" t="inlineStr">
        <is>
          <t>통신비</t>
        </is>
      </c>
      <c r="H7" s="61" t="n">
        <v>880370</v>
      </c>
      <c r="J7" s="63">
        <f>IF($A7="","",IFERROR(INDEX(부서매핑!$C$5:$C$504,MATCH($D7&amp;"",부서매핑!$A$5:$A$504,0)),"미매핑"))</f>
        <v/>
      </c>
      <c r="K7" s="63">
        <f>IF($A7="","",IFERROR(INDEX(계정매핑!$C$5:$C$504,MATCH($F7&amp;"",계정매핑!$A$5:$A$504,0)),"미매핑"))</f>
        <v/>
      </c>
      <c r="L7" s="4">
        <f>IF($A7="","",VALUE($A7&amp;""))</f>
        <v/>
      </c>
      <c r="M7" s="4">
        <f>IF($A7="","",VALUE($B7&amp;""))</f>
        <v/>
      </c>
      <c r="N7" s="64">
        <f>IF($A7="","",$H7*설정!$C$15)</f>
        <v/>
      </c>
      <c r="O7" s="4">
        <f>IF($A7="","",J7&amp;"|"&amp;K7)</f>
        <v/>
      </c>
      <c r="P7" s="63">
        <f>IF($A7="","",IF(COUNTIFS(예산_원본!$T$5:$T$3004,O7,예산_원본!$B$5:$B$3004,설정!$C$8,예산_원본!$U$5:$U$3004,L7)&gt;0,"Y","N"))</f>
        <v/>
      </c>
      <c r="Q7" s="63">
        <f>IF($A7="","",IF(COUNTIF(집계!$E$7:$E$506,O7)&gt;0,"Y","N"))</f>
        <v/>
      </c>
    </row>
    <row r="8">
      <c r="A8" s="60" t="n">
        <v>2025</v>
      </c>
      <c r="B8" s="60" t="n">
        <v>1</v>
      </c>
      <c r="C8" s="60" t="inlineStr">
        <is>
          <t>1000</t>
        </is>
      </c>
      <c r="D8" s="60" t="n">
        <v>1101</v>
      </c>
      <c r="E8" s="60" t="inlineStr">
        <is>
          <t>경영기획</t>
        </is>
      </c>
      <c r="F8" s="60" t="n">
        <v>62301000</v>
      </c>
      <c r="G8" s="60" t="inlineStr">
        <is>
          <t>소모품비</t>
        </is>
      </c>
      <c r="H8" s="61" t="n">
        <v>526480</v>
      </c>
      <c r="J8" s="63">
        <f>IF($A8="","",IFERROR(INDEX(부서매핑!$C$5:$C$504,MATCH($D8&amp;"",부서매핑!$A$5:$A$504,0)),"미매핑"))</f>
        <v/>
      </c>
      <c r="K8" s="63">
        <f>IF($A8="","",IFERROR(INDEX(계정매핑!$C$5:$C$504,MATCH($F8&amp;"",계정매핑!$A$5:$A$504,0)),"미매핑"))</f>
        <v/>
      </c>
      <c r="L8" s="4">
        <f>IF($A8="","",VALUE($A8&amp;""))</f>
        <v/>
      </c>
      <c r="M8" s="4">
        <f>IF($A8="","",VALUE($B8&amp;""))</f>
        <v/>
      </c>
      <c r="N8" s="64">
        <f>IF($A8="","",$H8*설정!$C$15)</f>
        <v/>
      </c>
      <c r="O8" s="4">
        <f>IF($A8="","",J8&amp;"|"&amp;K8)</f>
        <v/>
      </c>
      <c r="P8" s="63">
        <f>IF($A8="","",IF(COUNTIFS(예산_원본!$T$5:$T$3004,O8,예산_원본!$B$5:$B$3004,설정!$C$8,예산_원본!$U$5:$U$3004,L8)&gt;0,"Y","N"))</f>
        <v/>
      </c>
      <c r="Q8" s="63">
        <f>IF($A8="","",IF(COUNTIF(집계!$E$7:$E$506,O8)&gt;0,"Y","N"))</f>
        <v/>
      </c>
    </row>
    <row r="9">
      <c r="A9" s="60" t="n">
        <v>2025</v>
      </c>
      <c r="B9" s="60" t="n">
        <v>1</v>
      </c>
      <c r="C9" s="60" t="inlineStr">
        <is>
          <t>1000</t>
        </is>
      </c>
      <c r="D9" s="60" t="n">
        <v>1101</v>
      </c>
      <c r="E9" s="60" t="inlineStr">
        <is>
          <t>경영기획</t>
        </is>
      </c>
      <c r="F9" s="60" t="n">
        <v>62501000</v>
      </c>
      <c r="G9" s="60" t="inlineStr">
        <is>
          <t>회의비</t>
        </is>
      </c>
      <c r="H9" s="61" t="n">
        <v>837890</v>
      </c>
      <c r="J9" s="63">
        <f>IF($A9="","",IFERROR(INDEX(부서매핑!$C$5:$C$504,MATCH($D9&amp;"",부서매핑!$A$5:$A$504,0)),"미매핑"))</f>
        <v/>
      </c>
      <c r="K9" s="63">
        <f>IF($A9="","",IFERROR(INDEX(계정매핑!$C$5:$C$504,MATCH($F9&amp;"",계정매핑!$A$5:$A$504,0)),"미매핑"))</f>
        <v/>
      </c>
      <c r="L9" s="4">
        <f>IF($A9="","",VALUE($A9&amp;""))</f>
        <v/>
      </c>
      <c r="M9" s="4">
        <f>IF($A9="","",VALUE($B9&amp;""))</f>
        <v/>
      </c>
      <c r="N9" s="64">
        <f>IF($A9="","",$H9*설정!$C$15)</f>
        <v/>
      </c>
      <c r="O9" s="4">
        <f>IF($A9="","",J9&amp;"|"&amp;K9)</f>
        <v/>
      </c>
      <c r="P9" s="63">
        <f>IF($A9="","",IF(COUNTIFS(예산_원본!$T$5:$T$3004,O9,예산_원본!$B$5:$B$3004,설정!$C$8,예산_원본!$U$5:$U$3004,L9)&gt;0,"Y","N"))</f>
        <v/>
      </c>
      <c r="Q9" s="63">
        <f>IF($A9="","",IF(COUNTIF(집계!$E$7:$E$506,O9)&gt;0,"Y","N"))</f>
        <v/>
      </c>
    </row>
    <row r="10">
      <c r="A10" s="60" t="n">
        <v>2025</v>
      </c>
      <c r="B10" s="60" t="n">
        <v>1</v>
      </c>
      <c r="C10" s="60" t="inlineStr">
        <is>
          <t>1000</t>
        </is>
      </c>
      <c r="D10" s="60" t="n">
        <v>1101</v>
      </c>
      <c r="E10" s="60" t="inlineStr">
        <is>
          <t>경영기획</t>
        </is>
      </c>
      <c r="F10" s="60" t="n">
        <v>62601000</v>
      </c>
      <c r="G10" s="60" t="inlineStr">
        <is>
          <t>업무추진비</t>
        </is>
      </c>
      <c r="H10" s="61" t="n">
        <v>3789450</v>
      </c>
      <c r="J10" s="63">
        <f>IF($A10="","",IFERROR(INDEX(부서매핑!$C$5:$C$504,MATCH($D10&amp;"",부서매핑!$A$5:$A$504,0)),"미매핑"))</f>
        <v/>
      </c>
      <c r="K10" s="63">
        <f>IF($A10="","",IFERROR(INDEX(계정매핑!$C$5:$C$504,MATCH($F10&amp;"",계정매핑!$A$5:$A$504,0)),"미매핑"))</f>
        <v/>
      </c>
      <c r="L10" s="4">
        <f>IF($A10="","",VALUE($A10&amp;""))</f>
        <v/>
      </c>
      <c r="M10" s="4">
        <f>IF($A10="","",VALUE($B10&amp;""))</f>
        <v/>
      </c>
      <c r="N10" s="64">
        <f>IF($A10="","",$H10*설정!$C$15)</f>
        <v/>
      </c>
      <c r="O10" s="4">
        <f>IF($A10="","",J10&amp;"|"&amp;K10)</f>
        <v/>
      </c>
      <c r="P10" s="63">
        <f>IF($A10="","",IF(COUNTIFS(예산_원본!$T$5:$T$3004,O10,예산_원본!$B$5:$B$3004,설정!$C$8,예산_원본!$U$5:$U$3004,L10)&gt;0,"Y","N"))</f>
        <v/>
      </c>
      <c r="Q10" s="63">
        <f>IF($A10="","",IF(COUNTIF(집계!$E$7:$E$506,O10)&gt;0,"Y","N"))</f>
        <v/>
      </c>
    </row>
    <row r="11">
      <c r="A11" s="60" t="n">
        <v>2025</v>
      </c>
      <c r="B11" s="60" t="n">
        <v>1</v>
      </c>
      <c r="C11" s="60" t="inlineStr">
        <is>
          <t>1000</t>
        </is>
      </c>
      <c r="D11" s="60" t="n">
        <v>1101</v>
      </c>
      <c r="E11" s="60" t="inlineStr">
        <is>
          <t>경영기획</t>
        </is>
      </c>
      <c r="F11" s="60" t="n">
        <v>62901000</v>
      </c>
      <c r="G11" s="60" t="inlineStr">
        <is>
          <t>지급수수료-컨설팅</t>
        </is>
      </c>
      <c r="H11" s="61" t="n">
        <v>13273030</v>
      </c>
      <c r="J11" s="63">
        <f>IF($A11="","",IFERROR(INDEX(부서매핑!$C$5:$C$504,MATCH($D11&amp;"",부서매핑!$A$5:$A$504,0)),"미매핑"))</f>
        <v/>
      </c>
      <c r="K11" s="63">
        <f>IF($A11="","",IFERROR(INDEX(계정매핑!$C$5:$C$504,MATCH($F11&amp;"",계정매핑!$A$5:$A$504,0)),"미매핑"))</f>
        <v/>
      </c>
      <c r="L11" s="4">
        <f>IF($A11="","",VALUE($A11&amp;""))</f>
        <v/>
      </c>
      <c r="M11" s="4">
        <f>IF($A11="","",VALUE($B11&amp;""))</f>
        <v/>
      </c>
      <c r="N11" s="64">
        <f>IF($A11="","",$H11*설정!$C$15)</f>
        <v/>
      </c>
      <c r="O11" s="4">
        <f>IF($A11="","",J11&amp;"|"&amp;K11)</f>
        <v/>
      </c>
      <c r="P11" s="63">
        <f>IF($A11="","",IF(COUNTIFS(예산_원본!$T$5:$T$3004,O11,예산_원본!$B$5:$B$3004,설정!$C$8,예산_원본!$U$5:$U$3004,L11)&gt;0,"Y","N"))</f>
        <v/>
      </c>
      <c r="Q11" s="63">
        <f>IF($A11="","",IF(COUNTIF(집계!$E$7:$E$506,O11)&gt;0,"Y","N"))</f>
        <v/>
      </c>
    </row>
    <row r="12">
      <c r="A12" s="60" t="n">
        <v>2025</v>
      </c>
      <c r="B12" s="60" t="n">
        <v>1</v>
      </c>
      <c r="C12" s="60" t="inlineStr">
        <is>
          <t>1000</t>
        </is>
      </c>
      <c r="D12" s="60" t="n">
        <v>1101</v>
      </c>
      <c r="E12" s="60" t="inlineStr">
        <is>
          <t>경영기획</t>
        </is>
      </c>
      <c r="F12" s="60" t="n">
        <v>62902000</v>
      </c>
      <c r="G12" s="60" t="inlineStr">
        <is>
          <t>지급수수료-기타</t>
        </is>
      </c>
      <c r="H12" s="61" t="n">
        <v>5810770</v>
      </c>
      <c r="J12" s="63">
        <f>IF($A12="","",IFERROR(INDEX(부서매핑!$C$5:$C$504,MATCH($D12&amp;"",부서매핑!$A$5:$A$504,0)),"미매핑"))</f>
        <v/>
      </c>
      <c r="K12" s="63">
        <f>IF($A12="","",IFERROR(INDEX(계정매핑!$C$5:$C$504,MATCH($F12&amp;"",계정매핑!$A$5:$A$504,0)),"미매핑"))</f>
        <v/>
      </c>
      <c r="L12" s="4">
        <f>IF($A12="","",VALUE($A12&amp;""))</f>
        <v/>
      </c>
      <c r="M12" s="4">
        <f>IF($A12="","",VALUE($B12&amp;""))</f>
        <v/>
      </c>
      <c r="N12" s="64">
        <f>IF($A12="","",$H12*설정!$C$15)</f>
        <v/>
      </c>
      <c r="O12" s="4">
        <f>IF($A12="","",J12&amp;"|"&amp;K12)</f>
        <v/>
      </c>
      <c r="P12" s="63">
        <f>IF($A12="","",IF(COUNTIFS(예산_원본!$T$5:$T$3004,O12,예산_원본!$B$5:$B$3004,설정!$C$8,예산_원본!$U$5:$U$3004,L12)&gt;0,"Y","N"))</f>
        <v/>
      </c>
      <c r="Q12" s="63">
        <f>IF($A12="","",IF(COUNTIF(집계!$E$7:$E$506,O12)&gt;0,"Y","N"))</f>
        <v/>
      </c>
    </row>
    <row r="13">
      <c r="A13" s="60" t="n">
        <v>2025</v>
      </c>
      <c r="B13" s="60" t="n">
        <v>1</v>
      </c>
      <c r="C13" s="60" t="inlineStr">
        <is>
          <t>1000</t>
        </is>
      </c>
      <c r="D13" s="60" t="n">
        <v>1201</v>
      </c>
      <c r="E13" s="60" t="inlineStr">
        <is>
          <t>재무회계</t>
        </is>
      </c>
      <c r="F13" s="60" t="n">
        <v>62101000</v>
      </c>
      <c r="G13" s="60" t="inlineStr">
        <is>
          <t>여비교통비-국내</t>
        </is>
      </c>
      <c r="H13" s="61" t="n">
        <v>1224150</v>
      </c>
      <c r="J13" s="63">
        <f>IF($A13="","",IFERROR(INDEX(부서매핑!$C$5:$C$504,MATCH($D13&amp;"",부서매핑!$A$5:$A$504,0)),"미매핑"))</f>
        <v/>
      </c>
      <c r="K13" s="63">
        <f>IF($A13="","",IFERROR(INDEX(계정매핑!$C$5:$C$504,MATCH($F13&amp;"",계정매핑!$A$5:$A$504,0)),"미매핑"))</f>
        <v/>
      </c>
      <c r="L13" s="4">
        <f>IF($A13="","",VALUE($A13&amp;""))</f>
        <v/>
      </c>
      <c r="M13" s="4">
        <f>IF($A13="","",VALUE($B13&amp;""))</f>
        <v/>
      </c>
      <c r="N13" s="64">
        <f>IF($A13="","",$H13*설정!$C$15)</f>
        <v/>
      </c>
      <c r="O13" s="4">
        <f>IF($A13="","",J13&amp;"|"&amp;K13)</f>
        <v/>
      </c>
      <c r="P13" s="63">
        <f>IF($A13="","",IF(COUNTIFS(예산_원본!$T$5:$T$3004,O13,예산_원본!$B$5:$B$3004,설정!$C$8,예산_원본!$U$5:$U$3004,L13)&gt;0,"Y","N"))</f>
        <v/>
      </c>
      <c r="Q13" s="63">
        <f>IF($A13="","",IF(COUNTIF(집계!$E$7:$E$506,O13)&gt;0,"Y","N"))</f>
        <v/>
      </c>
    </row>
    <row r="14">
      <c r="A14" s="60" t="n">
        <v>2025</v>
      </c>
      <c r="B14" s="60" t="n">
        <v>1</v>
      </c>
      <c r="C14" s="60" t="inlineStr">
        <is>
          <t>1000</t>
        </is>
      </c>
      <c r="D14" s="60" t="n">
        <v>1201</v>
      </c>
      <c r="E14" s="60" t="inlineStr">
        <is>
          <t>재무회계</t>
        </is>
      </c>
      <c r="F14" s="60" t="n">
        <v>62102000</v>
      </c>
      <c r="G14" s="60" t="inlineStr">
        <is>
          <t>여비교통비-해외</t>
        </is>
      </c>
      <c r="H14" s="61" t="n">
        <v>237800</v>
      </c>
      <c r="J14" s="63">
        <f>IF($A14="","",IFERROR(INDEX(부서매핑!$C$5:$C$504,MATCH($D14&amp;"",부서매핑!$A$5:$A$504,0)),"미매핑"))</f>
        <v/>
      </c>
      <c r="K14" s="63">
        <f>IF($A14="","",IFERROR(INDEX(계정매핑!$C$5:$C$504,MATCH($F14&amp;"",계정매핑!$A$5:$A$504,0)),"미매핑"))</f>
        <v/>
      </c>
      <c r="L14" s="4">
        <f>IF($A14="","",VALUE($A14&amp;""))</f>
        <v/>
      </c>
      <c r="M14" s="4">
        <f>IF($A14="","",VALUE($B14&amp;""))</f>
        <v/>
      </c>
      <c r="N14" s="64">
        <f>IF($A14="","",$H14*설정!$C$15)</f>
        <v/>
      </c>
      <c r="O14" s="4">
        <f>IF($A14="","",J14&amp;"|"&amp;K14)</f>
        <v/>
      </c>
      <c r="P14" s="63">
        <f>IF($A14="","",IF(COUNTIFS(예산_원본!$T$5:$T$3004,O14,예산_원본!$B$5:$B$3004,설정!$C$8,예산_원본!$U$5:$U$3004,L14)&gt;0,"Y","N"))</f>
        <v/>
      </c>
      <c r="Q14" s="63">
        <f>IF($A14="","",IF(COUNTIF(집계!$E$7:$E$506,O14)&gt;0,"Y","N"))</f>
        <v/>
      </c>
    </row>
    <row r="15">
      <c r="A15" s="60" t="n">
        <v>2025</v>
      </c>
      <c r="B15" s="60" t="n">
        <v>1</v>
      </c>
      <c r="C15" s="60" t="inlineStr">
        <is>
          <t>1000</t>
        </is>
      </c>
      <c r="D15" s="60" t="n">
        <v>1201</v>
      </c>
      <c r="E15" s="60" t="inlineStr">
        <is>
          <t>재무회계</t>
        </is>
      </c>
      <c r="F15" s="60" t="n">
        <v>62201000</v>
      </c>
      <c r="G15" s="60" t="inlineStr">
        <is>
          <t>통신비</t>
        </is>
      </c>
      <c r="H15" s="61" t="n">
        <v>486040</v>
      </c>
      <c r="J15" s="63">
        <f>IF($A15="","",IFERROR(INDEX(부서매핑!$C$5:$C$504,MATCH($D15&amp;"",부서매핑!$A$5:$A$504,0)),"미매핑"))</f>
        <v/>
      </c>
      <c r="K15" s="63">
        <f>IF($A15="","",IFERROR(INDEX(계정매핑!$C$5:$C$504,MATCH($F15&amp;"",계정매핑!$A$5:$A$504,0)),"미매핑"))</f>
        <v/>
      </c>
      <c r="L15" s="4">
        <f>IF($A15="","",VALUE($A15&amp;""))</f>
        <v/>
      </c>
      <c r="M15" s="4">
        <f>IF($A15="","",VALUE($B15&amp;""))</f>
        <v/>
      </c>
      <c r="N15" s="64">
        <f>IF($A15="","",$H15*설정!$C$15)</f>
        <v/>
      </c>
      <c r="O15" s="4">
        <f>IF($A15="","",J15&amp;"|"&amp;K15)</f>
        <v/>
      </c>
      <c r="P15" s="63">
        <f>IF($A15="","",IF(COUNTIFS(예산_원본!$T$5:$T$3004,O15,예산_원본!$B$5:$B$3004,설정!$C$8,예산_원본!$U$5:$U$3004,L15)&gt;0,"Y","N"))</f>
        <v/>
      </c>
      <c r="Q15" s="63">
        <f>IF($A15="","",IF(COUNTIF(집계!$E$7:$E$506,O15)&gt;0,"Y","N"))</f>
        <v/>
      </c>
    </row>
    <row r="16">
      <c r="A16" s="60" t="n">
        <v>2025</v>
      </c>
      <c r="B16" s="60" t="n">
        <v>1</v>
      </c>
      <c r="C16" s="60" t="inlineStr">
        <is>
          <t>1000</t>
        </is>
      </c>
      <c r="D16" s="60" t="n">
        <v>1201</v>
      </c>
      <c r="E16" s="60" t="inlineStr">
        <is>
          <t>재무회계</t>
        </is>
      </c>
      <c r="F16" s="60" t="n">
        <v>62301000</v>
      </c>
      <c r="G16" s="60" t="inlineStr">
        <is>
          <t>소모품비</t>
        </is>
      </c>
      <c r="H16" s="61" t="n">
        <v>575000</v>
      </c>
      <c r="J16" s="63">
        <f>IF($A16="","",IFERROR(INDEX(부서매핑!$C$5:$C$504,MATCH($D16&amp;"",부서매핑!$A$5:$A$504,0)),"미매핑"))</f>
        <v/>
      </c>
      <c r="K16" s="63">
        <f>IF($A16="","",IFERROR(INDEX(계정매핑!$C$5:$C$504,MATCH($F16&amp;"",계정매핑!$A$5:$A$504,0)),"미매핑"))</f>
        <v/>
      </c>
      <c r="L16" s="4">
        <f>IF($A16="","",VALUE($A16&amp;""))</f>
        <v/>
      </c>
      <c r="M16" s="4">
        <f>IF($A16="","",VALUE($B16&amp;""))</f>
        <v/>
      </c>
      <c r="N16" s="64">
        <f>IF($A16="","",$H16*설정!$C$15)</f>
        <v/>
      </c>
      <c r="O16" s="4">
        <f>IF($A16="","",J16&amp;"|"&amp;K16)</f>
        <v/>
      </c>
      <c r="P16" s="63">
        <f>IF($A16="","",IF(COUNTIFS(예산_원본!$T$5:$T$3004,O16,예산_원본!$B$5:$B$3004,설정!$C$8,예산_원본!$U$5:$U$3004,L16)&gt;0,"Y","N"))</f>
        <v/>
      </c>
      <c r="Q16" s="63">
        <f>IF($A16="","",IF(COUNTIF(집계!$E$7:$E$506,O16)&gt;0,"Y","N"))</f>
        <v/>
      </c>
    </row>
    <row r="17">
      <c r="A17" s="60" t="n">
        <v>2025</v>
      </c>
      <c r="B17" s="60" t="n">
        <v>1</v>
      </c>
      <c r="C17" s="60" t="inlineStr">
        <is>
          <t>1000</t>
        </is>
      </c>
      <c r="D17" s="60" t="n">
        <v>1201</v>
      </c>
      <c r="E17" s="60" t="inlineStr">
        <is>
          <t>재무회계</t>
        </is>
      </c>
      <c r="F17" s="60" t="n">
        <v>62501000</v>
      </c>
      <c r="G17" s="60" t="inlineStr">
        <is>
          <t>회의비</t>
        </is>
      </c>
      <c r="H17" s="61" t="n">
        <v>543220</v>
      </c>
      <c r="J17" s="63">
        <f>IF($A17="","",IFERROR(INDEX(부서매핑!$C$5:$C$504,MATCH($D17&amp;"",부서매핑!$A$5:$A$504,0)),"미매핑"))</f>
        <v/>
      </c>
      <c r="K17" s="63">
        <f>IF($A17="","",IFERROR(INDEX(계정매핑!$C$5:$C$504,MATCH($F17&amp;"",계정매핑!$A$5:$A$504,0)),"미매핑"))</f>
        <v/>
      </c>
      <c r="L17" s="4">
        <f>IF($A17="","",VALUE($A17&amp;""))</f>
        <v/>
      </c>
      <c r="M17" s="4">
        <f>IF($A17="","",VALUE($B17&amp;""))</f>
        <v/>
      </c>
      <c r="N17" s="64">
        <f>IF($A17="","",$H17*설정!$C$15)</f>
        <v/>
      </c>
      <c r="O17" s="4">
        <f>IF($A17="","",J17&amp;"|"&amp;K17)</f>
        <v/>
      </c>
      <c r="P17" s="63">
        <f>IF($A17="","",IF(COUNTIFS(예산_원본!$T$5:$T$3004,O17,예산_원본!$B$5:$B$3004,설정!$C$8,예산_원본!$U$5:$U$3004,L17)&gt;0,"Y","N"))</f>
        <v/>
      </c>
      <c r="Q17" s="63">
        <f>IF($A17="","",IF(COUNTIF(집계!$E$7:$E$506,O17)&gt;0,"Y","N"))</f>
        <v/>
      </c>
    </row>
    <row r="18">
      <c r="A18" s="60" t="n">
        <v>2025</v>
      </c>
      <c r="B18" s="60" t="n">
        <v>1</v>
      </c>
      <c r="C18" s="60" t="inlineStr">
        <is>
          <t>1000</t>
        </is>
      </c>
      <c r="D18" s="60" t="n">
        <v>1201</v>
      </c>
      <c r="E18" s="60" t="inlineStr">
        <is>
          <t>재무회계</t>
        </is>
      </c>
      <c r="F18" s="60" t="n">
        <v>62901000</v>
      </c>
      <c r="G18" s="60" t="inlineStr">
        <is>
          <t>지급수수료-컨설팅</t>
        </is>
      </c>
      <c r="H18" s="61" t="n">
        <v>20261700</v>
      </c>
      <c r="J18" s="63">
        <f>IF($A18="","",IFERROR(INDEX(부서매핑!$C$5:$C$504,MATCH($D18&amp;"",부서매핑!$A$5:$A$504,0)),"미매핑"))</f>
        <v/>
      </c>
      <c r="K18" s="63">
        <f>IF($A18="","",IFERROR(INDEX(계정매핑!$C$5:$C$504,MATCH($F18&amp;"",계정매핑!$A$5:$A$504,0)),"미매핑"))</f>
        <v/>
      </c>
      <c r="L18" s="4">
        <f>IF($A18="","",VALUE($A18&amp;""))</f>
        <v/>
      </c>
      <c r="M18" s="4">
        <f>IF($A18="","",VALUE($B18&amp;""))</f>
        <v/>
      </c>
      <c r="N18" s="64">
        <f>IF($A18="","",$H18*설정!$C$15)</f>
        <v/>
      </c>
      <c r="O18" s="4">
        <f>IF($A18="","",J18&amp;"|"&amp;K18)</f>
        <v/>
      </c>
      <c r="P18" s="63">
        <f>IF($A18="","",IF(COUNTIFS(예산_원본!$T$5:$T$3004,O18,예산_원본!$B$5:$B$3004,설정!$C$8,예산_원본!$U$5:$U$3004,L18)&gt;0,"Y","N"))</f>
        <v/>
      </c>
      <c r="Q18" s="63">
        <f>IF($A18="","",IF(COUNTIF(집계!$E$7:$E$506,O18)&gt;0,"Y","N"))</f>
        <v/>
      </c>
    </row>
    <row r="19">
      <c r="A19" s="60" t="n">
        <v>2025</v>
      </c>
      <c r="B19" s="60" t="n">
        <v>1</v>
      </c>
      <c r="C19" s="60" t="inlineStr">
        <is>
          <t>1000</t>
        </is>
      </c>
      <c r="D19" s="60" t="n">
        <v>1201</v>
      </c>
      <c r="E19" s="60" t="inlineStr">
        <is>
          <t>재무회계</t>
        </is>
      </c>
      <c r="F19" s="60" t="n">
        <v>62902000</v>
      </c>
      <c r="G19" s="60" t="inlineStr">
        <is>
          <t>지급수수료-기타</t>
        </is>
      </c>
      <c r="H19" s="61" t="n">
        <v>8717470</v>
      </c>
      <c r="J19" s="63">
        <f>IF($A19="","",IFERROR(INDEX(부서매핑!$C$5:$C$504,MATCH($D19&amp;"",부서매핑!$A$5:$A$504,0)),"미매핑"))</f>
        <v/>
      </c>
      <c r="K19" s="63">
        <f>IF($A19="","",IFERROR(INDEX(계정매핑!$C$5:$C$504,MATCH($F19&amp;"",계정매핑!$A$5:$A$504,0)),"미매핑"))</f>
        <v/>
      </c>
      <c r="L19" s="4">
        <f>IF($A19="","",VALUE($A19&amp;""))</f>
        <v/>
      </c>
      <c r="M19" s="4">
        <f>IF($A19="","",VALUE($B19&amp;""))</f>
        <v/>
      </c>
      <c r="N19" s="64">
        <f>IF($A19="","",$H19*설정!$C$15)</f>
        <v/>
      </c>
      <c r="O19" s="4">
        <f>IF($A19="","",J19&amp;"|"&amp;K19)</f>
        <v/>
      </c>
      <c r="P19" s="63">
        <f>IF($A19="","",IF(COUNTIFS(예산_원본!$T$5:$T$3004,O19,예산_원본!$B$5:$B$3004,설정!$C$8,예산_원본!$U$5:$U$3004,L19)&gt;0,"Y","N"))</f>
        <v/>
      </c>
      <c r="Q19" s="63">
        <f>IF($A19="","",IF(COUNTIF(집계!$E$7:$E$506,O19)&gt;0,"Y","N"))</f>
        <v/>
      </c>
    </row>
    <row r="20">
      <c r="A20" s="60" t="n">
        <v>2025</v>
      </c>
      <c r="B20" s="60" t="n">
        <v>1</v>
      </c>
      <c r="C20" s="60" t="inlineStr">
        <is>
          <t>1000</t>
        </is>
      </c>
      <c r="D20" s="60" t="n">
        <v>1301</v>
      </c>
      <c r="E20" s="60" t="inlineStr">
        <is>
          <t>인사</t>
        </is>
      </c>
      <c r="F20" s="60" t="n">
        <v>62101000</v>
      </c>
      <c r="G20" s="60" t="inlineStr">
        <is>
          <t>여비교통비-국내</t>
        </is>
      </c>
      <c r="H20" s="61" t="n">
        <v>1423590</v>
      </c>
      <c r="J20" s="63">
        <f>IF($A20="","",IFERROR(INDEX(부서매핑!$C$5:$C$504,MATCH($D20&amp;"",부서매핑!$A$5:$A$504,0)),"미매핑"))</f>
        <v/>
      </c>
      <c r="K20" s="63">
        <f>IF($A20="","",IFERROR(INDEX(계정매핑!$C$5:$C$504,MATCH($F20&amp;"",계정매핑!$A$5:$A$504,0)),"미매핑"))</f>
        <v/>
      </c>
      <c r="L20" s="4">
        <f>IF($A20="","",VALUE($A20&amp;""))</f>
        <v/>
      </c>
      <c r="M20" s="4">
        <f>IF($A20="","",VALUE($B20&amp;""))</f>
        <v/>
      </c>
      <c r="N20" s="64">
        <f>IF($A20="","",$H20*설정!$C$15)</f>
        <v/>
      </c>
      <c r="O20" s="4">
        <f>IF($A20="","",J20&amp;"|"&amp;K20)</f>
        <v/>
      </c>
      <c r="P20" s="63">
        <f>IF($A20="","",IF(COUNTIFS(예산_원본!$T$5:$T$3004,O20,예산_원본!$B$5:$B$3004,설정!$C$8,예산_원본!$U$5:$U$3004,L20)&gt;0,"Y","N"))</f>
        <v/>
      </c>
      <c r="Q20" s="63">
        <f>IF($A20="","",IF(COUNTIF(집계!$E$7:$E$506,O20)&gt;0,"Y","N"))</f>
        <v/>
      </c>
    </row>
    <row r="21">
      <c r="A21" s="60" t="n">
        <v>2025</v>
      </c>
      <c r="B21" s="60" t="n">
        <v>1</v>
      </c>
      <c r="C21" s="60" t="inlineStr">
        <is>
          <t>1000</t>
        </is>
      </c>
      <c r="D21" s="60" t="n">
        <v>1301</v>
      </c>
      <c r="E21" s="60" t="inlineStr">
        <is>
          <t>인사</t>
        </is>
      </c>
      <c r="F21" s="60" t="n">
        <v>62102000</v>
      </c>
      <c r="G21" s="60" t="inlineStr">
        <is>
          <t>여비교통비-해외</t>
        </is>
      </c>
      <c r="H21" s="61" t="n">
        <v>261050</v>
      </c>
      <c r="J21" s="63">
        <f>IF($A21="","",IFERROR(INDEX(부서매핑!$C$5:$C$504,MATCH($D21&amp;"",부서매핑!$A$5:$A$504,0)),"미매핑"))</f>
        <v/>
      </c>
      <c r="K21" s="63">
        <f>IF($A21="","",IFERROR(INDEX(계정매핑!$C$5:$C$504,MATCH($F21&amp;"",계정매핑!$A$5:$A$504,0)),"미매핑"))</f>
        <v/>
      </c>
      <c r="L21" s="4">
        <f>IF($A21="","",VALUE($A21&amp;""))</f>
        <v/>
      </c>
      <c r="M21" s="4">
        <f>IF($A21="","",VALUE($B21&amp;""))</f>
        <v/>
      </c>
      <c r="N21" s="64">
        <f>IF($A21="","",$H21*설정!$C$15)</f>
        <v/>
      </c>
      <c r="O21" s="4">
        <f>IF($A21="","",J21&amp;"|"&amp;K21)</f>
        <v/>
      </c>
      <c r="P21" s="63">
        <f>IF($A21="","",IF(COUNTIFS(예산_원본!$T$5:$T$3004,O21,예산_원본!$B$5:$B$3004,설정!$C$8,예산_원본!$U$5:$U$3004,L21)&gt;0,"Y","N"))</f>
        <v/>
      </c>
      <c r="Q21" s="63">
        <f>IF($A21="","",IF(COUNTIF(집계!$E$7:$E$506,O21)&gt;0,"Y","N"))</f>
        <v/>
      </c>
    </row>
    <row r="22">
      <c r="A22" s="60" t="n">
        <v>2025</v>
      </c>
      <c r="B22" s="60" t="n">
        <v>1</v>
      </c>
      <c r="C22" s="60" t="inlineStr">
        <is>
          <t>1000</t>
        </is>
      </c>
      <c r="D22" s="60" t="n">
        <v>1301</v>
      </c>
      <c r="E22" s="60" t="inlineStr">
        <is>
          <t>인사</t>
        </is>
      </c>
      <c r="F22" s="60" t="n">
        <v>62201000</v>
      </c>
      <c r="G22" s="60" t="inlineStr">
        <is>
          <t>통신비</t>
        </is>
      </c>
      <c r="H22" s="61" t="n">
        <v>683520</v>
      </c>
      <c r="J22" s="63">
        <f>IF($A22="","",IFERROR(INDEX(부서매핑!$C$5:$C$504,MATCH($D22&amp;"",부서매핑!$A$5:$A$504,0)),"미매핑"))</f>
        <v/>
      </c>
      <c r="K22" s="63">
        <f>IF($A22="","",IFERROR(INDEX(계정매핑!$C$5:$C$504,MATCH($F22&amp;"",계정매핑!$A$5:$A$504,0)),"미매핑"))</f>
        <v/>
      </c>
      <c r="L22" s="4">
        <f>IF($A22="","",VALUE($A22&amp;""))</f>
        <v/>
      </c>
      <c r="M22" s="4">
        <f>IF($A22="","",VALUE($B22&amp;""))</f>
        <v/>
      </c>
      <c r="N22" s="64">
        <f>IF($A22="","",$H22*설정!$C$15)</f>
        <v/>
      </c>
      <c r="O22" s="4">
        <f>IF($A22="","",J22&amp;"|"&amp;K22)</f>
        <v/>
      </c>
      <c r="P22" s="63">
        <f>IF($A22="","",IF(COUNTIFS(예산_원본!$T$5:$T$3004,O22,예산_원본!$B$5:$B$3004,설정!$C$8,예산_원본!$U$5:$U$3004,L22)&gt;0,"Y","N"))</f>
        <v/>
      </c>
      <c r="Q22" s="63">
        <f>IF($A22="","",IF(COUNTIF(집계!$E$7:$E$506,O22)&gt;0,"Y","N"))</f>
        <v/>
      </c>
    </row>
    <row r="23">
      <c r="A23" s="60" t="n">
        <v>2025</v>
      </c>
      <c r="B23" s="60" t="n">
        <v>1</v>
      </c>
      <c r="C23" s="60" t="inlineStr">
        <is>
          <t>1000</t>
        </is>
      </c>
      <c r="D23" s="60" t="n">
        <v>1301</v>
      </c>
      <c r="E23" s="60" t="inlineStr">
        <is>
          <t>인사</t>
        </is>
      </c>
      <c r="F23" s="60" t="n">
        <v>62301000</v>
      </c>
      <c r="G23" s="60" t="inlineStr">
        <is>
          <t>소모품비</t>
        </is>
      </c>
      <c r="H23" s="61" t="n">
        <v>616200</v>
      </c>
      <c r="J23" s="63">
        <f>IF($A23="","",IFERROR(INDEX(부서매핑!$C$5:$C$504,MATCH($D23&amp;"",부서매핑!$A$5:$A$504,0)),"미매핑"))</f>
        <v/>
      </c>
      <c r="K23" s="63">
        <f>IF($A23="","",IFERROR(INDEX(계정매핑!$C$5:$C$504,MATCH($F23&amp;"",계정매핑!$A$5:$A$504,0)),"미매핑"))</f>
        <v/>
      </c>
      <c r="L23" s="4">
        <f>IF($A23="","",VALUE($A23&amp;""))</f>
        <v/>
      </c>
      <c r="M23" s="4">
        <f>IF($A23="","",VALUE($B23&amp;""))</f>
        <v/>
      </c>
      <c r="N23" s="64">
        <f>IF($A23="","",$H23*설정!$C$15)</f>
        <v/>
      </c>
      <c r="O23" s="4">
        <f>IF($A23="","",J23&amp;"|"&amp;K23)</f>
        <v/>
      </c>
      <c r="P23" s="63">
        <f>IF($A23="","",IF(COUNTIFS(예산_원본!$T$5:$T$3004,O23,예산_원본!$B$5:$B$3004,설정!$C$8,예산_원본!$U$5:$U$3004,L23)&gt;0,"Y","N"))</f>
        <v/>
      </c>
      <c r="Q23" s="63">
        <f>IF($A23="","",IF(COUNTIF(집계!$E$7:$E$506,O23)&gt;0,"Y","N"))</f>
        <v/>
      </c>
    </row>
    <row r="24">
      <c r="A24" s="60" t="n">
        <v>2025</v>
      </c>
      <c r="B24" s="60" t="n">
        <v>1</v>
      </c>
      <c r="C24" s="60" t="inlineStr">
        <is>
          <t>1000</t>
        </is>
      </c>
      <c r="D24" s="60" t="n">
        <v>1301</v>
      </c>
      <c r="E24" s="60" t="inlineStr">
        <is>
          <t>인사</t>
        </is>
      </c>
      <c r="F24" s="60" t="n">
        <v>62501000</v>
      </c>
      <c r="G24" s="60" t="inlineStr">
        <is>
          <t>회의비</t>
        </is>
      </c>
      <c r="H24" s="61" t="n">
        <v>636500</v>
      </c>
      <c r="J24" s="63">
        <f>IF($A24="","",IFERROR(INDEX(부서매핑!$C$5:$C$504,MATCH($D24&amp;"",부서매핑!$A$5:$A$504,0)),"미매핑"))</f>
        <v/>
      </c>
      <c r="K24" s="63">
        <f>IF($A24="","",IFERROR(INDEX(계정매핑!$C$5:$C$504,MATCH($F24&amp;"",계정매핑!$A$5:$A$504,0)),"미매핑"))</f>
        <v/>
      </c>
      <c r="L24" s="4">
        <f>IF($A24="","",VALUE($A24&amp;""))</f>
        <v/>
      </c>
      <c r="M24" s="4">
        <f>IF($A24="","",VALUE($B24&amp;""))</f>
        <v/>
      </c>
      <c r="N24" s="64">
        <f>IF($A24="","",$H24*설정!$C$15)</f>
        <v/>
      </c>
      <c r="O24" s="4">
        <f>IF($A24="","",J24&amp;"|"&amp;K24)</f>
        <v/>
      </c>
      <c r="P24" s="63">
        <f>IF($A24="","",IF(COUNTIFS(예산_원본!$T$5:$T$3004,O24,예산_원본!$B$5:$B$3004,설정!$C$8,예산_원본!$U$5:$U$3004,L24)&gt;0,"Y","N"))</f>
        <v/>
      </c>
      <c r="Q24" s="63">
        <f>IF($A24="","",IF(COUNTIF(집계!$E$7:$E$506,O24)&gt;0,"Y","N"))</f>
        <v/>
      </c>
    </row>
    <row r="25">
      <c r="A25" s="60" t="n">
        <v>2025</v>
      </c>
      <c r="B25" s="60" t="n">
        <v>1</v>
      </c>
      <c r="C25" s="60" t="inlineStr">
        <is>
          <t>1000</t>
        </is>
      </c>
      <c r="D25" s="60" t="n">
        <v>1301</v>
      </c>
      <c r="E25" s="60" t="inlineStr">
        <is>
          <t>인사</t>
        </is>
      </c>
      <c r="F25" s="60" t="n">
        <v>62601000</v>
      </c>
      <c r="G25" s="60" t="inlineStr">
        <is>
          <t>업무추진비</t>
        </is>
      </c>
      <c r="H25" s="61" t="n">
        <v>1509230</v>
      </c>
      <c r="J25" s="63">
        <f>IF($A25="","",IFERROR(INDEX(부서매핑!$C$5:$C$504,MATCH($D25&amp;"",부서매핑!$A$5:$A$504,0)),"미매핑"))</f>
        <v/>
      </c>
      <c r="K25" s="63">
        <f>IF($A25="","",IFERROR(INDEX(계정매핑!$C$5:$C$504,MATCH($F25&amp;"",계정매핑!$A$5:$A$504,0)),"미매핑"))</f>
        <v/>
      </c>
      <c r="L25" s="4">
        <f>IF($A25="","",VALUE($A25&amp;""))</f>
        <v/>
      </c>
      <c r="M25" s="4">
        <f>IF($A25="","",VALUE($B25&amp;""))</f>
        <v/>
      </c>
      <c r="N25" s="64">
        <f>IF($A25="","",$H25*설정!$C$15)</f>
        <v/>
      </c>
      <c r="O25" s="4">
        <f>IF($A25="","",J25&amp;"|"&amp;K25)</f>
        <v/>
      </c>
      <c r="P25" s="63">
        <f>IF($A25="","",IF(COUNTIFS(예산_원본!$T$5:$T$3004,O25,예산_원본!$B$5:$B$3004,설정!$C$8,예산_원본!$U$5:$U$3004,L25)&gt;0,"Y","N"))</f>
        <v/>
      </c>
      <c r="Q25" s="63">
        <f>IF($A25="","",IF(COUNTIF(집계!$E$7:$E$506,O25)&gt;0,"Y","N"))</f>
        <v/>
      </c>
    </row>
    <row r="26">
      <c r="A26" s="60" t="n">
        <v>2025</v>
      </c>
      <c r="B26" s="60" t="n">
        <v>1</v>
      </c>
      <c r="C26" s="60" t="inlineStr">
        <is>
          <t>1000</t>
        </is>
      </c>
      <c r="D26" s="60" t="n">
        <v>1301</v>
      </c>
      <c r="E26" s="60" t="inlineStr">
        <is>
          <t>인사</t>
        </is>
      </c>
      <c r="F26" s="60" t="n">
        <v>62801000</v>
      </c>
      <c r="G26" s="60" t="inlineStr">
        <is>
          <t>교육훈련비-사내</t>
        </is>
      </c>
      <c r="H26" s="61" t="n">
        <v>5594850</v>
      </c>
      <c r="J26" s="63">
        <f>IF($A26="","",IFERROR(INDEX(부서매핑!$C$5:$C$504,MATCH($D26&amp;"",부서매핑!$A$5:$A$504,0)),"미매핑"))</f>
        <v/>
      </c>
      <c r="K26" s="63">
        <f>IF($A26="","",IFERROR(INDEX(계정매핑!$C$5:$C$504,MATCH($F26&amp;"",계정매핑!$A$5:$A$504,0)),"미매핑"))</f>
        <v/>
      </c>
      <c r="L26" s="4">
        <f>IF($A26="","",VALUE($A26&amp;""))</f>
        <v/>
      </c>
      <c r="M26" s="4">
        <f>IF($A26="","",VALUE($B26&amp;""))</f>
        <v/>
      </c>
      <c r="N26" s="64">
        <f>IF($A26="","",$H26*설정!$C$15)</f>
        <v/>
      </c>
      <c r="O26" s="4">
        <f>IF($A26="","",J26&amp;"|"&amp;K26)</f>
        <v/>
      </c>
      <c r="P26" s="63">
        <f>IF($A26="","",IF(COUNTIFS(예산_원본!$T$5:$T$3004,O26,예산_원본!$B$5:$B$3004,설정!$C$8,예산_원본!$U$5:$U$3004,L26)&gt;0,"Y","N"))</f>
        <v/>
      </c>
      <c r="Q26" s="63">
        <f>IF($A26="","",IF(COUNTIF(집계!$E$7:$E$506,O26)&gt;0,"Y","N"))</f>
        <v/>
      </c>
    </row>
    <row r="27">
      <c r="A27" s="60" t="n">
        <v>2025</v>
      </c>
      <c r="B27" s="60" t="n">
        <v>1</v>
      </c>
      <c r="C27" s="60" t="inlineStr">
        <is>
          <t>1000</t>
        </is>
      </c>
      <c r="D27" s="60" t="n">
        <v>1301</v>
      </c>
      <c r="E27" s="60" t="inlineStr">
        <is>
          <t>인사</t>
        </is>
      </c>
      <c r="F27" s="60" t="n">
        <v>62802000</v>
      </c>
      <c r="G27" s="60" t="inlineStr">
        <is>
          <t>교육훈련비-외부위탁</t>
        </is>
      </c>
      <c r="H27" s="61" t="n">
        <v>9352460</v>
      </c>
      <c r="J27" s="63">
        <f>IF($A27="","",IFERROR(INDEX(부서매핑!$C$5:$C$504,MATCH($D27&amp;"",부서매핑!$A$5:$A$504,0)),"미매핑"))</f>
        <v/>
      </c>
      <c r="K27" s="63">
        <f>IF($A27="","",IFERROR(INDEX(계정매핑!$C$5:$C$504,MATCH($F27&amp;"",계정매핑!$A$5:$A$504,0)),"미매핑"))</f>
        <v/>
      </c>
      <c r="L27" s="4">
        <f>IF($A27="","",VALUE($A27&amp;""))</f>
        <v/>
      </c>
      <c r="M27" s="4">
        <f>IF($A27="","",VALUE($B27&amp;""))</f>
        <v/>
      </c>
      <c r="N27" s="64">
        <f>IF($A27="","",$H27*설정!$C$15)</f>
        <v/>
      </c>
      <c r="O27" s="4">
        <f>IF($A27="","",J27&amp;"|"&amp;K27)</f>
        <v/>
      </c>
      <c r="P27" s="63">
        <f>IF($A27="","",IF(COUNTIFS(예산_원본!$T$5:$T$3004,O27,예산_원본!$B$5:$B$3004,설정!$C$8,예산_원본!$U$5:$U$3004,L27)&gt;0,"Y","N"))</f>
        <v/>
      </c>
      <c r="Q27" s="63">
        <f>IF($A27="","",IF(COUNTIF(집계!$E$7:$E$506,O27)&gt;0,"Y","N"))</f>
        <v/>
      </c>
    </row>
    <row r="28">
      <c r="A28" s="60" t="n">
        <v>2025</v>
      </c>
      <c r="B28" s="60" t="n">
        <v>1</v>
      </c>
      <c r="C28" s="60" t="inlineStr">
        <is>
          <t>1000</t>
        </is>
      </c>
      <c r="D28" s="60" t="n">
        <v>1401</v>
      </c>
      <c r="E28" s="60" t="inlineStr">
        <is>
          <t>상품개발</t>
        </is>
      </c>
      <c r="F28" s="60" t="n">
        <v>62101000</v>
      </c>
      <c r="G28" s="60" t="inlineStr">
        <is>
          <t>여비교통비-국내</t>
        </is>
      </c>
      <c r="H28" s="61" t="n">
        <v>1768150</v>
      </c>
      <c r="J28" s="63">
        <f>IF($A28="","",IFERROR(INDEX(부서매핑!$C$5:$C$504,MATCH($D28&amp;"",부서매핑!$A$5:$A$504,0)),"미매핑"))</f>
        <v/>
      </c>
      <c r="K28" s="63">
        <f>IF($A28="","",IFERROR(INDEX(계정매핑!$C$5:$C$504,MATCH($F28&amp;"",계정매핑!$A$5:$A$504,0)),"미매핑"))</f>
        <v/>
      </c>
      <c r="L28" s="4">
        <f>IF($A28="","",VALUE($A28&amp;""))</f>
        <v/>
      </c>
      <c r="M28" s="4">
        <f>IF($A28="","",VALUE($B28&amp;""))</f>
        <v/>
      </c>
      <c r="N28" s="64">
        <f>IF($A28="","",$H28*설정!$C$15)</f>
        <v/>
      </c>
      <c r="O28" s="4">
        <f>IF($A28="","",J28&amp;"|"&amp;K28)</f>
        <v/>
      </c>
      <c r="P28" s="63">
        <f>IF($A28="","",IF(COUNTIFS(예산_원본!$T$5:$T$3004,O28,예산_원본!$B$5:$B$3004,설정!$C$8,예산_원본!$U$5:$U$3004,L28)&gt;0,"Y","N"))</f>
        <v/>
      </c>
      <c r="Q28" s="63">
        <f>IF($A28="","",IF(COUNTIF(집계!$E$7:$E$506,O28)&gt;0,"Y","N"))</f>
        <v/>
      </c>
    </row>
    <row r="29">
      <c r="A29" s="60" t="n">
        <v>2025</v>
      </c>
      <c r="B29" s="60" t="n">
        <v>1</v>
      </c>
      <c r="C29" s="60" t="inlineStr">
        <is>
          <t>1000</t>
        </is>
      </c>
      <c r="D29" s="60" t="n">
        <v>1401</v>
      </c>
      <c r="E29" s="60" t="inlineStr">
        <is>
          <t>상품개발</t>
        </is>
      </c>
      <c r="F29" s="60" t="n">
        <v>62102000</v>
      </c>
      <c r="G29" s="60" t="inlineStr">
        <is>
          <t>여비교통비-해외</t>
        </is>
      </c>
      <c r="H29" s="61" t="n">
        <v>315220</v>
      </c>
      <c r="J29" s="63">
        <f>IF($A29="","",IFERROR(INDEX(부서매핑!$C$5:$C$504,MATCH($D29&amp;"",부서매핑!$A$5:$A$504,0)),"미매핑"))</f>
        <v/>
      </c>
      <c r="K29" s="63">
        <f>IF($A29="","",IFERROR(INDEX(계정매핑!$C$5:$C$504,MATCH($F29&amp;"",계정매핑!$A$5:$A$504,0)),"미매핑"))</f>
        <v/>
      </c>
      <c r="L29" s="4">
        <f>IF($A29="","",VALUE($A29&amp;""))</f>
        <v/>
      </c>
      <c r="M29" s="4">
        <f>IF($A29="","",VALUE($B29&amp;""))</f>
        <v/>
      </c>
      <c r="N29" s="64">
        <f>IF($A29="","",$H29*설정!$C$15)</f>
        <v/>
      </c>
      <c r="O29" s="4">
        <f>IF($A29="","",J29&amp;"|"&amp;K29)</f>
        <v/>
      </c>
      <c r="P29" s="63">
        <f>IF($A29="","",IF(COUNTIFS(예산_원본!$T$5:$T$3004,O29,예산_원본!$B$5:$B$3004,설정!$C$8,예산_원본!$U$5:$U$3004,L29)&gt;0,"Y","N"))</f>
        <v/>
      </c>
      <c r="Q29" s="63">
        <f>IF($A29="","",IF(COUNTIF(집계!$E$7:$E$506,O29)&gt;0,"Y","N"))</f>
        <v/>
      </c>
    </row>
    <row r="30">
      <c r="A30" s="60" t="n">
        <v>2025</v>
      </c>
      <c r="B30" s="60" t="n">
        <v>1</v>
      </c>
      <c r="C30" s="60" t="inlineStr">
        <is>
          <t>1000</t>
        </is>
      </c>
      <c r="D30" s="60" t="n">
        <v>1401</v>
      </c>
      <c r="E30" s="60" t="inlineStr">
        <is>
          <t>상품개발</t>
        </is>
      </c>
      <c r="F30" s="60" t="n">
        <v>62201000</v>
      </c>
      <c r="G30" s="60" t="inlineStr">
        <is>
          <t>통신비</t>
        </is>
      </c>
      <c r="H30" s="61" t="n">
        <v>619760</v>
      </c>
      <c r="J30" s="63">
        <f>IF($A30="","",IFERROR(INDEX(부서매핑!$C$5:$C$504,MATCH($D30&amp;"",부서매핑!$A$5:$A$504,0)),"미매핑"))</f>
        <v/>
      </c>
      <c r="K30" s="63">
        <f>IF($A30="","",IFERROR(INDEX(계정매핑!$C$5:$C$504,MATCH($F30&amp;"",계정매핑!$A$5:$A$504,0)),"미매핑"))</f>
        <v/>
      </c>
      <c r="L30" s="4">
        <f>IF($A30="","",VALUE($A30&amp;""))</f>
        <v/>
      </c>
      <c r="M30" s="4">
        <f>IF($A30="","",VALUE($B30&amp;""))</f>
        <v/>
      </c>
      <c r="N30" s="64">
        <f>IF($A30="","",$H30*설정!$C$15)</f>
        <v/>
      </c>
      <c r="O30" s="4">
        <f>IF($A30="","",J30&amp;"|"&amp;K30)</f>
        <v/>
      </c>
      <c r="P30" s="63">
        <f>IF($A30="","",IF(COUNTIFS(예산_원본!$T$5:$T$3004,O30,예산_원본!$B$5:$B$3004,설정!$C$8,예산_원본!$U$5:$U$3004,L30)&gt;0,"Y","N"))</f>
        <v/>
      </c>
      <c r="Q30" s="63">
        <f>IF($A30="","",IF(COUNTIF(집계!$E$7:$E$506,O30)&gt;0,"Y","N"))</f>
        <v/>
      </c>
    </row>
    <row r="31">
      <c r="A31" s="60" t="n">
        <v>2025</v>
      </c>
      <c r="B31" s="60" t="n">
        <v>1</v>
      </c>
      <c r="C31" s="60" t="inlineStr">
        <is>
          <t>1000</t>
        </is>
      </c>
      <c r="D31" s="60" t="n">
        <v>1401</v>
      </c>
      <c r="E31" s="60" t="inlineStr">
        <is>
          <t>상품개발</t>
        </is>
      </c>
      <c r="F31" s="60" t="n">
        <v>62301000</v>
      </c>
      <c r="G31" s="60" t="inlineStr">
        <is>
          <t>소모품비</t>
        </is>
      </c>
      <c r="H31" s="61" t="n">
        <v>300820</v>
      </c>
      <c r="J31" s="63">
        <f>IF($A31="","",IFERROR(INDEX(부서매핑!$C$5:$C$504,MATCH($D31&amp;"",부서매핑!$A$5:$A$504,0)),"미매핑"))</f>
        <v/>
      </c>
      <c r="K31" s="63">
        <f>IF($A31="","",IFERROR(INDEX(계정매핑!$C$5:$C$504,MATCH($F31&amp;"",계정매핑!$A$5:$A$504,0)),"미매핑"))</f>
        <v/>
      </c>
      <c r="L31" s="4">
        <f>IF($A31="","",VALUE($A31&amp;""))</f>
        <v/>
      </c>
      <c r="M31" s="4">
        <f>IF($A31="","",VALUE($B31&amp;""))</f>
        <v/>
      </c>
      <c r="N31" s="64">
        <f>IF($A31="","",$H31*설정!$C$15)</f>
        <v/>
      </c>
      <c r="O31" s="4">
        <f>IF($A31="","",J31&amp;"|"&amp;K31)</f>
        <v/>
      </c>
      <c r="P31" s="63">
        <f>IF($A31="","",IF(COUNTIFS(예산_원본!$T$5:$T$3004,O31,예산_원본!$B$5:$B$3004,설정!$C$8,예산_원본!$U$5:$U$3004,L31)&gt;0,"Y","N"))</f>
        <v/>
      </c>
      <c r="Q31" s="63">
        <f>IF($A31="","",IF(COUNTIF(집계!$E$7:$E$506,O31)&gt;0,"Y","N"))</f>
        <v/>
      </c>
    </row>
    <row r="32">
      <c r="A32" s="60" t="n">
        <v>2025</v>
      </c>
      <c r="B32" s="60" t="n">
        <v>1</v>
      </c>
      <c r="C32" s="60" t="inlineStr">
        <is>
          <t>1000</t>
        </is>
      </c>
      <c r="D32" s="60" t="n">
        <v>1401</v>
      </c>
      <c r="E32" s="60" t="inlineStr">
        <is>
          <t>상품개발</t>
        </is>
      </c>
      <c r="F32" s="60" t="n">
        <v>62401000</v>
      </c>
      <c r="G32" s="60" t="inlineStr">
        <is>
          <t>도서인쇄비</t>
        </is>
      </c>
      <c r="H32" s="61" t="n">
        <v>721500</v>
      </c>
      <c r="J32" s="63">
        <f>IF($A32="","",IFERROR(INDEX(부서매핑!$C$5:$C$504,MATCH($D32&amp;"",부서매핑!$A$5:$A$504,0)),"미매핑"))</f>
        <v/>
      </c>
      <c r="K32" s="63">
        <f>IF($A32="","",IFERROR(INDEX(계정매핑!$C$5:$C$504,MATCH($F32&amp;"",계정매핑!$A$5:$A$504,0)),"미매핑"))</f>
        <v/>
      </c>
      <c r="L32" s="4">
        <f>IF($A32="","",VALUE($A32&amp;""))</f>
        <v/>
      </c>
      <c r="M32" s="4">
        <f>IF($A32="","",VALUE($B32&amp;""))</f>
        <v/>
      </c>
      <c r="N32" s="64">
        <f>IF($A32="","",$H32*설정!$C$15)</f>
        <v/>
      </c>
      <c r="O32" s="4">
        <f>IF($A32="","",J32&amp;"|"&amp;K32)</f>
        <v/>
      </c>
      <c r="P32" s="63">
        <f>IF($A32="","",IF(COUNTIFS(예산_원본!$T$5:$T$3004,O32,예산_원본!$B$5:$B$3004,설정!$C$8,예산_원본!$U$5:$U$3004,L32)&gt;0,"Y","N"))</f>
        <v/>
      </c>
      <c r="Q32" s="63">
        <f>IF($A32="","",IF(COUNTIF(집계!$E$7:$E$506,O32)&gt;0,"Y","N"))</f>
        <v/>
      </c>
    </row>
    <row r="33">
      <c r="A33" s="60" t="n">
        <v>2025</v>
      </c>
      <c r="B33" s="60" t="n">
        <v>1</v>
      </c>
      <c r="C33" s="60" t="inlineStr">
        <is>
          <t>1000</t>
        </is>
      </c>
      <c r="D33" s="60" t="n">
        <v>1401</v>
      </c>
      <c r="E33" s="60" t="inlineStr">
        <is>
          <t>상품개발</t>
        </is>
      </c>
      <c r="F33" s="60" t="n">
        <v>62501000</v>
      </c>
      <c r="G33" s="60" t="inlineStr">
        <is>
          <t>회의비</t>
        </is>
      </c>
      <c r="H33" s="61" t="n">
        <v>493850</v>
      </c>
      <c r="J33" s="63">
        <f>IF($A33="","",IFERROR(INDEX(부서매핑!$C$5:$C$504,MATCH($D33&amp;"",부서매핑!$A$5:$A$504,0)),"미매핑"))</f>
        <v/>
      </c>
      <c r="K33" s="63">
        <f>IF($A33="","",IFERROR(INDEX(계정매핑!$C$5:$C$504,MATCH($F33&amp;"",계정매핑!$A$5:$A$504,0)),"미매핑"))</f>
        <v/>
      </c>
      <c r="L33" s="4">
        <f>IF($A33="","",VALUE($A33&amp;""))</f>
        <v/>
      </c>
      <c r="M33" s="4">
        <f>IF($A33="","",VALUE($B33&amp;""))</f>
        <v/>
      </c>
      <c r="N33" s="64">
        <f>IF($A33="","",$H33*설정!$C$15)</f>
        <v/>
      </c>
      <c r="O33" s="4">
        <f>IF($A33="","",J33&amp;"|"&amp;K33)</f>
        <v/>
      </c>
      <c r="P33" s="63">
        <f>IF($A33="","",IF(COUNTIFS(예산_원본!$T$5:$T$3004,O33,예산_원본!$B$5:$B$3004,설정!$C$8,예산_원본!$U$5:$U$3004,L33)&gt;0,"Y","N"))</f>
        <v/>
      </c>
      <c r="Q33" s="63">
        <f>IF($A33="","",IF(COUNTIF(집계!$E$7:$E$506,O33)&gt;0,"Y","N"))</f>
        <v/>
      </c>
    </row>
    <row r="34">
      <c r="A34" s="60" t="n">
        <v>2025</v>
      </c>
      <c r="B34" s="60" t="n">
        <v>1</v>
      </c>
      <c r="C34" s="60" t="inlineStr">
        <is>
          <t>1000</t>
        </is>
      </c>
      <c r="D34" s="60" t="n">
        <v>1401</v>
      </c>
      <c r="E34" s="60" t="inlineStr">
        <is>
          <t>상품개발</t>
        </is>
      </c>
      <c r="F34" s="60" t="n">
        <v>62901000</v>
      </c>
      <c r="G34" s="60" t="inlineStr">
        <is>
          <t>지급수수료-컨설팅</t>
        </is>
      </c>
      <c r="H34" s="61" t="n">
        <v>19104160</v>
      </c>
      <c r="J34" s="63">
        <f>IF($A34="","",IFERROR(INDEX(부서매핑!$C$5:$C$504,MATCH($D34&amp;"",부서매핑!$A$5:$A$504,0)),"미매핑"))</f>
        <v/>
      </c>
      <c r="K34" s="63">
        <f>IF($A34="","",IFERROR(INDEX(계정매핑!$C$5:$C$504,MATCH($F34&amp;"",계정매핑!$A$5:$A$504,0)),"미매핑"))</f>
        <v/>
      </c>
      <c r="L34" s="4">
        <f>IF($A34="","",VALUE($A34&amp;""))</f>
        <v/>
      </c>
      <c r="M34" s="4">
        <f>IF($A34="","",VALUE($B34&amp;""))</f>
        <v/>
      </c>
      <c r="N34" s="64">
        <f>IF($A34="","",$H34*설정!$C$15)</f>
        <v/>
      </c>
      <c r="O34" s="4">
        <f>IF($A34="","",J34&amp;"|"&amp;K34)</f>
        <v/>
      </c>
      <c r="P34" s="63">
        <f>IF($A34="","",IF(COUNTIFS(예산_원본!$T$5:$T$3004,O34,예산_원본!$B$5:$B$3004,설정!$C$8,예산_원본!$U$5:$U$3004,L34)&gt;0,"Y","N"))</f>
        <v/>
      </c>
      <c r="Q34" s="63">
        <f>IF($A34="","",IF(COUNTIF(집계!$E$7:$E$506,O34)&gt;0,"Y","N"))</f>
        <v/>
      </c>
    </row>
    <row r="35">
      <c r="A35" s="60" t="n">
        <v>2025</v>
      </c>
      <c r="B35" s="60" t="n">
        <v>1</v>
      </c>
      <c r="C35" s="60" t="inlineStr">
        <is>
          <t>1000</t>
        </is>
      </c>
      <c r="D35" s="60" t="n">
        <v>1401</v>
      </c>
      <c r="E35" s="60" t="inlineStr">
        <is>
          <t>상품개발</t>
        </is>
      </c>
      <c r="F35" s="60" t="n">
        <v>62902000</v>
      </c>
      <c r="G35" s="60" t="inlineStr">
        <is>
          <t>지급수수료-기타</t>
        </is>
      </c>
      <c r="H35" s="61" t="n">
        <v>8407630</v>
      </c>
      <c r="J35" s="63">
        <f>IF($A35="","",IFERROR(INDEX(부서매핑!$C$5:$C$504,MATCH($D35&amp;"",부서매핑!$A$5:$A$504,0)),"미매핑"))</f>
        <v/>
      </c>
      <c r="K35" s="63">
        <f>IF($A35="","",IFERROR(INDEX(계정매핑!$C$5:$C$504,MATCH($F35&amp;"",계정매핑!$A$5:$A$504,0)),"미매핑"))</f>
        <v/>
      </c>
      <c r="L35" s="4">
        <f>IF($A35="","",VALUE($A35&amp;""))</f>
        <v/>
      </c>
      <c r="M35" s="4">
        <f>IF($A35="","",VALUE($B35&amp;""))</f>
        <v/>
      </c>
      <c r="N35" s="64">
        <f>IF($A35="","",$H35*설정!$C$15)</f>
        <v/>
      </c>
      <c r="O35" s="4">
        <f>IF($A35="","",J35&amp;"|"&amp;K35)</f>
        <v/>
      </c>
      <c r="P35" s="63">
        <f>IF($A35="","",IF(COUNTIFS(예산_원본!$T$5:$T$3004,O35,예산_원본!$B$5:$B$3004,설정!$C$8,예산_원본!$U$5:$U$3004,L35)&gt;0,"Y","N"))</f>
        <v/>
      </c>
      <c r="Q35" s="63">
        <f>IF($A35="","",IF(COUNTIF(집계!$E$7:$E$506,O35)&gt;0,"Y","N"))</f>
        <v/>
      </c>
    </row>
    <row r="36">
      <c r="A36" s="60" t="n">
        <v>2025</v>
      </c>
      <c r="B36" s="60" t="n">
        <v>1</v>
      </c>
      <c r="C36" s="60" t="inlineStr">
        <is>
          <t>1000</t>
        </is>
      </c>
      <c r="D36" s="60" t="n">
        <v>1501</v>
      </c>
      <c r="E36" s="60" t="inlineStr">
        <is>
          <t>마케팅전략</t>
        </is>
      </c>
      <c r="F36" s="60" t="n">
        <v>62101000</v>
      </c>
      <c r="G36" s="60" t="inlineStr">
        <is>
          <t>여비교통비-국내</t>
        </is>
      </c>
      <c r="H36" s="61" t="n">
        <v>1459920</v>
      </c>
      <c r="J36" s="63">
        <f>IF($A36="","",IFERROR(INDEX(부서매핑!$C$5:$C$504,MATCH($D36&amp;"",부서매핑!$A$5:$A$504,0)),"미매핑"))</f>
        <v/>
      </c>
      <c r="K36" s="63">
        <f>IF($A36="","",IFERROR(INDEX(계정매핑!$C$5:$C$504,MATCH($F36&amp;"",계정매핑!$A$5:$A$504,0)),"미매핑"))</f>
        <v/>
      </c>
      <c r="L36" s="4">
        <f>IF($A36="","",VALUE($A36&amp;""))</f>
        <v/>
      </c>
      <c r="M36" s="4">
        <f>IF($A36="","",VALUE($B36&amp;""))</f>
        <v/>
      </c>
      <c r="N36" s="64">
        <f>IF($A36="","",$H36*설정!$C$15)</f>
        <v/>
      </c>
      <c r="O36" s="4">
        <f>IF($A36="","",J36&amp;"|"&amp;K36)</f>
        <v/>
      </c>
      <c r="P36" s="63">
        <f>IF($A36="","",IF(COUNTIFS(예산_원본!$T$5:$T$3004,O36,예산_원본!$B$5:$B$3004,설정!$C$8,예산_원본!$U$5:$U$3004,L36)&gt;0,"Y","N"))</f>
        <v/>
      </c>
      <c r="Q36" s="63">
        <f>IF($A36="","",IF(COUNTIF(집계!$E$7:$E$506,O36)&gt;0,"Y","N"))</f>
        <v/>
      </c>
    </row>
    <row r="37">
      <c r="A37" s="60" t="n">
        <v>2025</v>
      </c>
      <c r="B37" s="60" t="n">
        <v>1</v>
      </c>
      <c r="C37" s="60" t="inlineStr">
        <is>
          <t>1000</t>
        </is>
      </c>
      <c r="D37" s="60" t="n">
        <v>1501</v>
      </c>
      <c r="E37" s="60" t="inlineStr">
        <is>
          <t>마케팅전략</t>
        </is>
      </c>
      <c r="F37" s="60" t="n">
        <v>62102000</v>
      </c>
      <c r="G37" s="60" t="inlineStr">
        <is>
          <t>여비교통비-해외</t>
        </is>
      </c>
      <c r="H37" s="61" t="n">
        <v>229920</v>
      </c>
      <c r="J37" s="63">
        <f>IF($A37="","",IFERROR(INDEX(부서매핑!$C$5:$C$504,MATCH($D37&amp;"",부서매핑!$A$5:$A$504,0)),"미매핑"))</f>
        <v/>
      </c>
      <c r="K37" s="63">
        <f>IF($A37="","",IFERROR(INDEX(계정매핑!$C$5:$C$504,MATCH($F37&amp;"",계정매핑!$A$5:$A$504,0)),"미매핑"))</f>
        <v/>
      </c>
      <c r="L37" s="4">
        <f>IF($A37="","",VALUE($A37&amp;""))</f>
        <v/>
      </c>
      <c r="M37" s="4">
        <f>IF($A37="","",VALUE($B37&amp;""))</f>
        <v/>
      </c>
      <c r="N37" s="64">
        <f>IF($A37="","",$H37*설정!$C$15)</f>
        <v/>
      </c>
      <c r="O37" s="4">
        <f>IF($A37="","",J37&amp;"|"&amp;K37)</f>
        <v/>
      </c>
      <c r="P37" s="63">
        <f>IF($A37="","",IF(COUNTIFS(예산_원본!$T$5:$T$3004,O37,예산_원본!$B$5:$B$3004,설정!$C$8,예산_원본!$U$5:$U$3004,L37)&gt;0,"Y","N"))</f>
        <v/>
      </c>
      <c r="Q37" s="63">
        <f>IF($A37="","",IF(COUNTIF(집계!$E$7:$E$506,O37)&gt;0,"Y","N"))</f>
        <v/>
      </c>
    </row>
    <row r="38">
      <c r="A38" s="60" t="n">
        <v>2025</v>
      </c>
      <c r="B38" s="60" t="n">
        <v>1</v>
      </c>
      <c r="C38" s="60" t="inlineStr">
        <is>
          <t>1000</t>
        </is>
      </c>
      <c r="D38" s="60" t="n">
        <v>1501</v>
      </c>
      <c r="E38" s="60" t="inlineStr">
        <is>
          <t>마케팅전략</t>
        </is>
      </c>
      <c r="F38" s="60" t="n">
        <v>62201000</v>
      </c>
      <c r="G38" s="60" t="inlineStr">
        <is>
          <t>통신비</t>
        </is>
      </c>
      <c r="H38" s="61" t="n">
        <v>570560</v>
      </c>
      <c r="J38" s="63">
        <f>IF($A38="","",IFERROR(INDEX(부서매핑!$C$5:$C$504,MATCH($D38&amp;"",부서매핑!$A$5:$A$504,0)),"미매핑"))</f>
        <v/>
      </c>
      <c r="K38" s="63">
        <f>IF($A38="","",IFERROR(INDEX(계정매핑!$C$5:$C$504,MATCH($F38&amp;"",계정매핑!$A$5:$A$504,0)),"미매핑"))</f>
        <v/>
      </c>
      <c r="L38" s="4">
        <f>IF($A38="","",VALUE($A38&amp;""))</f>
        <v/>
      </c>
      <c r="M38" s="4">
        <f>IF($A38="","",VALUE($B38&amp;""))</f>
        <v/>
      </c>
      <c r="N38" s="64">
        <f>IF($A38="","",$H38*설정!$C$15)</f>
        <v/>
      </c>
      <c r="O38" s="4">
        <f>IF($A38="","",J38&amp;"|"&amp;K38)</f>
        <v/>
      </c>
      <c r="P38" s="63">
        <f>IF($A38="","",IF(COUNTIFS(예산_원본!$T$5:$T$3004,O38,예산_원본!$B$5:$B$3004,설정!$C$8,예산_원본!$U$5:$U$3004,L38)&gt;0,"Y","N"))</f>
        <v/>
      </c>
      <c r="Q38" s="63">
        <f>IF($A38="","",IF(COUNTIF(집계!$E$7:$E$506,O38)&gt;0,"Y","N"))</f>
        <v/>
      </c>
    </row>
    <row r="39">
      <c r="A39" s="60" t="n">
        <v>2025</v>
      </c>
      <c r="B39" s="60" t="n">
        <v>1</v>
      </c>
      <c r="C39" s="60" t="inlineStr">
        <is>
          <t>1000</t>
        </is>
      </c>
      <c r="D39" s="60" t="n">
        <v>1501</v>
      </c>
      <c r="E39" s="60" t="inlineStr">
        <is>
          <t>마케팅전략</t>
        </is>
      </c>
      <c r="F39" s="60" t="n">
        <v>62301000</v>
      </c>
      <c r="G39" s="60" t="inlineStr">
        <is>
          <t>소모품비</t>
        </is>
      </c>
      <c r="H39" s="61" t="n">
        <v>495600</v>
      </c>
      <c r="J39" s="63">
        <f>IF($A39="","",IFERROR(INDEX(부서매핑!$C$5:$C$504,MATCH($D39&amp;"",부서매핑!$A$5:$A$504,0)),"미매핑"))</f>
        <v/>
      </c>
      <c r="K39" s="63">
        <f>IF($A39="","",IFERROR(INDEX(계정매핑!$C$5:$C$504,MATCH($F39&amp;"",계정매핑!$A$5:$A$504,0)),"미매핑"))</f>
        <v/>
      </c>
      <c r="L39" s="4">
        <f>IF($A39="","",VALUE($A39&amp;""))</f>
        <v/>
      </c>
      <c r="M39" s="4">
        <f>IF($A39="","",VALUE($B39&amp;""))</f>
        <v/>
      </c>
      <c r="N39" s="64">
        <f>IF($A39="","",$H39*설정!$C$15)</f>
        <v/>
      </c>
      <c r="O39" s="4">
        <f>IF($A39="","",J39&amp;"|"&amp;K39)</f>
        <v/>
      </c>
      <c r="P39" s="63">
        <f>IF($A39="","",IF(COUNTIFS(예산_원본!$T$5:$T$3004,O39,예산_원본!$B$5:$B$3004,설정!$C$8,예산_원본!$U$5:$U$3004,L39)&gt;0,"Y","N"))</f>
        <v/>
      </c>
      <c r="Q39" s="63">
        <f>IF($A39="","",IF(COUNTIF(집계!$E$7:$E$506,O39)&gt;0,"Y","N"))</f>
        <v/>
      </c>
    </row>
    <row r="40">
      <c r="A40" s="60" t="n">
        <v>2025</v>
      </c>
      <c r="B40" s="60" t="n">
        <v>1</v>
      </c>
      <c r="C40" s="60" t="inlineStr">
        <is>
          <t>1000</t>
        </is>
      </c>
      <c r="D40" s="60" t="n">
        <v>1501</v>
      </c>
      <c r="E40" s="60" t="inlineStr">
        <is>
          <t>마케팅전략</t>
        </is>
      </c>
      <c r="F40" s="60" t="n">
        <v>62401000</v>
      </c>
      <c r="G40" s="60" t="inlineStr">
        <is>
          <t>도서인쇄비</t>
        </is>
      </c>
      <c r="H40" s="61" t="n">
        <v>4202220</v>
      </c>
      <c r="J40" s="63">
        <f>IF($A40="","",IFERROR(INDEX(부서매핑!$C$5:$C$504,MATCH($D40&amp;"",부서매핑!$A$5:$A$504,0)),"미매핑"))</f>
        <v/>
      </c>
      <c r="K40" s="63">
        <f>IF($A40="","",IFERROR(INDEX(계정매핑!$C$5:$C$504,MATCH($F40&amp;"",계정매핑!$A$5:$A$504,0)),"미매핑"))</f>
        <v/>
      </c>
      <c r="L40" s="4">
        <f>IF($A40="","",VALUE($A40&amp;""))</f>
        <v/>
      </c>
      <c r="M40" s="4">
        <f>IF($A40="","",VALUE($B40&amp;""))</f>
        <v/>
      </c>
      <c r="N40" s="64">
        <f>IF($A40="","",$H40*설정!$C$15)</f>
        <v/>
      </c>
      <c r="O40" s="4">
        <f>IF($A40="","",J40&amp;"|"&amp;K40)</f>
        <v/>
      </c>
      <c r="P40" s="63">
        <f>IF($A40="","",IF(COUNTIFS(예산_원본!$T$5:$T$3004,O40,예산_원본!$B$5:$B$3004,설정!$C$8,예산_원본!$U$5:$U$3004,L40)&gt;0,"Y","N"))</f>
        <v/>
      </c>
      <c r="Q40" s="63">
        <f>IF($A40="","",IF(COUNTIF(집계!$E$7:$E$506,O40)&gt;0,"Y","N"))</f>
        <v/>
      </c>
    </row>
    <row r="41">
      <c r="A41" s="60" t="n">
        <v>2025</v>
      </c>
      <c r="B41" s="60" t="n">
        <v>1</v>
      </c>
      <c r="C41" s="60" t="inlineStr">
        <is>
          <t>1000</t>
        </is>
      </c>
      <c r="D41" s="60" t="n">
        <v>1501</v>
      </c>
      <c r="E41" s="60" t="inlineStr">
        <is>
          <t>마케팅전략</t>
        </is>
      </c>
      <c r="F41" s="60" t="n">
        <v>62501000</v>
      </c>
      <c r="G41" s="60" t="inlineStr">
        <is>
          <t>회의비</t>
        </is>
      </c>
      <c r="H41" s="61" t="n">
        <v>570490</v>
      </c>
      <c r="J41" s="63">
        <f>IF($A41="","",IFERROR(INDEX(부서매핑!$C$5:$C$504,MATCH($D41&amp;"",부서매핑!$A$5:$A$504,0)),"미매핑"))</f>
        <v/>
      </c>
      <c r="K41" s="63">
        <f>IF($A41="","",IFERROR(INDEX(계정매핑!$C$5:$C$504,MATCH($F41&amp;"",계정매핑!$A$5:$A$504,0)),"미매핑"))</f>
        <v/>
      </c>
      <c r="L41" s="4">
        <f>IF($A41="","",VALUE($A41&amp;""))</f>
        <v/>
      </c>
      <c r="M41" s="4">
        <f>IF($A41="","",VALUE($B41&amp;""))</f>
        <v/>
      </c>
      <c r="N41" s="64">
        <f>IF($A41="","",$H41*설정!$C$15)</f>
        <v/>
      </c>
      <c r="O41" s="4">
        <f>IF($A41="","",J41&amp;"|"&amp;K41)</f>
        <v/>
      </c>
      <c r="P41" s="63">
        <f>IF($A41="","",IF(COUNTIFS(예산_원본!$T$5:$T$3004,O41,예산_원본!$B$5:$B$3004,설정!$C$8,예산_원본!$U$5:$U$3004,L41)&gt;0,"Y","N"))</f>
        <v/>
      </c>
      <c r="Q41" s="63">
        <f>IF($A41="","",IF(COUNTIF(집계!$E$7:$E$506,O41)&gt;0,"Y","N"))</f>
        <v/>
      </c>
    </row>
    <row r="42">
      <c r="A42" s="60" t="n">
        <v>2025</v>
      </c>
      <c r="B42" s="60" t="n">
        <v>1</v>
      </c>
      <c r="C42" s="60" t="inlineStr">
        <is>
          <t>1000</t>
        </is>
      </c>
      <c r="D42" s="60" t="n">
        <v>1501</v>
      </c>
      <c r="E42" s="60" t="inlineStr">
        <is>
          <t>마케팅전략</t>
        </is>
      </c>
      <c r="F42" s="60" t="n">
        <v>62601000</v>
      </c>
      <c r="G42" s="60" t="inlineStr">
        <is>
          <t>업무추진비</t>
        </is>
      </c>
      <c r="H42" s="61" t="n">
        <v>1506290</v>
      </c>
      <c r="J42" s="63">
        <f>IF($A42="","",IFERROR(INDEX(부서매핑!$C$5:$C$504,MATCH($D42&amp;"",부서매핑!$A$5:$A$504,0)),"미매핑"))</f>
        <v/>
      </c>
      <c r="K42" s="63">
        <f>IF($A42="","",IFERROR(INDEX(계정매핑!$C$5:$C$504,MATCH($F42&amp;"",계정매핑!$A$5:$A$504,0)),"미매핑"))</f>
        <v/>
      </c>
      <c r="L42" s="4">
        <f>IF($A42="","",VALUE($A42&amp;""))</f>
        <v/>
      </c>
      <c r="M42" s="4">
        <f>IF($A42="","",VALUE($B42&amp;""))</f>
        <v/>
      </c>
      <c r="N42" s="64">
        <f>IF($A42="","",$H42*설정!$C$15)</f>
        <v/>
      </c>
      <c r="O42" s="4">
        <f>IF($A42="","",J42&amp;"|"&amp;K42)</f>
        <v/>
      </c>
      <c r="P42" s="63">
        <f>IF($A42="","",IF(COUNTIFS(예산_원본!$T$5:$T$3004,O42,예산_원본!$B$5:$B$3004,설정!$C$8,예산_원본!$U$5:$U$3004,L42)&gt;0,"Y","N"))</f>
        <v/>
      </c>
      <c r="Q42" s="63">
        <f>IF($A42="","",IF(COUNTIF(집계!$E$7:$E$506,O42)&gt;0,"Y","N"))</f>
        <v/>
      </c>
    </row>
    <row r="43">
      <c r="A43" s="60" t="n">
        <v>2025</v>
      </c>
      <c r="B43" s="60" t="n">
        <v>1</v>
      </c>
      <c r="C43" s="60" t="inlineStr">
        <is>
          <t>1000</t>
        </is>
      </c>
      <c r="D43" s="60" t="n">
        <v>1501</v>
      </c>
      <c r="E43" s="60" t="inlineStr">
        <is>
          <t>마케팅전략</t>
        </is>
      </c>
      <c r="F43" s="60" t="n">
        <v>62701000</v>
      </c>
      <c r="G43" s="60" t="inlineStr">
        <is>
          <t>광고선전비</t>
        </is>
      </c>
      <c r="H43" s="61" t="n">
        <v>43266570</v>
      </c>
      <c r="J43" s="63">
        <f>IF($A43="","",IFERROR(INDEX(부서매핑!$C$5:$C$504,MATCH($D43&amp;"",부서매핑!$A$5:$A$504,0)),"미매핑"))</f>
        <v/>
      </c>
      <c r="K43" s="63">
        <f>IF($A43="","",IFERROR(INDEX(계정매핑!$C$5:$C$504,MATCH($F43&amp;"",계정매핑!$A$5:$A$504,0)),"미매핑"))</f>
        <v/>
      </c>
      <c r="L43" s="4">
        <f>IF($A43="","",VALUE($A43&amp;""))</f>
        <v/>
      </c>
      <c r="M43" s="4">
        <f>IF($A43="","",VALUE($B43&amp;""))</f>
        <v/>
      </c>
      <c r="N43" s="64">
        <f>IF($A43="","",$H43*설정!$C$15)</f>
        <v/>
      </c>
      <c r="O43" s="4">
        <f>IF($A43="","",J43&amp;"|"&amp;K43)</f>
        <v/>
      </c>
      <c r="P43" s="63">
        <f>IF($A43="","",IF(COUNTIFS(예산_원본!$T$5:$T$3004,O43,예산_원본!$B$5:$B$3004,설정!$C$8,예산_원본!$U$5:$U$3004,L43)&gt;0,"Y","N"))</f>
        <v/>
      </c>
      <c r="Q43" s="63">
        <f>IF($A43="","",IF(COUNTIF(집계!$E$7:$E$506,O43)&gt;0,"Y","N"))</f>
        <v/>
      </c>
    </row>
    <row r="44">
      <c r="A44" s="60" t="n">
        <v>2025</v>
      </c>
      <c r="B44" s="60" t="n">
        <v>1</v>
      </c>
      <c r="C44" s="60" t="inlineStr">
        <is>
          <t>1000</t>
        </is>
      </c>
      <c r="D44" s="60" t="n">
        <v>1502</v>
      </c>
      <c r="E44" s="60" t="inlineStr">
        <is>
          <t>디지털마케팅</t>
        </is>
      </c>
      <c r="F44" s="60" t="n">
        <v>62101000</v>
      </c>
      <c r="G44" s="60" t="inlineStr">
        <is>
          <t>여비교통비-국내</t>
        </is>
      </c>
      <c r="H44" s="61" t="n">
        <v>832170</v>
      </c>
      <c r="J44" s="63">
        <f>IF($A44="","",IFERROR(INDEX(부서매핑!$C$5:$C$504,MATCH($D44&amp;"",부서매핑!$A$5:$A$504,0)),"미매핑"))</f>
        <v/>
      </c>
      <c r="K44" s="63">
        <f>IF($A44="","",IFERROR(INDEX(계정매핑!$C$5:$C$504,MATCH($F44&amp;"",계정매핑!$A$5:$A$504,0)),"미매핑"))</f>
        <v/>
      </c>
      <c r="L44" s="4">
        <f>IF($A44="","",VALUE($A44&amp;""))</f>
        <v/>
      </c>
      <c r="M44" s="4">
        <f>IF($A44="","",VALUE($B44&amp;""))</f>
        <v/>
      </c>
      <c r="N44" s="64">
        <f>IF($A44="","",$H44*설정!$C$15)</f>
        <v/>
      </c>
      <c r="O44" s="4">
        <f>IF($A44="","",J44&amp;"|"&amp;K44)</f>
        <v/>
      </c>
      <c r="P44" s="63">
        <f>IF($A44="","",IF(COUNTIFS(예산_원본!$T$5:$T$3004,O44,예산_원본!$B$5:$B$3004,설정!$C$8,예산_원본!$U$5:$U$3004,L44)&gt;0,"Y","N"))</f>
        <v/>
      </c>
      <c r="Q44" s="63">
        <f>IF($A44="","",IF(COUNTIF(집계!$E$7:$E$506,O44)&gt;0,"Y","N"))</f>
        <v/>
      </c>
    </row>
    <row r="45">
      <c r="A45" s="60" t="n">
        <v>2025</v>
      </c>
      <c r="B45" s="60" t="n">
        <v>1</v>
      </c>
      <c r="C45" s="60" t="inlineStr">
        <is>
          <t>1000</t>
        </is>
      </c>
      <c r="D45" s="60" t="n">
        <v>1502</v>
      </c>
      <c r="E45" s="60" t="inlineStr">
        <is>
          <t>디지털마케팅</t>
        </is>
      </c>
      <c r="F45" s="60" t="n">
        <v>62102000</v>
      </c>
      <c r="G45" s="60" t="inlineStr">
        <is>
          <t>여비교통비-해외</t>
        </is>
      </c>
      <c r="H45" s="61" t="n">
        <v>143280</v>
      </c>
      <c r="J45" s="63">
        <f>IF($A45="","",IFERROR(INDEX(부서매핑!$C$5:$C$504,MATCH($D45&amp;"",부서매핑!$A$5:$A$504,0)),"미매핑"))</f>
        <v/>
      </c>
      <c r="K45" s="63">
        <f>IF($A45="","",IFERROR(INDEX(계정매핑!$C$5:$C$504,MATCH($F45&amp;"",계정매핑!$A$5:$A$504,0)),"미매핑"))</f>
        <v/>
      </c>
      <c r="L45" s="4">
        <f>IF($A45="","",VALUE($A45&amp;""))</f>
        <v/>
      </c>
      <c r="M45" s="4">
        <f>IF($A45="","",VALUE($B45&amp;""))</f>
        <v/>
      </c>
      <c r="N45" s="64">
        <f>IF($A45="","",$H45*설정!$C$15)</f>
        <v/>
      </c>
      <c r="O45" s="4">
        <f>IF($A45="","",J45&amp;"|"&amp;K45)</f>
        <v/>
      </c>
      <c r="P45" s="63">
        <f>IF($A45="","",IF(COUNTIFS(예산_원본!$T$5:$T$3004,O45,예산_원본!$B$5:$B$3004,설정!$C$8,예산_원본!$U$5:$U$3004,L45)&gt;0,"Y","N"))</f>
        <v/>
      </c>
      <c r="Q45" s="63">
        <f>IF($A45="","",IF(COUNTIF(집계!$E$7:$E$506,O45)&gt;0,"Y","N"))</f>
        <v/>
      </c>
    </row>
    <row r="46">
      <c r="A46" s="60" t="n">
        <v>2025</v>
      </c>
      <c r="B46" s="60" t="n">
        <v>1</v>
      </c>
      <c r="C46" s="60" t="inlineStr">
        <is>
          <t>1000</t>
        </is>
      </c>
      <c r="D46" s="60" t="n">
        <v>1502</v>
      </c>
      <c r="E46" s="60" t="inlineStr">
        <is>
          <t>디지털마케팅</t>
        </is>
      </c>
      <c r="F46" s="60" t="n">
        <v>62201000</v>
      </c>
      <c r="G46" s="60" t="inlineStr">
        <is>
          <t>통신비</t>
        </is>
      </c>
      <c r="H46" s="61" t="n">
        <v>402310</v>
      </c>
      <c r="J46" s="63">
        <f>IF($A46="","",IFERROR(INDEX(부서매핑!$C$5:$C$504,MATCH($D46&amp;"",부서매핑!$A$5:$A$504,0)),"미매핑"))</f>
        <v/>
      </c>
      <c r="K46" s="63">
        <f>IF($A46="","",IFERROR(INDEX(계정매핑!$C$5:$C$504,MATCH($F46&amp;"",계정매핑!$A$5:$A$504,0)),"미매핑"))</f>
        <v/>
      </c>
      <c r="L46" s="4">
        <f>IF($A46="","",VALUE($A46&amp;""))</f>
        <v/>
      </c>
      <c r="M46" s="4">
        <f>IF($A46="","",VALUE($B46&amp;""))</f>
        <v/>
      </c>
      <c r="N46" s="64">
        <f>IF($A46="","",$H46*설정!$C$15)</f>
        <v/>
      </c>
      <c r="O46" s="4">
        <f>IF($A46="","",J46&amp;"|"&amp;K46)</f>
        <v/>
      </c>
      <c r="P46" s="63">
        <f>IF($A46="","",IF(COUNTIFS(예산_원본!$T$5:$T$3004,O46,예산_원본!$B$5:$B$3004,설정!$C$8,예산_원본!$U$5:$U$3004,L46)&gt;0,"Y","N"))</f>
        <v/>
      </c>
      <c r="Q46" s="63">
        <f>IF($A46="","",IF(COUNTIF(집계!$E$7:$E$506,O46)&gt;0,"Y","N"))</f>
        <v/>
      </c>
    </row>
    <row r="47">
      <c r="A47" s="60" t="n">
        <v>2025</v>
      </c>
      <c r="B47" s="60" t="n">
        <v>1</v>
      </c>
      <c r="C47" s="60" t="inlineStr">
        <is>
          <t>1000</t>
        </is>
      </c>
      <c r="D47" s="60" t="n">
        <v>1502</v>
      </c>
      <c r="E47" s="60" t="inlineStr">
        <is>
          <t>디지털마케팅</t>
        </is>
      </c>
      <c r="F47" s="60" t="n">
        <v>62301000</v>
      </c>
      <c r="G47" s="60" t="inlineStr">
        <is>
          <t>소모품비</t>
        </is>
      </c>
      <c r="H47" s="61" t="n">
        <v>325100</v>
      </c>
      <c r="J47" s="63">
        <f>IF($A47="","",IFERROR(INDEX(부서매핑!$C$5:$C$504,MATCH($D47&amp;"",부서매핑!$A$5:$A$504,0)),"미매핑"))</f>
        <v/>
      </c>
      <c r="K47" s="63">
        <f>IF($A47="","",IFERROR(INDEX(계정매핑!$C$5:$C$504,MATCH($F47&amp;"",계정매핑!$A$5:$A$504,0)),"미매핑"))</f>
        <v/>
      </c>
      <c r="L47" s="4">
        <f>IF($A47="","",VALUE($A47&amp;""))</f>
        <v/>
      </c>
      <c r="M47" s="4">
        <f>IF($A47="","",VALUE($B47&amp;""))</f>
        <v/>
      </c>
      <c r="N47" s="64">
        <f>IF($A47="","",$H47*설정!$C$15)</f>
        <v/>
      </c>
      <c r="O47" s="4">
        <f>IF($A47="","",J47&amp;"|"&amp;K47)</f>
        <v/>
      </c>
      <c r="P47" s="63">
        <f>IF($A47="","",IF(COUNTIFS(예산_원본!$T$5:$T$3004,O47,예산_원본!$B$5:$B$3004,설정!$C$8,예산_원본!$U$5:$U$3004,L47)&gt;0,"Y","N"))</f>
        <v/>
      </c>
      <c r="Q47" s="63">
        <f>IF($A47="","",IF(COUNTIF(집계!$E$7:$E$506,O47)&gt;0,"Y","N"))</f>
        <v/>
      </c>
    </row>
    <row r="48">
      <c r="A48" s="60" t="n">
        <v>2025</v>
      </c>
      <c r="B48" s="60" t="n">
        <v>1</v>
      </c>
      <c r="C48" s="60" t="inlineStr">
        <is>
          <t>1000</t>
        </is>
      </c>
      <c r="D48" s="60" t="n">
        <v>1502</v>
      </c>
      <c r="E48" s="60" t="inlineStr">
        <is>
          <t>디지털마케팅</t>
        </is>
      </c>
      <c r="F48" s="60" t="n">
        <v>62401000</v>
      </c>
      <c r="G48" s="60" t="inlineStr">
        <is>
          <t>도서인쇄비</t>
        </is>
      </c>
      <c r="H48" s="61" t="n">
        <v>2800130</v>
      </c>
      <c r="J48" s="63">
        <f>IF($A48="","",IFERROR(INDEX(부서매핑!$C$5:$C$504,MATCH($D48&amp;"",부서매핑!$A$5:$A$504,0)),"미매핑"))</f>
        <v/>
      </c>
      <c r="K48" s="63">
        <f>IF($A48="","",IFERROR(INDEX(계정매핑!$C$5:$C$504,MATCH($F48&amp;"",계정매핑!$A$5:$A$504,0)),"미매핑"))</f>
        <v/>
      </c>
      <c r="L48" s="4">
        <f>IF($A48="","",VALUE($A48&amp;""))</f>
        <v/>
      </c>
      <c r="M48" s="4">
        <f>IF($A48="","",VALUE($B48&amp;""))</f>
        <v/>
      </c>
      <c r="N48" s="64">
        <f>IF($A48="","",$H48*설정!$C$15)</f>
        <v/>
      </c>
      <c r="O48" s="4">
        <f>IF($A48="","",J48&amp;"|"&amp;K48)</f>
        <v/>
      </c>
      <c r="P48" s="63">
        <f>IF($A48="","",IF(COUNTIFS(예산_원본!$T$5:$T$3004,O48,예산_원본!$B$5:$B$3004,설정!$C$8,예산_원본!$U$5:$U$3004,L48)&gt;0,"Y","N"))</f>
        <v/>
      </c>
      <c r="Q48" s="63">
        <f>IF($A48="","",IF(COUNTIF(집계!$E$7:$E$506,O48)&gt;0,"Y","N"))</f>
        <v/>
      </c>
    </row>
    <row r="49">
      <c r="A49" s="60" t="n">
        <v>2025</v>
      </c>
      <c r="B49" s="60" t="n">
        <v>1</v>
      </c>
      <c r="C49" s="60" t="inlineStr">
        <is>
          <t>1000</t>
        </is>
      </c>
      <c r="D49" s="60" t="n">
        <v>1502</v>
      </c>
      <c r="E49" s="60" t="inlineStr">
        <is>
          <t>디지털마케팅</t>
        </is>
      </c>
      <c r="F49" s="60" t="n">
        <v>62501000</v>
      </c>
      <c r="G49" s="60" t="inlineStr">
        <is>
          <t>회의비</t>
        </is>
      </c>
      <c r="H49" s="61" t="n">
        <v>414420</v>
      </c>
      <c r="J49" s="63">
        <f>IF($A49="","",IFERROR(INDEX(부서매핑!$C$5:$C$504,MATCH($D49&amp;"",부서매핑!$A$5:$A$504,0)),"미매핑"))</f>
        <v/>
      </c>
      <c r="K49" s="63">
        <f>IF($A49="","",IFERROR(INDEX(계정매핑!$C$5:$C$504,MATCH($F49&amp;"",계정매핑!$A$5:$A$504,0)),"미매핑"))</f>
        <v/>
      </c>
      <c r="L49" s="4">
        <f>IF($A49="","",VALUE($A49&amp;""))</f>
        <v/>
      </c>
      <c r="M49" s="4">
        <f>IF($A49="","",VALUE($B49&amp;""))</f>
        <v/>
      </c>
      <c r="N49" s="64">
        <f>IF($A49="","",$H49*설정!$C$15)</f>
        <v/>
      </c>
      <c r="O49" s="4">
        <f>IF($A49="","",J49&amp;"|"&amp;K49)</f>
        <v/>
      </c>
      <c r="P49" s="63">
        <f>IF($A49="","",IF(COUNTIFS(예산_원본!$T$5:$T$3004,O49,예산_원본!$B$5:$B$3004,설정!$C$8,예산_원본!$U$5:$U$3004,L49)&gt;0,"Y","N"))</f>
        <v/>
      </c>
      <c r="Q49" s="63">
        <f>IF($A49="","",IF(COUNTIF(집계!$E$7:$E$506,O49)&gt;0,"Y","N"))</f>
        <v/>
      </c>
    </row>
    <row r="50">
      <c r="A50" s="60" t="n">
        <v>2025</v>
      </c>
      <c r="B50" s="60" t="n">
        <v>1</v>
      </c>
      <c r="C50" s="60" t="inlineStr">
        <is>
          <t>1000</t>
        </is>
      </c>
      <c r="D50" s="60" t="n">
        <v>1502</v>
      </c>
      <c r="E50" s="60" t="inlineStr">
        <is>
          <t>디지털마케팅</t>
        </is>
      </c>
      <c r="F50" s="60" t="n">
        <v>62601000</v>
      </c>
      <c r="G50" s="60" t="inlineStr">
        <is>
          <t>업무추진비</t>
        </is>
      </c>
      <c r="H50" s="61" t="n">
        <v>946270</v>
      </c>
      <c r="J50" s="63">
        <f>IF($A50="","",IFERROR(INDEX(부서매핑!$C$5:$C$504,MATCH($D50&amp;"",부서매핑!$A$5:$A$504,0)),"미매핑"))</f>
        <v/>
      </c>
      <c r="K50" s="63">
        <f>IF($A50="","",IFERROR(INDEX(계정매핑!$C$5:$C$504,MATCH($F50&amp;"",계정매핑!$A$5:$A$504,0)),"미매핑"))</f>
        <v/>
      </c>
      <c r="L50" s="4">
        <f>IF($A50="","",VALUE($A50&amp;""))</f>
        <v/>
      </c>
      <c r="M50" s="4">
        <f>IF($A50="","",VALUE($B50&amp;""))</f>
        <v/>
      </c>
      <c r="N50" s="64">
        <f>IF($A50="","",$H50*설정!$C$15)</f>
        <v/>
      </c>
      <c r="O50" s="4">
        <f>IF($A50="","",J50&amp;"|"&amp;K50)</f>
        <v/>
      </c>
      <c r="P50" s="63">
        <f>IF($A50="","",IF(COUNTIFS(예산_원본!$T$5:$T$3004,O50,예산_원본!$B$5:$B$3004,설정!$C$8,예산_원본!$U$5:$U$3004,L50)&gt;0,"Y","N"))</f>
        <v/>
      </c>
      <c r="Q50" s="63">
        <f>IF($A50="","",IF(COUNTIF(집계!$E$7:$E$506,O50)&gt;0,"Y","N"))</f>
        <v/>
      </c>
    </row>
    <row r="51">
      <c r="A51" s="60" t="n">
        <v>2025</v>
      </c>
      <c r="B51" s="60" t="n">
        <v>1</v>
      </c>
      <c r="C51" s="60" t="inlineStr">
        <is>
          <t>1000</t>
        </is>
      </c>
      <c r="D51" s="60" t="n">
        <v>1502</v>
      </c>
      <c r="E51" s="60" t="inlineStr">
        <is>
          <t>디지털마케팅</t>
        </is>
      </c>
      <c r="F51" s="60" t="n">
        <v>62701000</v>
      </c>
      <c r="G51" s="60" t="inlineStr">
        <is>
          <t>광고선전비</t>
        </is>
      </c>
      <c r="H51" s="61" t="n">
        <v>28513660</v>
      </c>
      <c r="J51" s="63">
        <f>IF($A51="","",IFERROR(INDEX(부서매핑!$C$5:$C$504,MATCH($D51&amp;"",부서매핑!$A$5:$A$504,0)),"미매핑"))</f>
        <v/>
      </c>
      <c r="K51" s="63">
        <f>IF($A51="","",IFERROR(INDEX(계정매핑!$C$5:$C$504,MATCH($F51&amp;"",계정매핑!$A$5:$A$504,0)),"미매핑"))</f>
        <v/>
      </c>
      <c r="L51" s="4">
        <f>IF($A51="","",VALUE($A51&amp;""))</f>
        <v/>
      </c>
      <c r="M51" s="4">
        <f>IF($A51="","",VALUE($B51&amp;""))</f>
        <v/>
      </c>
      <c r="N51" s="64">
        <f>IF($A51="","",$H51*설정!$C$15)</f>
        <v/>
      </c>
      <c r="O51" s="4">
        <f>IF($A51="","",J51&amp;"|"&amp;K51)</f>
        <v/>
      </c>
      <c r="P51" s="63">
        <f>IF($A51="","",IF(COUNTIFS(예산_원본!$T$5:$T$3004,O51,예산_원본!$B$5:$B$3004,설정!$C$8,예산_원본!$U$5:$U$3004,L51)&gt;0,"Y","N"))</f>
        <v/>
      </c>
      <c r="Q51" s="63">
        <f>IF($A51="","",IF(COUNTIF(집계!$E$7:$E$506,O51)&gt;0,"Y","N"))</f>
        <v/>
      </c>
    </row>
    <row r="52">
      <c r="A52" s="60" t="n">
        <v>2025</v>
      </c>
      <c r="B52" s="60" t="n">
        <v>1</v>
      </c>
      <c r="C52" s="60" t="inlineStr">
        <is>
          <t>1000</t>
        </is>
      </c>
      <c r="D52" s="60" t="n">
        <v>1601</v>
      </c>
      <c r="E52" s="60" t="inlineStr">
        <is>
          <t>영업지원-본사</t>
        </is>
      </c>
      <c r="F52" s="60" t="n">
        <v>62101000</v>
      </c>
      <c r="G52" s="60" t="inlineStr">
        <is>
          <t>여비교통비-국내</t>
        </is>
      </c>
      <c r="H52" s="61" t="n">
        <v>3742560</v>
      </c>
      <c r="J52" s="63">
        <f>IF($A52="","",IFERROR(INDEX(부서매핑!$C$5:$C$504,MATCH($D52&amp;"",부서매핑!$A$5:$A$504,0)),"미매핑"))</f>
        <v/>
      </c>
      <c r="K52" s="63">
        <f>IF($A52="","",IFERROR(INDEX(계정매핑!$C$5:$C$504,MATCH($F52&amp;"",계정매핑!$A$5:$A$504,0)),"미매핑"))</f>
        <v/>
      </c>
      <c r="L52" s="4">
        <f>IF($A52="","",VALUE($A52&amp;""))</f>
        <v/>
      </c>
      <c r="M52" s="4">
        <f>IF($A52="","",VALUE($B52&amp;""))</f>
        <v/>
      </c>
      <c r="N52" s="64">
        <f>IF($A52="","",$H52*설정!$C$15)</f>
        <v/>
      </c>
      <c r="O52" s="4">
        <f>IF($A52="","",J52&amp;"|"&amp;K52)</f>
        <v/>
      </c>
      <c r="P52" s="63">
        <f>IF($A52="","",IF(COUNTIFS(예산_원본!$T$5:$T$3004,O52,예산_원본!$B$5:$B$3004,설정!$C$8,예산_원본!$U$5:$U$3004,L52)&gt;0,"Y","N"))</f>
        <v/>
      </c>
      <c r="Q52" s="63">
        <f>IF($A52="","",IF(COUNTIF(집계!$E$7:$E$506,O52)&gt;0,"Y","N"))</f>
        <v/>
      </c>
    </row>
    <row r="53">
      <c r="A53" s="60" t="n">
        <v>2025</v>
      </c>
      <c r="B53" s="60" t="n">
        <v>1</v>
      </c>
      <c r="C53" s="60" t="inlineStr">
        <is>
          <t>1000</t>
        </is>
      </c>
      <c r="D53" s="60" t="n">
        <v>1601</v>
      </c>
      <c r="E53" s="60" t="inlineStr">
        <is>
          <t>영업지원-본사</t>
        </is>
      </c>
      <c r="F53" s="60" t="n">
        <v>62102000</v>
      </c>
      <c r="G53" s="60" t="inlineStr">
        <is>
          <t>여비교통비-해외</t>
        </is>
      </c>
      <c r="H53" s="61" t="n">
        <v>667350</v>
      </c>
      <c r="J53" s="63">
        <f>IF($A53="","",IFERROR(INDEX(부서매핑!$C$5:$C$504,MATCH($D53&amp;"",부서매핑!$A$5:$A$504,0)),"미매핑"))</f>
        <v/>
      </c>
      <c r="K53" s="63">
        <f>IF($A53="","",IFERROR(INDEX(계정매핑!$C$5:$C$504,MATCH($F53&amp;"",계정매핑!$A$5:$A$504,0)),"미매핑"))</f>
        <v/>
      </c>
      <c r="L53" s="4">
        <f>IF($A53="","",VALUE($A53&amp;""))</f>
        <v/>
      </c>
      <c r="M53" s="4">
        <f>IF($A53="","",VALUE($B53&amp;""))</f>
        <v/>
      </c>
      <c r="N53" s="64">
        <f>IF($A53="","",$H53*설정!$C$15)</f>
        <v/>
      </c>
      <c r="O53" s="4">
        <f>IF($A53="","",J53&amp;"|"&amp;K53)</f>
        <v/>
      </c>
      <c r="P53" s="63">
        <f>IF($A53="","",IF(COUNTIFS(예산_원본!$T$5:$T$3004,O53,예산_원본!$B$5:$B$3004,설정!$C$8,예산_원본!$U$5:$U$3004,L53)&gt;0,"Y","N"))</f>
        <v/>
      </c>
      <c r="Q53" s="63">
        <f>IF($A53="","",IF(COUNTIF(집계!$E$7:$E$506,O53)&gt;0,"Y","N"))</f>
        <v/>
      </c>
    </row>
    <row r="54">
      <c r="A54" s="60" t="n">
        <v>2025</v>
      </c>
      <c r="B54" s="60" t="n">
        <v>1</v>
      </c>
      <c r="C54" s="60" t="inlineStr">
        <is>
          <t>1000</t>
        </is>
      </c>
      <c r="D54" s="60" t="n">
        <v>1601</v>
      </c>
      <c r="E54" s="60" t="inlineStr">
        <is>
          <t>영업지원-본사</t>
        </is>
      </c>
      <c r="F54" s="60" t="n">
        <v>62201000</v>
      </c>
      <c r="G54" s="60" t="inlineStr">
        <is>
          <t>통신비</t>
        </is>
      </c>
      <c r="H54" s="61" t="n">
        <v>1235240</v>
      </c>
      <c r="J54" s="63">
        <f>IF($A54="","",IFERROR(INDEX(부서매핑!$C$5:$C$504,MATCH($D54&amp;"",부서매핑!$A$5:$A$504,0)),"미매핑"))</f>
        <v/>
      </c>
      <c r="K54" s="63">
        <f>IF($A54="","",IFERROR(INDEX(계정매핑!$C$5:$C$504,MATCH($F54&amp;"",계정매핑!$A$5:$A$504,0)),"미매핑"))</f>
        <v/>
      </c>
      <c r="L54" s="4">
        <f>IF($A54="","",VALUE($A54&amp;""))</f>
        <v/>
      </c>
      <c r="M54" s="4">
        <f>IF($A54="","",VALUE($B54&amp;""))</f>
        <v/>
      </c>
      <c r="N54" s="64">
        <f>IF($A54="","",$H54*설정!$C$15)</f>
        <v/>
      </c>
      <c r="O54" s="4">
        <f>IF($A54="","",J54&amp;"|"&amp;K54)</f>
        <v/>
      </c>
      <c r="P54" s="63">
        <f>IF($A54="","",IF(COUNTIFS(예산_원본!$T$5:$T$3004,O54,예산_원본!$B$5:$B$3004,설정!$C$8,예산_원본!$U$5:$U$3004,L54)&gt;0,"Y","N"))</f>
        <v/>
      </c>
      <c r="Q54" s="63">
        <f>IF($A54="","",IF(COUNTIF(집계!$E$7:$E$506,O54)&gt;0,"Y","N"))</f>
        <v/>
      </c>
    </row>
    <row r="55">
      <c r="A55" s="60" t="n">
        <v>2025</v>
      </c>
      <c r="B55" s="60" t="n">
        <v>1</v>
      </c>
      <c r="C55" s="60" t="inlineStr">
        <is>
          <t>1000</t>
        </is>
      </c>
      <c r="D55" s="60" t="n">
        <v>1601</v>
      </c>
      <c r="E55" s="60" t="inlineStr">
        <is>
          <t>영업지원-본사</t>
        </is>
      </c>
      <c r="F55" s="60" t="n">
        <v>62301000</v>
      </c>
      <c r="G55" s="60" t="inlineStr">
        <is>
          <t>소모품비</t>
        </is>
      </c>
      <c r="H55" s="61" t="n">
        <v>684070</v>
      </c>
      <c r="J55" s="63">
        <f>IF($A55="","",IFERROR(INDEX(부서매핑!$C$5:$C$504,MATCH($D55&amp;"",부서매핑!$A$5:$A$504,0)),"미매핑"))</f>
        <v/>
      </c>
      <c r="K55" s="63">
        <f>IF($A55="","",IFERROR(INDEX(계정매핑!$C$5:$C$504,MATCH($F55&amp;"",계정매핑!$A$5:$A$504,0)),"미매핑"))</f>
        <v/>
      </c>
      <c r="L55" s="4">
        <f>IF($A55="","",VALUE($A55&amp;""))</f>
        <v/>
      </c>
      <c r="M55" s="4">
        <f>IF($A55="","",VALUE($B55&amp;""))</f>
        <v/>
      </c>
      <c r="N55" s="64">
        <f>IF($A55="","",$H55*설정!$C$15)</f>
        <v/>
      </c>
      <c r="O55" s="4">
        <f>IF($A55="","",J55&amp;"|"&amp;K55)</f>
        <v/>
      </c>
      <c r="P55" s="63">
        <f>IF($A55="","",IF(COUNTIFS(예산_원본!$T$5:$T$3004,O55,예산_원본!$B$5:$B$3004,설정!$C$8,예산_원본!$U$5:$U$3004,L55)&gt;0,"Y","N"))</f>
        <v/>
      </c>
      <c r="Q55" s="63">
        <f>IF($A55="","",IF(COUNTIF(집계!$E$7:$E$506,O55)&gt;0,"Y","N"))</f>
        <v/>
      </c>
    </row>
    <row r="56">
      <c r="A56" s="60" t="n">
        <v>2025</v>
      </c>
      <c r="B56" s="60" t="n">
        <v>1</v>
      </c>
      <c r="C56" s="60" t="inlineStr">
        <is>
          <t>1000</t>
        </is>
      </c>
      <c r="D56" s="60" t="n">
        <v>1601</v>
      </c>
      <c r="E56" s="60" t="inlineStr">
        <is>
          <t>영업지원-본사</t>
        </is>
      </c>
      <c r="F56" s="60" t="n">
        <v>62501000</v>
      </c>
      <c r="G56" s="60" t="inlineStr">
        <is>
          <t>회의비</t>
        </is>
      </c>
      <c r="H56" s="61" t="n">
        <v>797250</v>
      </c>
      <c r="J56" s="63">
        <f>IF($A56="","",IFERROR(INDEX(부서매핑!$C$5:$C$504,MATCH($D56&amp;"",부서매핑!$A$5:$A$504,0)),"미매핑"))</f>
        <v/>
      </c>
      <c r="K56" s="63">
        <f>IF($A56="","",IFERROR(INDEX(계정매핑!$C$5:$C$504,MATCH($F56&amp;"",계정매핑!$A$5:$A$504,0)),"미매핑"))</f>
        <v/>
      </c>
      <c r="L56" s="4">
        <f>IF($A56="","",VALUE($A56&amp;""))</f>
        <v/>
      </c>
      <c r="M56" s="4">
        <f>IF($A56="","",VALUE($B56&amp;""))</f>
        <v/>
      </c>
      <c r="N56" s="64">
        <f>IF($A56="","",$H56*설정!$C$15)</f>
        <v/>
      </c>
      <c r="O56" s="4">
        <f>IF($A56="","",J56&amp;"|"&amp;K56)</f>
        <v/>
      </c>
      <c r="P56" s="63">
        <f>IF($A56="","",IF(COUNTIFS(예산_원본!$T$5:$T$3004,O56,예산_원본!$B$5:$B$3004,설정!$C$8,예산_원본!$U$5:$U$3004,L56)&gt;0,"Y","N"))</f>
        <v/>
      </c>
      <c r="Q56" s="63">
        <f>IF($A56="","",IF(COUNTIF(집계!$E$7:$E$506,O56)&gt;0,"Y","N"))</f>
        <v/>
      </c>
    </row>
    <row r="57">
      <c r="A57" s="60" t="n">
        <v>2025</v>
      </c>
      <c r="B57" s="60" t="n">
        <v>1</v>
      </c>
      <c r="C57" s="60" t="inlineStr">
        <is>
          <t>1000</t>
        </is>
      </c>
      <c r="D57" s="60" t="n">
        <v>1601</v>
      </c>
      <c r="E57" s="60" t="inlineStr">
        <is>
          <t>영업지원-본사</t>
        </is>
      </c>
      <c r="F57" s="60" t="n">
        <v>62601000</v>
      </c>
      <c r="G57" s="60" t="inlineStr">
        <is>
          <t>업무추진비</t>
        </is>
      </c>
      <c r="H57" s="61" t="n">
        <v>2053660</v>
      </c>
      <c r="J57" s="63">
        <f>IF($A57="","",IFERROR(INDEX(부서매핑!$C$5:$C$504,MATCH($D57&amp;"",부서매핑!$A$5:$A$504,0)),"미매핑"))</f>
        <v/>
      </c>
      <c r="K57" s="63">
        <f>IF($A57="","",IFERROR(INDEX(계정매핑!$C$5:$C$504,MATCH($F57&amp;"",계정매핑!$A$5:$A$504,0)),"미매핑"))</f>
        <v/>
      </c>
      <c r="L57" s="4">
        <f>IF($A57="","",VALUE($A57&amp;""))</f>
        <v/>
      </c>
      <c r="M57" s="4">
        <f>IF($A57="","",VALUE($B57&amp;""))</f>
        <v/>
      </c>
      <c r="N57" s="64">
        <f>IF($A57="","",$H57*설정!$C$15)</f>
        <v/>
      </c>
      <c r="O57" s="4">
        <f>IF($A57="","",J57&amp;"|"&amp;K57)</f>
        <v/>
      </c>
      <c r="P57" s="63">
        <f>IF($A57="","",IF(COUNTIFS(예산_원본!$T$5:$T$3004,O57,예산_원본!$B$5:$B$3004,설정!$C$8,예산_원본!$U$5:$U$3004,L57)&gt;0,"Y","N"))</f>
        <v/>
      </c>
      <c r="Q57" s="63">
        <f>IF($A57="","",IF(COUNTIF(집계!$E$7:$E$506,O57)&gt;0,"Y","N"))</f>
        <v/>
      </c>
    </row>
    <row r="58">
      <c r="A58" s="60" t="n">
        <v>2025</v>
      </c>
      <c r="B58" s="60" t="n">
        <v>1</v>
      </c>
      <c r="C58" s="60" t="inlineStr">
        <is>
          <t>1000</t>
        </is>
      </c>
      <c r="D58" s="60" t="n">
        <v>1601</v>
      </c>
      <c r="E58" s="60" t="inlineStr">
        <is>
          <t>영업지원-본사</t>
        </is>
      </c>
      <c r="F58" s="60" t="n">
        <v>63101000</v>
      </c>
      <c r="G58" s="60" t="inlineStr">
        <is>
          <t>임차료</t>
        </is>
      </c>
      <c r="H58" s="61" t="n">
        <v>7691570</v>
      </c>
      <c r="J58" s="63">
        <f>IF($A58="","",IFERROR(INDEX(부서매핑!$C$5:$C$504,MATCH($D58&amp;"",부서매핑!$A$5:$A$504,0)),"미매핑"))</f>
        <v/>
      </c>
      <c r="K58" s="63">
        <f>IF($A58="","",IFERROR(INDEX(계정매핑!$C$5:$C$504,MATCH($F58&amp;"",계정매핑!$A$5:$A$504,0)),"미매핑"))</f>
        <v/>
      </c>
      <c r="L58" s="4">
        <f>IF($A58="","",VALUE($A58&amp;""))</f>
        <v/>
      </c>
      <c r="M58" s="4">
        <f>IF($A58="","",VALUE($B58&amp;""))</f>
        <v/>
      </c>
      <c r="N58" s="64">
        <f>IF($A58="","",$H58*설정!$C$15)</f>
        <v/>
      </c>
      <c r="O58" s="4">
        <f>IF($A58="","",J58&amp;"|"&amp;K58)</f>
        <v/>
      </c>
      <c r="P58" s="63">
        <f>IF($A58="","",IF(COUNTIFS(예산_원본!$T$5:$T$3004,O58,예산_원본!$B$5:$B$3004,설정!$C$8,예산_원본!$U$5:$U$3004,L58)&gt;0,"Y","N"))</f>
        <v/>
      </c>
      <c r="Q58" s="63">
        <f>IF($A58="","",IF(COUNTIF(집계!$E$7:$E$506,O58)&gt;0,"Y","N"))</f>
        <v/>
      </c>
    </row>
    <row r="59">
      <c r="A59" s="60" t="n">
        <v>2025</v>
      </c>
      <c r="B59" s="60" t="n">
        <v>1</v>
      </c>
      <c r="C59" s="60" t="inlineStr">
        <is>
          <t>1000</t>
        </is>
      </c>
      <c r="D59" s="60" t="n">
        <v>1601</v>
      </c>
      <c r="E59" s="60" t="inlineStr">
        <is>
          <t>영업지원-본사</t>
        </is>
      </c>
      <c r="F59" s="60" t="n">
        <v>63201000</v>
      </c>
      <c r="G59" s="60" t="inlineStr">
        <is>
          <t>차량유지비</t>
        </is>
      </c>
      <c r="H59" s="61" t="n">
        <v>3986500</v>
      </c>
      <c r="J59" s="63">
        <f>IF($A59="","",IFERROR(INDEX(부서매핑!$C$5:$C$504,MATCH($D59&amp;"",부서매핑!$A$5:$A$504,0)),"미매핑"))</f>
        <v/>
      </c>
      <c r="K59" s="63">
        <f>IF($A59="","",IFERROR(INDEX(계정매핑!$C$5:$C$504,MATCH($F59&amp;"",계정매핑!$A$5:$A$504,0)),"미매핑"))</f>
        <v/>
      </c>
      <c r="L59" s="4">
        <f>IF($A59="","",VALUE($A59&amp;""))</f>
        <v/>
      </c>
      <c r="M59" s="4">
        <f>IF($A59="","",VALUE($B59&amp;""))</f>
        <v/>
      </c>
      <c r="N59" s="64">
        <f>IF($A59="","",$H59*설정!$C$15)</f>
        <v/>
      </c>
      <c r="O59" s="4">
        <f>IF($A59="","",J59&amp;"|"&amp;K59)</f>
        <v/>
      </c>
      <c r="P59" s="63">
        <f>IF($A59="","",IF(COUNTIFS(예산_원본!$T$5:$T$3004,O59,예산_원본!$B$5:$B$3004,설정!$C$8,예산_원본!$U$5:$U$3004,L59)&gt;0,"Y","N"))</f>
        <v/>
      </c>
      <c r="Q59" s="63">
        <f>IF($A59="","",IF(COUNTIF(집계!$E$7:$E$506,O59)&gt;0,"Y","N"))</f>
        <v/>
      </c>
    </row>
    <row r="60">
      <c r="A60" s="60" t="n">
        <v>2025</v>
      </c>
      <c r="B60" s="60" t="n">
        <v>1</v>
      </c>
      <c r="C60" s="60" t="inlineStr">
        <is>
          <t>1000</t>
        </is>
      </c>
      <c r="D60" s="60" t="n">
        <v>1602</v>
      </c>
      <c r="E60" s="60" t="inlineStr">
        <is>
          <t>영업지원-지역본부</t>
        </is>
      </c>
      <c r="F60" s="60" t="n">
        <v>62101000</v>
      </c>
      <c r="G60" s="60" t="inlineStr">
        <is>
          <t>여비교통비-국내</t>
        </is>
      </c>
      <c r="H60" s="61" t="n">
        <v>2923830</v>
      </c>
      <c r="J60" s="63">
        <f>IF($A60="","",IFERROR(INDEX(부서매핑!$C$5:$C$504,MATCH($D60&amp;"",부서매핑!$A$5:$A$504,0)),"미매핑"))</f>
        <v/>
      </c>
      <c r="K60" s="63">
        <f>IF($A60="","",IFERROR(INDEX(계정매핑!$C$5:$C$504,MATCH($F60&amp;"",계정매핑!$A$5:$A$504,0)),"미매핑"))</f>
        <v/>
      </c>
      <c r="L60" s="4">
        <f>IF($A60="","",VALUE($A60&amp;""))</f>
        <v/>
      </c>
      <c r="M60" s="4">
        <f>IF($A60="","",VALUE($B60&amp;""))</f>
        <v/>
      </c>
      <c r="N60" s="64">
        <f>IF($A60="","",$H60*설정!$C$15)</f>
        <v/>
      </c>
      <c r="O60" s="4">
        <f>IF($A60="","",J60&amp;"|"&amp;K60)</f>
        <v/>
      </c>
      <c r="P60" s="63">
        <f>IF($A60="","",IF(COUNTIFS(예산_원본!$T$5:$T$3004,O60,예산_원본!$B$5:$B$3004,설정!$C$8,예산_원본!$U$5:$U$3004,L60)&gt;0,"Y","N"))</f>
        <v/>
      </c>
      <c r="Q60" s="63">
        <f>IF($A60="","",IF(COUNTIF(집계!$E$7:$E$506,O60)&gt;0,"Y","N"))</f>
        <v/>
      </c>
    </row>
    <row r="61">
      <c r="A61" s="60" t="n">
        <v>2025</v>
      </c>
      <c r="B61" s="60" t="n">
        <v>1</v>
      </c>
      <c r="C61" s="60" t="inlineStr">
        <is>
          <t>1000</t>
        </is>
      </c>
      <c r="D61" s="60" t="n">
        <v>1602</v>
      </c>
      <c r="E61" s="60" t="inlineStr">
        <is>
          <t>영업지원-지역본부</t>
        </is>
      </c>
      <c r="F61" s="60" t="n">
        <v>62102000</v>
      </c>
      <c r="G61" s="60" t="inlineStr">
        <is>
          <t>여비교통비-해외</t>
        </is>
      </c>
      <c r="H61" s="61" t="n">
        <v>485650</v>
      </c>
      <c r="J61" s="63">
        <f>IF($A61="","",IFERROR(INDEX(부서매핑!$C$5:$C$504,MATCH($D61&amp;"",부서매핑!$A$5:$A$504,0)),"미매핑"))</f>
        <v/>
      </c>
      <c r="K61" s="63">
        <f>IF($A61="","",IFERROR(INDEX(계정매핑!$C$5:$C$504,MATCH($F61&amp;"",계정매핑!$A$5:$A$504,0)),"미매핑"))</f>
        <v/>
      </c>
      <c r="L61" s="4">
        <f>IF($A61="","",VALUE($A61&amp;""))</f>
        <v/>
      </c>
      <c r="M61" s="4">
        <f>IF($A61="","",VALUE($B61&amp;""))</f>
        <v/>
      </c>
      <c r="N61" s="64">
        <f>IF($A61="","",$H61*설정!$C$15)</f>
        <v/>
      </c>
      <c r="O61" s="4">
        <f>IF($A61="","",J61&amp;"|"&amp;K61)</f>
        <v/>
      </c>
      <c r="P61" s="63">
        <f>IF($A61="","",IF(COUNTIFS(예산_원본!$T$5:$T$3004,O61,예산_원본!$B$5:$B$3004,설정!$C$8,예산_원본!$U$5:$U$3004,L61)&gt;0,"Y","N"))</f>
        <v/>
      </c>
      <c r="Q61" s="63">
        <f>IF($A61="","",IF(COUNTIF(집계!$E$7:$E$506,O61)&gt;0,"Y","N"))</f>
        <v/>
      </c>
    </row>
    <row r="62">
      <c r="A62" s="60" t="n">
        <v>2025</v>
      </c>
      <c r="B62" s="60" t="n">
        <v>1</v>
      </c>
      <c r="C62" s="60" t="inlineStr">
        <is>
          <t>1000</t>
        </is>
      </c>
      <c r="D62" s="60" t="n">
        <v>1602</v>
      </c>
      <c r="E62" s="60" t="inlineStr">
        <is>
          <t>영업지원-지역본부</t>
        </is>
      </c>
      <c r="F62" s="60" t="n">
        <v>62201000</v>
      </c>
      <c r="G62" s="60" t="inlineStr">
        <is>
          <t>통신비</t>
        </is>
      </c>
      <c r="H62" s="61" t="n">
        <v>961880</v>
      </c>
      <c r="J62" s="63">
        <f>IF($A62="","",IFERROR(INDEX(부서매핑!$C$5:$C$504,MATCH($D62&amp;"",부서매핑!$A$5:$A$504,0)),"미매핑"))</f>
        <v/>
      </c>
      <c r="K62" s="63">
        <f>IF($A62="","",IFERROR(INDEX(계정매핑!$C$5:$C$504,MATCH($F62&amp;"",계정매핑!$A$5:$A$504,0)),"미매핑"))</f>
        <v/>
      </c>
      <c r="L62" s="4">
        <f>IF($A62="","",VALUE($A62&amp;""))</f>
        <v/>
      </c>
      <c r="M62" s="4">
        <f>IF($A62="","",VALUE($B62&amp;""))</f>
        <v/>
      </c>
      <c r="N62" s="64">
        <f>IF($A62="","",$H62*설정!$C$15)</f>
        <v/>
      </c>
      <c r="O62" s="4">
        <f>IF($A62="","",J62&amp;"|"&amp;K62)</f>
        <v/>
      </c>
      <c r="P62" s="63">
        <f>IF($A62="","",IF(COUNTIFS(예산_원본!$T$5:$T$3004,O62,예산_원본!$B$5:$B$3004,설정!$C$8,예산_원본!$U$5:$U$3004,L62)&gt;0,"Y","N"))</f>
        <v/>
      </c>
      <c r="Q62" s="63">
        <f>IF($A62="","",IF(COUNTIF(집계!$E$7:$E$506,O62)&gt;0,"Y","N"))</f>
        <v/>
      </c>
    </row>
    <row r="63">
      <c r="A63" s="60" t="n">
        <v>2025</v>
      </c>
      <c r="B63" s="60" t="n">
        <v>1</v>
      </c>
      <c r="C63" s="60" t="inlineStr">
        <is>
          <t>1000</t>
        </is>
      </c>
      <c r="D63" s="60" t="n">
        <v>1602</v>
      </c>
      <c r="E63" s="60" t="inlineStr">
        <is>
          <t>영업지원-지역본부</t>
        </is>
      </c>
      <c r="F63" s="60" t="n">
        <v>62301000</v>
      </c>
      <c r="G63" s="60" t="inlineStr">
        <is>
          <t>소모품비</t>
        </is>
      </c>
      <c r="H63" s="61" t="n">
        <v>583050</v>
      </c>
      <c r="J63" s="63">
        <f>IF($A63="","",IFERROR(INDEX(부서매핑!$C$5:$C$504,MATCH($D63&amp;"",부서매핑!$A$5:$A$504,0)),"미매핑"))</f>
        <v/>
      </c>
      <c r="K63" s="63">
        <f>IF($A63="","",IFERROR(INDEX(계정매핑!$C$5:$C$504,MATCH($F63&amp;"",계정매핑!$A$5:$A$504,0)),"미매핑"))</f>
        <v/>
      </c>
      <c r="L63" s="4">
        <f>IF($A63="","",VALUE($A63&amp;""))</f>
        <v/>
      </c>
      <c r="M63" s="4">
        <f>IF($A63="","",VALUE($B63&amp;""))</f>
        <v/>
      </c>
      <c r="N63" s="64">
        <f>IF($A63="","",$H63*설정!$C$15)</f>
        <v/>
      </c>
      <c r="O63" s="4">
        <f>IF($A63="","",J63&amp;"|"&amp;K63)</f>
        <v/>
      </c>
      <c r="P63" s="63">
        <f>IF($A63="","",IF(COUNTIFS(예산_원본!$T$5:$T$3004,O63,예산_원본!$B$5:$B$3004,설정!$C$8,예산_원본!$U$5:$U$3004,L63)&gt;0,"Y","N"))</f>
        <v/>
      </c>
      <c r="Q63" s="63">
        <f>IF($A63="","",IF(COUNTIF(집계!$E$7:$E$506,O63)&gt;0,"Y","N"))</f>
        <v/>
      </c>
    </row>
    <row r="64">
      <c r="A64" s="60" t="n">
        <v>2025</v>
      </c>
      <c r="B64" s="60" t="n">
        <v>1</v>
      </c>
      <c r="C64" s="60" t="inlineStr">
        <is>
          <t>1000</t>
        </is>
      </c>
      <c r="D64" s="60" t="n">
        <v>1602</v>
      </c>
      <c r="E64" s="60" t="inlineStr">
        <is>
          <t>영업지원-지역본부</t>
        </is>
      </c>
      <c r="F64" s="60" t="n">
        <v>62501000</v>
      </c>
      <c r="G64" s="60" t="inlineStr">
        <is>
          <t>회의비</t>
        </is>
      </c>
      <c r="H64" s="61" t="n">
        <v>611010</v>
      </c>
      <c r="J64" s="63">
        <f>IF($A64="","",IFERROR(INDEX(부서매핑!$C$5:$C$504,MATCH($D64&amp;"",부서매핑!$A$5:$A$504,0)),"미매핑"))</f>
        <v/>
      </c>
      <c r="K64" s="63">
        <f>IF($A64="","",IFERROR(INDEX(계정매핑!$C$5:$C$504,MATCH($F64&amp;"",계정매핑!$A$5:$A$504,0)),"미매핑"))</f>
        <v/>
      </c>
      <c r="L64" s="4">
        <f>IF($A64="","",VALUE($A64&amp;""))</f>
        <v/>
      </c>
      <c r="M64" s="4">
        <f>IF($A64="","",VALUE($B64&amp;""))</f>
        <v/>
      </c>
      <c r="N64" s="64">
        <f>IF($A64="","",$H64*설정!$C$15)</f>
        <v/>
      </c>
      <c r="O64" s="4">
        <f>IF($A64="","",J64&amp;"|"&amp;K64)</f>
        <v/>
      </c>
      <c r="P64" s="63">
        <f>IF($A64="","",IF(COUNTIFS(예산_원본!$T$5:$T$3004,O64,예산_원본!$B$5:$B$3004,설정!$C$8,예산_원본!$U$5:$U$3004,L64)&gt;0,"Y","N"))</f>
        <v/>
      </c>
      <c r="Q64" s="63">
        <f>IF($A64="","",IF(COUNTIF(집계!$E$7:$E$506,O64)&gt;0,"Y","N"))</f>
        <v/>
      </c>
    </row>
    <row r="65">
      <c r="A65" s="60" t="n">
        <v>2025</v>
      </c>
      <c r="B65" s="60" t="n">
        <v>1</v>
      </c>
      <c r="C65" s="60" t="inlineStr">
        <is>
          <t>1000</t>
        </is>
      </c>
      <c r="D65" s="60" t="n">
        <v>1602</v>
      </c>
      <c r="E65" s="60" t="inlineStr">
        <is>
          <t>영업지원-지역본부</t>
        </is>
      </c>
      <c r="F65" s="60" t="n">
        <v>62601000</v>
      </c>
      <c r="G65" s="60" t="inlineStr">
        <is>
          <t>업무추진비</t>
        </is>
      </c>
      <c r="H65" s="61" t="n">
        <v>1741420</v>
      </c>
      <c r="J65" s="63">
        <f>IF($A65="","",IFERROR(INDEX(부서매핑!$C$5:$C$504,MATCH($D65&amp;"",부서매핑!$A$5:$A$504,0)),"미매핑"))</f>
        <v/>
      </c>
      <c r="K65" s="63">
        <f>IF($A65="","",IFERROR(INDEX(계정매핑!$C$5:$C$504,MATCH($F65&amp;"",계정매핑!$A$5:$A$504,0)),"미매핑"))</f>
        <v/>
      </c>
      <c r="L65" s="4">
        <f>IF($A65="","",VALUE($A65&amp;""))</f>
        <v/>
      </c>
      <c r="M65" s="4">
        <f>IF($A65="","",VALUE($B65&amp;""))</f>
        <v/>
      </c>
      <c r="N65" s="64">
        <f>IF($A65="","",$H65*설정!$C$15)</f>
        <v/>
      </c>
      <c r="O65" s="4">
        <f>IF($A65="","",J65&amp;"|"&amp;K65)</f>
        <v/>
      </c>
      <c r="P65" s="63">
        <f>IF($A65="","",IF(COUNTIFS(예산_원본!$T$5:$T$3004,O65,예산_원본!$B$5:$B$3004,설정!$C$8,예산_원본!$U$5:$U$3004,L65)&gt;0,"Y","N"))</f>
        <v/>
      </c>
      <c r="Q65" s="63">
        <f>IF($A65="","",IF(COUNTIF(집계!$E$7:$E$506,O65)&gt;0,"Y","N"))</f>
        <v/>
      </c>
    </row>
    <row r="66">
      <c r="A66" s="60" t="n">
        <v>2025</v>
      </c>
      <c r="B66" s="60" t="n">
        <v>1</v>
      </c>
      <c r="C66" s="60" t="inlineStr">
        <is>
          <t>1000</t>
        </is>
      </c>
      <c r="D66" s="60" t="n">
        <v>1602</v>
      </c>
      <c r="E66" s="60" t="inlineStr">
        <is>
          <t>영업지원-지역본부</t>
        </is>
      </c>
      <c r="F66" s="60" t="n">
        <v>63101000</v>
      </c>
      <c r="G66" s="60" t="inlineStr">
        <is>
          <t>임차료</t>
        </is>
      </c>
      <c r="H66" s="61" t="n">
        <v>6953460</v>
      </c>
      <c r="J66" s="63">
        <f>IF($A66="","",IFERROR(INDEX(부서매핑!$C$5:$C$504,MATCH($D66&amp;"",부서매핑!$A$5:$A$504,0)),"미매핑"))</f>
        <v/>
      </c>
      <c r="K66" s="63">
        <f>IF($A66="","",IFERROR(INDEX(계정매핑!$C$5:$C$504,MATCH($F66&amp;"",계정매핑!$A$5:$A$504,0)),"미매핑"))</f>
        <v/>
      </c>
      <c r="L66" s="4">
        <f>IF($A66="","",VALUE($A66&amp;""))</f>
        <v/>
      </c>
      <c r="M66" s="4">
        <f>IF($A66="","",VALUE($B66&amp;""))</f>
        <v/>
      </c>
      <c r="N66" s="64">
        <f>IF($A66="","",$H66*설정!$C$15)</f>
        <v/>
      </c>
      <c r="O66" s="4">
        <f>IF($A66="","",J66&amp;"|"&amp;K66)</f>
        <v/>
      </c>
      <c r="P66" s="63">
        <f>IF($A66="","",IF(COUNTIFS(예산_원본!$T$5:$T$3004,O66,예산_원본!$B$5:$B$3004,설정!$C$8,예산_원본!$U$5:$U$3004,L66)&gt;0,"Y","N"))</f>
        <v/>
      </c>
      <c r="Q66" s="63">
        <f>IF($A66="","",IF(COUNTIF(집계!$E$7:$E$506,O66)&gt;0,"Y","N"))</f>
        <v/>
      </c>
    </row>
    <row r="67">
      <c r="A67" s="60" t="n">
        <v>2025</v>
      </c>
      <c r="B67" s="60" t="n">
        <v>1</v>
      </c>
      <c r="C67" s="60" t="inlineStr">
        <is>
          <t>1000</t>
        </is>
      </c>
      <c r="D67" s="60" t="n">
        <v>1602</v>
      </c>
      <c r="E67" s="60" t="inlineStr">
        <is>
          <t>영업지원-지역본부</t>
        </is>
      </c>
      <c r="F67" s="60" t="n">
        <v>63201000</v>
      </c>
      <c r="G67" s="60" t="inlineStr">
        <is>
          <t>차량유지비</t>
        </is>
      </c>
      <c r="H67" s="61" t="n">
        <v>2944820</v>
      </c>
      <c r="J67" s="63">
        <f>IF($A67="","",IFERROR(INDEX(부서매핑!$C$5:$C$504,MATCH($D67&amp;"",부서매핑!$A$5:$A$504,0)),"미매핑"))</f>
        <v/>
      </c>
      <c r="K67" s="63">
        <f>IF($A67="","",IFERROR(INDEX(계정매핑!$C$5:$C$504,MATCH($F67&amp;"",계정매핑!$A$5:$A$504,0)),"미매핑"))</f>
        <v/>
      </c>
      <c r="L67" s="4">
        <f>IF($A67="","",VALUE($A67&amp;""))</f>
        <v/>
      </c>
      <c r="M67" s="4">
        <f>IF($A67="","",VALUE($B67&amp;""))</f>
        <v/>
      </c>
      <c r="N67" s="64">
        <f>IF($A67="","",$H67*설정!$C$15)</f>
        <v/>
      </c>
      <c r="O67" s="4">
        <f>IF($A67="","",J67&amp;"|"&amp;K67)</f>
        <v/>
      </c>
      <c r="P67" s="63">
        <f>IF($A67="","",IF(COUNTIFS(예산_원본!$T$5:$T$3004,O67,예산_원본!$B$5:$B$3004,설정!$C$8,예산_원본!$U$5:$U$3004,L67)&gt;0,"Y","N"))</f>
        <v/>
      </c>
      <c r="Q67" s="63">
        <f>IF($A67="","",IF(COUNTIF(집계!$E$7:$E$506,O67)&gt;0,"Y","N"))</f>
        <v/>
      </c>
    </row>
    <row r="68">
      <c r="A68" s="60" t="n">
        <v>2025</v>
      </c>
      <c r="B68" s="60" t="n">
        <v>1</v>
      </c>
      <c r="C68" s="60" t="inlineStr">
        <is>
          <t>1000</t>
        </is>
      </c>
      <c r="D68" s="60" t="n">
        <v>1701</v>
      </c>
      <c r="E68" s="60" t="inlineStr">
        <is>
          <t>IT운영</t>
        </is>
      </c>
      <c r="F68" s="60" t="n">
        <v>62101000</v>
      </c>
      <c r="G68" s="60" t="inlineStr">
        <is>
          <t>여비교통비-국내</t>
        </is>
      </c>
      <c r="H68" s="61" t="n">
        <v>963680</v>
      </c>
      <c r="J68" s="63">
        <f>IF($A68="","",IFERROR(INDEX(부서매핑!$C$5:$C$504,MATCH($D68&amp;"",부서매핑!$A$5:$A$504,0)),"미매핑"))</f>
        <v/>
      </c>
      <c r="K68" s="63">
        <f>IF($A68="","",IFERROR(INDEX(계정매핑!$C$5:$C$504,MATCH($F68&amp;"",계정매핑!$A$5:$A$504,0)),"미매핑"))</f>
        <v/>
      </c>
      <c r="L68" s="4">
        <f>IF($A68="","",VALUE($A68&amp;""))</f>
        <v/>
      </c>
      <c r="M68" s="4">
        <f>IF($A68="","",VALUE($B68&amp;""))</f>
        <v/>
      </c>
      <c r="N68" s="64">
        <f>IF($A68="","",$H68*설정!$C$15)</f>
        <v/>
      </c>
      <c r="O68" s="4">
        <f>IF($A68="","",J68&amp;"|"&amp;K68)</f>
        <v/>
      </c>
      <c r="P68" s="63">
        <f>IF($A68="","",IF(COUNTIFS(예산_원본!$T$5:$T$3004,O68,예산_원본!$B$5:$B$3004,설정!$C$8,예산_원본!$U$5:$U$3004,L68)&gt;0,"Y","N"))</f>
        <v/>
      </c>
      <c r="Q68" s="63">
        <f>IF($A68="","",IF(COUNTIF(집계!$E$7:$E$506,O68)&gt;0,"Y","N"))</f>
        <v/>
      </c>
    </row>
    <row r="69">
      <c r="A69" s="60" t="n">
        <v>2025</v>
      </c>
      <c r="B69" s="60" t="n">
        <v>1</v>
      </c>
      <c r="C69" s="60" t="inlineStr">
        <is>
          <t>1000</t>
        </is>
      </c>
      <c r="D69" s="60" t="n">
        <v>1701</v>
      </c>
      <c r="E69" s="60" t="inlineStr">
        <is>
          <t>IT운영</t>
        </is>
      </c>
      <c r="F69" s="60" t="n">
        <v>62102000</v>
      </c>
      <c r="G69" s="60" t="inlineStr">
        <is>
          <t>여비교통비-해외</t>
        </is>
      </c>
      <c r="H69" s="61" t="n">
        <v>183880</v>
      </c>
      <c r="J69" s="63">
        <f>IF($A69="","",IFERROR(INDEX(부서매핑!$C$5:$C$504,MATCH($D69&amp;"",부서매핑!$A$5:$A$504,0)),"미매핑"))</f>
        <v/>
      </c>
      <c r="K69" s="63">
        <f>IF($A69="","",IFERROR(INDEX(계정매핑!$C$5:$C$504,MATCH($F69&amp;"",계정매핑!$A$5:$A$504,0)),"미매핑"))</f>
        <v/>
      </c>
      <c r="L69" s="4">
        <f>IF($A69="","",VALUE($A69&amp;""))</f>
        <v/>
      </c>
      <c r="M69" s="4">
        <f>IF($A69="","",VALUE($B69&amp;""))</f>
        <v/>
      </c>
      <c r="N69" s="64">
        <f>IF($A69="","",$H69*설정!$C$15)</f>
        <v/>
      </c>
      <c r="O69" s="4">
        <f>IF($A69="","",J69&amp;"|"&amp;K69)</f>
        <v/>
      </c>
      <c r="P69" s="63">
        <f>IF($A69="","",IF(COUNTIFS(예산_원본!$T$5:$T$3004,O69,예산_원본!$B$5:$B$3004,설정!$C$8,예산_원본!$U$5:$U$3004,L69)&gt;0,"Y","N"))</f>
        <v/>
      </c>
      <c r="Q69" s="63">
        <f>IF($A69="","",IF(COUNTIF(집계!$E$7:$E$506,O69)&gt;0,"Y","N"))</f>
        <v/>
      </c>
    </row>
    <row r="70">
      <c r="A70" s="60" t="n">
        <v>2025</v>
      </c>
      <c r="B70" s="60" t="n">
        <v>1</v>
      </c>
      <c r="C70" s="60" t="inlineStr">
        <is>
          <t>1000</t>
        </is>
      </c>
      <c r="D70" s="60" t="n">
        <v>1701</v>
      </c>
      <c r="E70" s="60" t="inlineStr">
        <is>
          <t>IT운영</t>
        </is>
      </c>
      <c r="F70" s="60" t="n">
        <v>62201000</v>
      </c>
      <c r="G70" s="60" t="inlineStr">
        <is>
          <t>통신비</t>
        </is>
      </c>
      <c r="H70" s="61" t="n">
        <v>12663270</v>
      </c>
      <c r="J70" s="63">
        <f>IF($A70="","",IFERROR(INDEX(부서매핑!$C$5:$C$504,MATCH($D70&amp;"",부서매핑!$A$5:$A$504,0)),"미매핑"))</f>
        <v/>
      </c>
      <c r="K70" s="63">
        <f>IF($A70="","",IFERROR(INDEX(계정매핑!$C$5:$C$504,MATCH($F70&amp;"",계정매핑!$A$5:$A$504,0)),"미매핑"))</f>
        <v/>
      </c>
      <c r="L70" s="4">
        <f>IF($A70="","",VALUE($A70&amp;""))</f>
        <v/>
      </c>
      <c r="M70" s="4">
        <f>IF($A70="","",VALUE($B70&amp;""))</f>
        <v/>
      </c>
      <c r="N70" s="64">
        <f>IF($A70="","",$H70*설정!$C$15)</f>
        <v/>
      </c>
      <c r="O70" s="4">
        <f>IF($A70="","",J70&amp;"|"&amp;K70)</f>
        <v/>
      </c>
      <c r="P70" s="63">
        <f>IF($A70="","",IF(COUNTIFS(예산_원본!$T$5:$T$3004,O70,예산_원본!$B$5:$B$3004,설정!$C$8,예산_원본!$U$5:$U$3004,L70)&gt;0,"Y","N"))</f>
        <v/>
      </c>
      <c r="Q70" s="63">
        <f>IF($A70="","",IF(COUNTIF(집계!$E$7:$E$506,O70)&gt;0,"Y","N"))</f>
        <v/>
      </c>
    </row>
    <row r="71">
      <c r="A71" s="60" t="n">
        <v>2025</v>
      </c>
      <c r="B71" s="60" t="n">
        <v>1</v>
      </c>
      <c r="C71" s="60" t="inlineStr">
        <is>
          <t>1000</t>
        </is>
      </c>
      <c r="D71" s="60" t="n">
        <v>1701</v>
      </c>
      <c r="E71" s="60" t="inlineStr">
        <is>
          <t>IT운영</t>
        </is>
      </c>
      <c r="F71" s="60" t="n">
        <v>62301000</v>
      </c>
      <c r="G71" s="60" t="inlineStr">
        <is>
          <t>소모품비</t>
        </is>
      </c>
      <c r="H71" s="61" t="n">
        <v>841940</v>
      </c>
      <c r="J71" s="63">
        <f>IF($A71="","",IFERROR(INDEX(부서매핑!$C$5:$C$504,MATCH($D71&amp;"",부서매핑!$A$5:$A$504,0)),"미매핑"))</f>
        <v/>
      </c>
      <c r="K71" s="63">
        <f>IF($A71="","",IFERROR(INDEX(계정매핑!$C$5:$C$504,MATCH($F71&amp;"",계정매핑!$A$5:$A$504,0)),"미매핑"))</f>
        <v/>
      </c>
      <c r="L71" s="4">
        <f>IF($A71="","",VALUE($A71&amp;""))</f>
        <v/>
      </c>
      <c r="M71" s="4">
        <f>IF($A71="","",VALUE($B71&amp;""))</f>
        <v/>
      </c>
      <c r="N71" s="64">
        <f>IF($A71="","",$H71*설정!$C$15)</f>
        <v/>
      </c>
      <c r="O71" s="4">
        <f>IF($A71="","",J71&amp;"|"&amp;K71)</f>
        <v/>
      </c>
      <c r="P71" s="63">
        <f>IF($A71="","",IF(COUNTIFS(예산_원본!$T$5:$T$3004,O71,예산_원본!$B$5:$B$3004,설정!$C$8,예산_원본!$U$5:$U$3004,L71)&gt;0,"Y","N"))</f>
        <v/>
      </c>
      <c r="Q71" s="63">
        <f>IF($A71="","",IF(COUNTIF(집계!$E$7:$E$506,O71)&gt;0,"Y","N"))</f>
        <v/>
      </c>
    </row>
    <row r="72">
      <c r="A72" s="60" t="n">
        <v>2025</v>
      </c>
      <c r="B72" s="60" t="n">
        <v>1</v>
      </c>
      <c r="C72" s="60" t="inlineStr">
        <is>
          <t>1000</t>
        </is>
      </c>
      <c r="D72" s="60" t="n">
        <v>1701</v>
      </c>
      <c r="E72" s="60" t="inlineStr">
        <is>
          <t>IT운영</t>
        </is>
      </c>
      <c r="F72" s="60" t="n">
        <v>62501000</v>
      </c>
      <c r="G72" s="60" t="inlineStr">
        <is>
          <t>회의비</t>
        </is>
      </c>
      <c r="H72" s="61" t="n">
        <v>294060</v>
      </c>
      <c r="J72" s="63">
        <f>IF($A72="","",IFERROR(INDEX(부서매핑!$C$5:$C$504,MATCH($D72&amp;"",부서매핑!$A$5:$A$504,0)),"미매핑"))</f>
        <v/>
      </c>
      <c r="K72" s="63">
        <f>IF($A72="","",IFERROR(INDEX(계정매핑!$C$5:$C$504,MATCH($F72&amp;"",계정매핑!$A$5:$A$504,0)),"미매핑"))</f>
        <v/>
      </c>
      <c r="L72" s="4">
        <f>IF($A72="","",VALUE($A72&amp;""))</f>
        <v/>
      </c>
      <c r="M72" s="4">
        <f>IF($A72="","",VALUE($B72&amp;""))</f>
        <v/>
      </c>
      <c r="N72" s="64">
        <f>IF($A72="","",$H72*설정!$C$15)</f>
        <v/>
      </c>
      <c r="O72" s="4">
        <f>IF($A72="","",J72&amp;"|"&amp;K72)</f>
        <v/>
      </c>
      <c r="P72" s="63">
        <f>IF($A72="","",IF(COUNTIFS(예산_원본!$T$5:$T$3004,O72,예산_원본!$B$5:$B$3004,설정!$C$8,예산_원본!$U$5:$U$3004,L72)&gt;0,"Y","N"))</f>
        <v/>
      </c>
      <c r="Q72" s="63">
        <f>IF($A72="","",IF(COUNTIF(집계!$E$7:$E$506,O72)&gt;0,"Y","N"))</f>
        <v/>
      </c>
    </row>
    <row r="73">
      <c r="A73" s="60" t="n">
        <v>2025</v>
      </c>
      <c r="B73" s="60" t="n">
        <v>1</v>
      </c>
      <c r="C73" s="60" t="inlineStr">
        <is>
          <t>1000</t>
        </is>
      </c>
      <c r="D73" s="60" t="n">
        <v>1701</v>
      </c>
      <c r="E73" s="60" t="inlineStr">
        <is>
          <t>IT운영</t>
        </is>
      </c>
      <c r="F73" s="60" t="n">
        <v>63001000</v>
      </c>
      <c r="G73" s="60" t="inlineStr">
        <is>
          <t>전산운영비-SW유지보수</t>
        </is>
      </c>
      <c r="H73" s="61" t="n">
        <v>97659850</v>
      </c>
      <c r="J73" s="63">
        <f>IF($A73="","",IFERROR(INDEX(부서매핑!$C$5:$C$504,MATCH($D73&amp;"",부서매핑!$A$5:$A$504,0)),"미매핑"))</f>
        <v/>
      </c>
      <c r="K73" s="63">
        <f>IF($A73="","",IFERROR(INDEX(계정매핑!$C$5:$C$504,MATCH($F73&amp;"",계정매핑!$A$5:$A$504,0)),"미매핑"))</f>
        <v/>
      </c>
      <c r="L73" s="4">
        <f>IF($A73="","",VALUE($A73&amp;""))</f>
        <v/>
      </c>
      <c r="M73" s="4">
        <f>IF($A73="","",VALUE($B73&amp;""))</f>
        <v/>
      </c>
      <c r="N73" s="64">
        <f>IF($A73="","",$H73*설정!$C$15)</f>
        <v/>
      </c>
      <c r="O73" s="4">
        <f>IF($A73="","",J73&amp;"|"&amp;K73)</f>
        <v/>
      </c>
      <c r="P73" s="63">
        <f>IF($A73="","",IF(COUNTIFS(예산_원본!$T$5:$T$3004,O73,예산_원본!$B$5:$B$3004,설정!$C$8,예산_원본!$U$5:$U$3004,L73)&gt;0,"Y","N"))</f>
        <v/>
      </c>
      <c r="Q73" s="63">
        <f>IF($A73="","",IF(COUNTIF(집계!$E$7:$E$506,O73)&gt;0,"Y","N"))</f>
        <v/>
      </c>
    </row>
    <row r="74">
      <c r="A74" s="60" t="n">
        <v>2025</v>
      </c>
      <c r="B74" s="60" t="n">
        <v>1</v>
      </c>
      <c r="C74" s="60" t="inlineStr">
        <is>
          <t>1000</t>
        </is>
      </c>
      <c r="D74" s="60" t="n">
        <v>1701</v>
      </c>
      <c r="E74" s="60" t="inlineStr">
        <is>
          <t>IT운영</t>
        </is>
      </c>
      <c r="F74" s="60" t="n">
        <v>63002000</v>
      </c>
      <c r="G74" s="60" t="inlineStr">
        <is>
          <t>전산운영비-클라우드</t>
        </is>
      </c>
      <c r="H74" s="61" t="n">
        <v>91852080</v>
      </c>
      <c r="J74" s="63">
        <f>IF($A74="","",IFERROR(INDEX(부서매핑!$C$5:$C$504,MATCH($D74&amp;"",부서매핑!$A$5:$A$504,0)),"미매핑"))</f>
        <v/>
      </c>
      <c r="K74" s="63">
        <f>IF($A74="","",IFERROR(INDEX(계정매핑!$C$5:$C$504,MATCH($F74&amp;"",계정매핑!$A$5:$A$504,0)),"미매핑"))</f>
        <v/>
      </c>
      <c r="L74" s="4">
        <f>IF($A74="","",VALUE($A74&amp;""))</f>
        <v/>
      </c>
      <c r="M74" s="4">
        <f>IF($A74="","",VALUE($B74&amp;""))</f>
        <v/>
      </c>
      <c r="N74" s="64">
        <f>IF($A74="","",$H74*설정!$C$15)</f>
        <v/>
      </c>
      <c r="O74" s="4">
        <f>IF($A74="","",J74&amp;"|"&amp;K74)</f>
        <v/>
      </c>
      <c r="P74" s="63">
        <f>IF($A74="","",IF(COUNTIFS(예산_원본!$T$5:$T$3004,O74,예산_원본!$B$5:$B$3004,설정!$C$8,예산_원본!$U$5:$U$3004,L74)&gt;0,"Y","N"))</f>
        <v/>
      </c>
      <c r="Q74" s="63">
        <f>IF($A74="","",IF(COUNTIF(집계!$E$7:$E$506,O74)&gt;0,"Y","N"))</f>
        <v/>
      </c>
    </row>
    <row r="75">
      <c r="A75" s="60" t="n">
        <v>2025</v>
      </c>
      <c r="B75" s="60" t="n">
        <v>1</v>
      </c>
      <c r="C75" s="60" t="inlineStr">
        <is>
          <t>1000</t>
        </is>
      </c>
      <c r="D75" s="60" t="n">
        <v>1801</v>
      </c>
      <c r="E75" s="60" t="inlineStr">
        <is>
          <t>고객서비스</t>
        </is>
      </c>
      <c r="F75" s="60" t="n">
        <v>62101000</v>
      </c>
      <c r="G75" s="60" t="inlineStr">
        <is>
          <t>여비교통비-국내</t>
        </is>
      </c>
      <c r="H75" s="61" t="n">
        <v>684890</v>
      </c>
      <c r="J75" s="63">
        <f>IF($A75="","",IFERROR(INDEX(부서매핑!$C$5:$C$504,MATCH($D75&amp;"",부서매핑!$A$5:$A$504,0)),"미매핑"))</f>
        <v/>
      </c>
      <c r="K75" s="63">
        <f>IF($A75="","",IFERROR(INDEX(계정매핑!$C$5:$C$504,MATCH($F75&amp;"",계정매핑!$A$5:$A$504,0)),"미매핑"))</f>
        <v/>
      </c>
      <c r="L75" s="4">
        <f>IF($A75="","",VALUE($A75&amp;""))</f>
        <v/>
      </c>
      <c r="M75" s="4">
        <f>IF($A75="","",VALUE($B75&amp;""))</f>
        <v/>
      </c>
      <c r="N75" s="64">
        <f>IF($A75="","",$H75*설정!$C$15)</f>
        <v/>
      </c>
      <c r="O75" s="4">
        <f>IF($A75="","",J75&amp;"|"&amp;K75)</f>
        <v/>
      </c>
      <c r="P75" s="63">
        <f>IF($A75="","",IF(COUNTIFS(예산_원본!$T$5:$T$3004,O75,예산_원본!$B$5:$B$3004,설정!$C$8,예산_원본!$U$5:$U$3004,L75)&gt;0,"Y","N"))</f>
        <v/>
      </c>
      <c r="Q75" s="63">
        <f>IF($A75="","",IF(COUNTIF(집계!$E$7:$E$506,O75)&gt;0,"Y","N"))</f>
        <v/>
      </c>
    </row>
    <row r="76">
      <c r="A76" s="60" t="n">
        <v>2025</v>
      </c>
      <c r="B76" s="60" t="n">
        <v>1</v>
      </c>
      <c r="C76" s="60" t="inlineStr">
        <is>
          <t>1000</t>
        </is>
      </c>
      <c r="D76" s="60" t="n">
        <v>1801</v>
      </c>
      <c r="E76" s="60" t="inlineStr">
        <is>
          <t>고객서비스</t>
        </is>
      </c>
      <c r="F76" s="60" t="n">
        <v>62102000</v>
      </c>
      <c r="G76" s="60" t="inlineStr">
        <is>
          <t>여비교통비-해외</t>
        </is>
      </c>
      <c r="H76" s="61" t="n">
        <v>117110</v>
      </c>
      <c r="J76" s="63">
        <f>IF($A76="","",IFERROR(INDEX(부서매핑!$C$5:$C$504,MATCH($D76&amp;"",부서매핑!$A$5:$A$504,0)),"미매핑"))</f>
        <v/>
      </c>
      <c r="K76" s="63">
        <f>IF($A76="","",IFERROR(INDEX(계정매핑!$C$5:$C$504,MATCH($F76&amp;"",계정매핑!$A$5:$A$504,0)),"미매핑"))</f>
        <v/>
      </c>
      <c r="L76" s="4">
        <f>IF($A76="","",VALUE($A76&amp;""))</f>
        <v/>
      </c>
      <c r="M76" s="4">
        <f>IF($A76="","",VALUE($B76&amp;""))</f>
        <v/>
      </c>
      <c r="N76" s="64">
        <f>IF($A76="","",$H76*설정!$C$15)</f>
        <v/>
      </c>
      <c r="O76" s="4">
        <f>IF($A76="","",J76&amp;"|"&amp;K76)</f>
        <v/>
      </c>
      <c r="P76" s="63">
        <f>IF($A76="","",IF(COUNTIFS(예산_원본!$T$5:$T$3004,O76,예산_원본!$B$5:$B$3004,설정!$C$8,예산_원본!$U$5:$U$3004,L76)&gt;0,"Y","N"))</f>
        <v/>
      </c>
      <c r="Q76" s="63">
        <f>IF($A76="","",IF(COUNTIF(집계!$E$7:$E$506,O76)&gt;0,"Y","N"))</f>
        <v/>
      </c>
    </row>
    <row r="77">
      <c r="A77" s="60" t="n">
        <v>2025</v>
      </c>
      <c r="B77" s="60" t="n">
        <v>1</v>
      </c>
      <c r="C77" s="60" t="inlineStr">
        <is>
          <t>1000</t>
        </is>
      </c>
      <c r="D77" s="60" t="n">
        <v>1801</v>
      </c>
      <c r="E77" s="60" t="inlineStr">
        <is>
          <t>고객서비스</t>
        </is>
      </c>
      <c r="F77" s="60" t="n">
        <v>62201000</v>
      </c>
      <c r="G77" s="60" t="inlineStr">
        <is>
          <t>통신비</t>
        </is>
      </c>
      <c r="H77" s="61" t="n">
        <v>16688270</v>
      </c>
      <c r="J77" s="63">
        <f>IF($A77="","",IFERROR(INDEX(부서매핑!$C$5:$C$504,MATCH($D77&amp;"",부서매핑!$A$5:$A$504,0)),"미매핑"))</f>
        <v/>
      </c>
      <c r="K77" s="63">
        <f>IF($A77="","",IFERROR(INDEX(계정매핑!$C$5:$C$504,MATCH($F77&amp;"",계정매핑!$A$5:$A$504,0)),"미매핑"))</f>
        <v/>
      </c>
      <c r="L77" s="4">
        <f>IF($A77="","",VALUE($A77&amp;""))</f>
        <v/>
      </c>
      <c r="M77" s="4">
        <f>IF($A77="","",VALUE($B77&amp;""))</f>
        <v/>
      </c>
      <c r="N77" s="64">
        <f>IF($A77="","",$H77*설정!$C$15)</f>
        <v/>
      </c>
      <c r="O77" s="4">
        <f>IF($A77="","",J77&amp;"|"&amp;K77)</f>
        <v/>
      </c>
      <c r="P77" s="63">
        <f>IF($A77="","",IF(COUNTIFS(예산_원본!$T$5:$T$3004,O77,예산_원본!$B$5:$B$3004,설정!$C$8,예산_원본!$U$5:$U$3004,L77)&gt;0,"Y","N"))</f>
        <v/>
      </c>
      <c r="Q77" s="63">
        <f>IF($A77="","",IF(COUNTIF(집계!$E$7:$E$506,O77)&gt;0,"Y","N"))</f>
        <v/>
      </c>
    </row>
    <row r="78">
      <c r="A78" s="60" t="n">
        <v>2025</v>
      </c>
      <c r="B78" s="60" t="n">
        <v>1</v>
      </c>
      <c r="C78" s="60" t="inlineStr">
        <is>
          <t>1000</t>
        </is>
      </c>
      <c r="D78" s="60" t="n">
        <v>1801</v>
      </c>
      <c r="E78" s="60" t="inlineStr">
        <is>
          <t>고객서비스</t>
        </is>
      </c>
      <c r="F78" s="60" t="n">
        <v>62301000</v>
      </c>
      <c r="G78" s="60" t="inlineStr">
        <is>
          <t>소모품비</t>
        </is>
      </c>
      <c r="H78" s="61" t="n">
        <v>1414100</v>
      </c>
      <c r="J78" s="63">
        <f>IF($A78="","",IFERROR(INDEX(부서매핑!$C$5:$C$504,MATCH($D78&amp;"",부서매핑!$A$5:$A$504,0)),"미매핑"))</f>
        <v/>
      </c>
      <c r="K78" s="63">
        <f>IF($A78="","",IFERROR(INDEX(계정매핑!$C$5:$C$504,MATCH($F78&amp;"",계정매핑!$A$5:$A$504,0)),"미매핑"))</f>
        <v/>
      </c>
      <c r="L78" s="4">
        <f>IF($A78="","",VALUE($A78&amp;""))</f>
        <v/>
      </c>
      <c r="M78" s="4">
        <f>IF($A78="","",VALUE($B78&amp;""))</f>
        <v/>
      </c>
      <c r="N78" s="64">
        <f>IF($A78="","",$H78*설정!$C$15)</f>
        <v/>
      </c>
      <c r="O78" s="4">
        <f>IF($A78="","",J78&amp;"|"&amp;K78)</f>
        <v/>
      </c>
      <c r="P78" s="63">
        <f>IF($A78="","",IF(COUNTIFS(예산_원본!$T$5:$T$3004,O78,예산_원본!$B$5:$B$3004,설정!$C$8,예산_원본!$U$5:$U$3004,L78)&gt;0,"Y","N"))</f>
        <v/>
      </c>
      <c r="Q78" s="63">
        <f>IF($A78="","",IF(COUNTIF(집계!$E$7:$E$506,O78)&gt;0,"Y","N"))</f>
        <v/>
      </c>
    </row>
    <row r="79">
      <c r="A79" s="60" t="n">
        <v>2025</v>
      </c>
      <c r="B79" s="60" t="n">
        <v>1</v>
      </c>
      <c r="C79" s="60" t="inlineStr">
        <is>
          <t>1000</t>
        </is>
      </c>
      <c r="D79" s="60" t="n">
        <v>1801</v>
      </c>
      <c r="E79" s="60" t="inlineStr">
        <is>
          <t>고객서비스</t>
        </is>
      </c>
      <c r="F79" s="60" t="n">
        <v>62401000</v>
      </c>
      <c r="G79" s="60" t="inlineStr">
        <is>
          <t>도서인쇄비</t>
        </is>
      </c>
      <c r="H79" s="61" t="n">
        <v>8349010</v>
      </c>
      <c r="J79" s="63">
        <f>IF($A79="","",IFERROR(INDEX(부서매핑!$C$5:$C$504,MATCH($D79&amp;"",부서매핑!$A$5:$A$504,0)),"미매핑"))</f>
        <v/>
      </c>
      <c r="K79" s="63">
        <f>IF($A79="","",IFERROR(INDEX(계정매핑!$C$5:$C$504,MATCH($F79&amp;"",계정매핑!$A$5:$A$504,0)),"미매핑"))</f>
        <v/>
      </c>
      <c r="L79" s="4">
        <f>IF($A79="","",VALUE($A79&amp;""))</f>
        <v/>
      </c>
      <c r="M79" s="4">
        <f>IF($A79="","",VALUE($B79&amp;""))</f>
        <v/>
      </c>
      <c r="N79" s="64">
        <f>IF($A79="","",$H79*설정!$C$15)</f>
        <v/>
      </c>
      <c r="O79" s="4">
        <f>IF($A79="","",J79&amp;"|"&amp;K79)</f>
        <v/>
      </c>
      <c r="P79" s="63">
        <f>IF($A79="","",IF(COUNTIFS(예산_원본!$T$5:$T$3004,O79,예산_원본!$B$5:$B$3004,설정!$C$8,예산_원본!$U$5:$U$3004,L79)&gt;0,"Y","N"))</f>
        <v/>
      </c>
      <c r="Q79" s="63">
        <f>IF($A79="","",IF(COUNTIF(집계!$E$7:$E$506,O79)&gt;0,"Y","N"))</f>
        <v/>
      </c>
    </row>
    <row r="80">
      <c r="A80" s="60" t="n">
        <v>2025</v>
      </c>
      <c r="B80" s="60" t="n">
        <v>1</v>
      </c>
      <c r="C80" s="60" t="inlineStr">
        <is>
          <t>1000</t>
        </is>
      </c>
      <c r="D80" s="60" t="n">
        <v>1801</v>
      </c>
      <c r="E80" s="60" t="inlineStr">
        <is>
          <t>고객서비스</t>
        </is>
      </c>
      <c r="F80" s="60" t="n">
        <v>62501000</v>
      </c>
      <c r="G80" s="60" t="inlineStr">
        <is>
          <t>회의비</t>
        </is>
      </c>
      <c r="H80" s="61" t="n">
        <v>469180</v>
      </c>
      <c r="J80" s="63">
        <f>IF($A80="","",IFERROR(INDEX(부서매핑!$C$5:$C$504,MATCH($D80&amp;"",부서매핑!$A$5:$A$504,0)),"미매핑"))</f>
        <v/>
      </c>
      <c r="K80" s="63">
        <f>IF($A80="","",IFERROR(INDEX(계정매핑!$C$5:$C$504,MATCH($F80&amp;"",계정매핑!$A$5:$A$504,0)),"미매핑"))</f>
        <v/>
      </c>
      <c r="L80" s="4">
        <f>IF($A80="","",VALUE($A80&amp;""))</f>
        <v/>
      </c>
      <c r="M80" s="4">
        <f>IF($A80="","",VALUE($B80&amp;""))</f>
        <v/>
      </c>
      <c r="N80" s="64">
        <f>IF($A80="","",$H80*설정!$C$15)</f>
        <v/>
      </c>
      <c r="O80" s="4">
        <f>IF($A80="","",J80&amp;"|"&amp;K80)</f>
        <v/>
      </c>
      <c r="P80" s="63">
        <f>IF($A80="","",IF(COUNTIFS(예산_원본!$T$5:$T$3004,O80,예산_원본!$B$5:$B$3004,설정!$C$8,예산_원본!$U$5:$U$3004,L80)&gt;0,"Y","N"))</f>
        <v/>
      </c>
      <c r="Q80" s="63">
        <f>IF($A80="","",IF(COUNTIF(집계!$E$7:$E$506,O80)&gt;0,"Y","N"))</f>
        <v/>
      </c>
    </row>
    <row r="81">
      <c r="A81" s="60" t="n">
        <v>2025</v>
      </c>
      <c r="B81" s="60" t="n">
        <v>1</v>
      </c>
      <c r="C81" s="60" t="inlineStr">
        <is>
          <t>1000</t>
        </is>
      </c>
      <c r="D81" s="60" t="n">
        <v>1801</v>
      </c>
      <c r="E81" s="60" t="inlineStr">
        <is>
          <t>고객서비스</t>
        </is>
      </c>
      <c r="F81" s="60" t="n">
        <v>62901000</v>
      </c>
      <c r="G81" s="60" t="inlineStr">
        <is>
          <t>지급수수료-컨설팅</t>
        </is>
      </c>
      <c r="H81" s="61" t="n">
        <v>35152480</v>
      </c>
      <c r="J81" s="63">
        <f>IF($A81="","",IFERROR(INDEX(부서매핑!$C$5:$C$504,MATCH($D81&amp;"",부서매핑!$A$5:$A$504,0)),"미매핑"))</f>
        <v/>
      </c>
      <c r="K81" s="63">
        <f>IF($A81="","",IFERROR(INDEX(계정매핑!$C$5:$C$504,MATCH($F81&amp;"",계정매핑!$A$5:$A$504,0)),"미매핑"))</f>
        <v/>
      </c>
      <c r="L81" s="4">
        <f>IF($A81="","",VALUE($A81&amp;""))</f>
        <v/>
      </c>
      <c r="M81" s="4">
        <f>IF($A81="","",VALUE($B81&amp;""))</f>
        <v/>
      </c>
      <c r="N81" s="64">
        <f>IF($A81="","",$H81*설정!$C$15)</f>
        <v/>
      </c>
      <c r="O81" s="4">
        <f>IF($A81="","",J81&amp;"|"&amp;K81)</f>
        <v/>
      </c>
      <c r="P81" s="63">
        <f>IF($A81="","",IF(COUNTIFS(예산_원본!$T$5:$T$3004,O81,예산_원본!$B$5:$B$3004,설정!$C$8,예산_원본!$U$5:$U$3004,L81)&gt;0,"Y","N"))</f>
        <v/>
      </c>
      <c r="Q81" s="63">
        <f>IF($A81="","",IF(COUNTIF(집계!$E$7:$E$506,O81)&gt;0,"Y","N"))</f>
        <v/>
      </c>
    </row>
    <row r="82">
      <c r="A82" s="60" t="n">
        <v>2025</v>
      </c>
      <c r="B82" s="60" t="n">
        <v>1</v>
      </c>
      <c r="C82" s="60" t="inlineStr">
        <is>
          <t>1000</t>
        </is>
      </c>
      <c r="D82" s="60" t="n">
        <v>1801</v>
      </c>
      <c r="E82" s="60" t="inlineStr">
        <is>
          <t>고객서비스</t>
        </is>
      </c>
      <c r="F82" s="60" t="n">
        <v>62902000</v>
      </c>
      <c r="G82" s="60" t="inlineStr">
        <is>
          <t>지급수수료-기타</t>
        </is>
      </c>
      <c r="H82" s="61" t="n">
        <v>13450330</v>
      </c>
      <c r="J82" s="63">
        <f>IF($A82="","",IFERROR(INDEX(부서매핑!$C$5:$C$504,MATCH($D82&amp;"",부서매핑!$A$5:$A$504,0)),"미매핑"))</f>
        <v/>
      </c>
      <c r="K82" s="63">
        <f>IF($A82="","",IFERROR(INDEX(계정매핑!$C$5:$C$504,MATCH($F82&amp;"",계정매핑!$A$5:$A$504,0)),"미매핑"))</f>
        <v/>
      </c>
      <c r="L82" s="4">
        <f>IF($A82="","",VALUE($A82&amp;""))</f>
        <v/>
      </c>
      <c r="M82" s="4">
        <f>IF($A82="","",VALUE($B82&amp;""))</f>
        <v/>
      </c>
      <c r="N82" s="64">
        <f>IF($A82="","",$H82*설정!$C$15)</f>
        <v/>
      </c>
      <c r="O82" s="4">
        <f>IF($A82="","",J82&amp;"|"&amp;K82)</f>
        <v/>
      </c>
      <c r="P82" s="63">
        <f>IF($A82="","",IF(COUNTIFS(예산_원본!$T$5:$T$3004,O82,예산_원본!$B$5:$B$3004,설정!$C$8,예산_원본!$U$5:$U$3004,L82)&gt;0,"Y","N"))</f>
        <v/>
      </c>
      <c r="Q82" s="63">
        <f>IF($A82="","",IF(COUNTIF(집계!$E$7:$E$506,O82)&gt;0,"Y","N"))</f>
        <v/>
      </c>
    </row>
    <row r="83">
      <c r="A83" s="60" t="n">
        <v>2025</v>
      </c>
      <c r="B83" s="60" t="n">
        <v>2</v>
      </c>
      <c r="C83" s="60" t="inlineStr">
        <is>
          <t>1000</t>
        </is>
      </c>
      <c r="D83" s="60" t="n">
        <v>1101</v>
      </c>
      <c r="E83" s="60" t="inlineStr">
        <is>
          <t>경영기획</t>
        </is>
      </c>
      <c r="F83" s="60" t="n">
        <v>62101000</v>
      </c>
      <c r="G83" s="60" t="inlineStr">
        <is>
          <t>여비교통비-국내</t>
        </is>
      </c>
      <c r="H83" s="61" t="n">
        <v>1946760</v>
      </c>
      <c r="J83" s="63">
        <f>IF($A83="","",IFERROR(INDEX(부서매핑!$C$5:$C$504,MATCH($D83&amp;"",부서매핑!$A$5:$A$504,0)),"미매핑"))</f>
        <v/>
      </c>
      <c r="K83" s="63">
        <f>IF($A83="","",IFERROR(INDEX(계정매핑!$C$5:$C$504,MATCH($F83&amp;"",계정매핑!$A$5:$A$504,0)),"미매핑"))</f>
        <v/>
      </c>
      <c r="L83" s="4">
        <f>IF($A83="","",VALUE($A83&amp;""))</f>
        <v/>
      </c>
      <c r="M83" s="4">
        <f>IF($A83="","",VALUE($B83&amp;""))</f>
        <v/>
      </c>
      <c r="N83" s="64">
        <f>IF($A83="","",$H83*설정!$C$15)</f>
        <v/>
      </c>
      <c r="O83" s="4">
        <f>IF($A83="","",J83&amp;"|"&amp;K83)</f>
        <v/>
      </c>
      <c r="P83" s="63">
        <f>IF($A83="","",IF(COUNTIFS(예산_원본!$T$5:$T$3004,O83,예산_원본!$B$5:$B$3004,설정!$C$8,예산_원본!$U$5:$U$3004,L83)&gt;0,"Y","N"))</f>
        <v/>
      </c>
      <c r="Q83" s="63">
        <f>IF($A83="","",IF(COUNTIF(집계!$E$7:$E$506,O83)&gt;0,"Y","N"))</f>
        <v/>
      </c>
    </row>
    <row r="84">
      <c r="A84" s="60" t="n">
        <v>2025</v>
      </c>
      <c r="B84" s="60" t="n">
        <v>2</v>
      </c>
      <c r="C84" s="60" t="inlineStr">
        <is>
          <t>1000</t>
        </is>
      </c>
      <c r="D84" s="60" t="n">
        <v>1101</v>
      </c>
      <c r="E84" s="60" t="inlineStr">
        <is>
          <t>경영기획</t>
        </is>
      </c>
      <c r="F84" s="60" t="n">
        <v>62102000</v>
      </c>
      <c r="G84" s="60" t="inlineStr">
        <is>
          <t>여비교통비-해외</t>
        </is>
      </c>
      <c r="H84" s="61" t="n">
        <v>377420</v>
      </c>
      <c r="J84" s="63">
        <f>IF($A84="","",IFERROR(INDEX(부서매핑!$C$5:$C$504,MATCH($D84&amp;"",부서매핑!$A$5:$A$504,0)),"미매핑"))</f>
        <v/>
      </c>
      <c r="K84" s="63">
        <f>IF($A84="","",IFERROR(INDEX(계정매핑!$C$5:$C$504,MATCH($F84&amp;"",계정매핑!$A$5:$A$504,0)),"미매핑"))</f>
        <v/>
      </c>
      <c r="L84" s="4">
        <f>IF($A84="","",VALUE($A84&amp;""))</f>
        <v/>
      </c>
      <c r="M84" s="4">
        <f>IF($A84="","",VALUE($B84&amp;""))</f>
        <v/>
      </c>
      <c r="N84" s="64">
        <f>IF($A84="","",$H84*설정!$C$15)</f>
        <v/>
      </c>
      <c r="O84" s="4">
        <f>IF($A84="","",J84&amp;"|"&amp;K84)</f>
        <v/>
      </c>
      <c r="P84" s="63">
        <f>IF($A84="","",IF(COUNTIFS(예산_원본!$T$5:$T$3004,O84,예산_원본!$B$5:$B$3004,설정!$C$8,예산_원본!$U$5:$U$3004,L84)&gt;0,"Y","N"))</f>
        <v/>
      </c>
      <c r="Q84" s="63">
        <f>IF($A84="","",IF(COUNTIF(집계!$E$7:$E$506,O84)&gt;0,"Y","N"))</f>
        <v/>
      </c>
    </row>
    <row r="85">
      <c r="A85" s="60" t="n">
        <v>2025</v>
      </c>
      <c r="B85" s="60" t="n">
        <v>2</v>
      </c>
      <c r="C85" s="60" t="inlineStr">
        <is>
          <t>1000</t>
        </is>
      </c>
      <c r="D85" s="60" t="n">
        <v>1101</v>
      </c>
      <c r="E85" s="60" t="inlineStr">
        <is>
          <t>경영기획</t>
        </is>
      </c>
      <c r="F85" s="60" t="n">
        <v>62201000</v>
      </c>
      <c r="G85" s="60" t="inlineStr">
        <is>
          <t>통신비</t>
        </is>
      </c>
      <c r="H85" s="61" t="n">
        <v>747260</v>
      </c>
      <c r="J85" s="63">
        <f>IF($A85="","",IFERROR(INDEX(부서매핑!$C$5:$C$504,MATCH($D85&amp;"",부서매핑!$A$5:$A$504,0)),"미매핑"))</f>
        <v/>
      </c>
      <c r="K85" s="63">
        <f>IF($A85="","",IFERROR(INDEX(계정매핑!$C$5:$C$504,MATCH($F85&amp;"",계정매핑!$A$5:$A$504,0)),"미매핑"))</f>
        <v/>
      </c>
      <c r="L85" s="4">
        <f>IF($A85="","",VALUE($A85&amp;""))</f>
        <v/>
      </c>
      <c r="M85" s="4">
        <f>IF($A85="","",VALUE($B85&amp;""))</f>
        <v/>
      </c>
      <c r="N85" s="64">
        <f>IF($A85="","",$H85*설정!$C$15)</f>
        <v/>
      </c>
      <c r="O85" s="4">
        <f>IF($A85="","",J85&amp;"|"&amp;K85)</f>
        <v/>
      </c>
      <c r="P85" s="63">
        <f>IF($A85="","",IF(COUNTIFS(예산_원본!$T$5:$T$3004,O85,예산_원본!$B$5:$B$3004,설정!$C$8,예산_원본!$U$5:$U$3004,L85)&gt;0,"Y","N"))</f>
        <v/>
      </c>
      <c r="Q85" s="63">
        <f>IF($A85="","",IF(COUNTIF(집계!$E$7:$E$506,O85)&gt;0,"Y","N"))</f>
        <v/>
      </c>
    </row>
    <row r="86">
      <c r="A86" s="60" t="n">
        <v>2025</v>
      </c>
      <c r="B86" s="60" t="n">
        <v>2</v>
      </c>
      <c r="C86" s="60" t="inlineStr">
        <is>
          <t>1000</t>
        </is>
      </c>
      <c r="D86" s="60" t="n">
        <v>1101</v>
      </c>
      <c r="E86" s="60" t="inlineStr">
        <is>
          <t>경영기획</t>
        </is>
      </c>
      <c r="F86" s="60" t="n">
        <v>62301000</v>
      </c>
      <c r="G86" s="60" t="inlineStr">
        <is>
          <t>소모품비</t>
        </is>
      </c>
      <c r="H86" s="61" t="n">
        <v>532110</v>
      </c>
      <c r="J86" s="63">
        <f>IF($A86="","",IFERROR(INDEX(부서매핑!$C$5:$C$504,MATCH($D86&amp;"",부서매핑!$A$5:$A$504,0)),"미매핑"))</f>
        <v/>
      </c>
      <c r="K86" s="63">
        <f>IF($A86="","",IFERROR(INDEX(계정매핑!$C$5:$C$504,MATCH($F86&amp;"",계정매핑!$A$5:$A$504,0)),"미매핑"))</f>
        <v/>
      </c>
      <c r="L86" s="4">
        <f>IF($A86="","",VALUE($A86&amp;""))</f>
        <v/>
      </c>
      <c r="M86" s="4">
        <f>IF($A86="","",VALUE($B86&amp;""))</f>
        <v/>
      </c>
      <c r="N86" s="64">
        <f>IF($A86="","",$H86*설정!$C$15)</f>
        <v/>
      </c>
      <c r="O86" s="4">
        <f>IF($A86="","",J86&amp;"|"&amp;K86)</f>
        <v/>
      </c>
      <c r="P86" s="63">
        <f>IF($A86="","",IF(COUNTIFS(예산_원본!$T$5:$T$3004,O86,예산_원본!$B$5:$B$3004,설정!$C$8,예산_원본!$U$5:$U$3004,L86)&gt;0,"Y","N"))</f>
        <v/>
      </c>
      <c r="Q86" s="63">
        <f>IF($A86="","",IF(COUNTIF(집계!$E$7:$E$506,O86)&gt;0,"Y","N"))</f>
        <v/>
      </c>
    </row>
    <row r="87">
      <c r="A87" s="60" t="n">
        <v>2025</v>
      </c>
      <c r="B87" s="60" t="n">
        <v>2</v>
      </c>
      <c r="C87" s="60" t="inlineStr">
        <is>
          <t>1000</t>
        </is>
      </c>
      <c r="D87" s="60" t="n">
        <v>1101</v>
      </c>
      <c r="E87" s="60" t="inlineStr">
        <is>
          <t>경영기획</t>
        </is>
      </c>
      <c r="F87" s="60" t="n">
        <v>62501000</v>
      </c>
      <c r="G87" s="60" t="inlineStr">
        <is>
          <t>회의비</t>
        </is>
      </c>
      <c r="H87" s="61" t="n">
        <v>801870</v>
      </c>
      <c r="J87" s="63">
        <f>IF($A87="","",IFERROR(INDEX(부서매핑!$C$5:$C$504,MATCH($D87&amp;"",부서매핑!$A$5:$A$504,0)),"미매핑"))</f>
        <v/>
      </c>
      <c r="K87" s="63">
        <f>IF($A87="","",IFERROR(INDEX(계정매핑!$C$5:$C$504,MATCH($F87&amp;"",계정매핑!$A$5:$A$504,0)),"미매핑"))</f>
        <v/>
      </c>
      <c r="L87" s="4">
        <f>IF($A87="","",VALUE($A87&amp;""))</f>
        <v/>
      </c>
      <c r="M87" s="4">
        <f>IF($A87="","",VALUE($B87&amp;""))</f>
        <v/>
      </c>
      <c r="N87" s="64">
        <f>IF($A87="","",$H87*설정!$C$15)</f>
        <v/>
      </c>
      <c r="O87" s="4">
        <f>IF($A87="","",J87&amp;"|"&amp;K87)</f>
        <v/>
      </c>
      <c r="P87" s="63">
        <f>IF($A87="","",IF(COUNTIFS(예산_원본!$T$5:$T$3004,O87,예산_원본!$B$5:$B$3004,설정!$C$8,예산_원본!$U$5:$U$3004,L87)&gt;0,"Y","N"))</f>
        <v/>
      </c>
      <c r="Q87" s="63">
        <f>IF($A87="","",IF(COUNTIF(집계!$E$7:$E$506,O87)&gt;0,"Y","N"))</f>
        <v/>
      </c>
    </row>
    <row r="88">
      <c r="A88" s="60" t="n">
        <v>2025</v>
      </c>
      <c r="B88" s="60" t="n">
        <v>2</v>
      </c>
      <c r="C88" s="60" t="inlineStr">
        <is>
          <t>1000</t>
        </is>
      </c>
      <c r="D88" s="60" t="n">
        <v>1101</v>
      </c>
      <c r="E88" s="60" t="inlineStr">
        <is>
          <t>경영기획</t>
        </is>
      </c>
      <c r="F88" s="60" t="n">
        <v>62601000</v>
      </c>
      <c r="G88" s="60" t="inlineStr">
        <is>
          <t>업무추진비</t>
        </is>
      </c>
      <c r="H88" s="61" t="n">
        <v>4300190</v>
      </c>
      <c r="J88" s="63">
        <f>IF($A88="","",IFERROR(INDEX(부서매핑!$C$5:$C$504,MATCH($D88&amp;"",부서매핑!$A$5:$A$504,0)),"미매핑"))</f>
        <v/>
      </c>
      <c r="K88" s="63">
        <f>IF($A88="","",IFERROR(INDEX(계정매핑!$C$5:$C$504,MATCH($F88&amp;"",계정매핑!$A$5:$A$504,0)),"미매핑"))</f>
        <v/>
      </c>
      <c r="L88" s="4">
        <f>IF($A88="","",VALUE($A88&amp;""))</f>
        <v/>
      </c>
      <c r="M88" s="4">
        <f>IF($A88="","",VALUE($B88&amp;""))</f>
        <v/>
      </c>
      <c r="N88" s="64">
        <f>IF($A88="","",$H88*설정!$C$15)</f>
        <v/>
      </c>
      <c r="O88" s="4">
        <f>IF($A88="","",J88&amp;"|"&amp;K88)</f>
        <v/>
      </c>
      <c r="P88" s="63">
        <f>IF($A88="","",IF(COUNTIFS(예산_원본!$T$5:$T$3004,O88,예산_원본!$B$5:$B$3004,설정!$C$8,예산_원본!$U$5:$U$3004,L88)&gt;0,"Y","N"))</f>
        <v/>
      </c>
      <c r="Q88" s="63">
        <f>IF($A88="","",IF(COUNTIF(집계!$E$7:$E$506,O88)&gt;0,"Y","N"))</f>
        <v/>
      </c>
    </row>
    <row r="89">
      <c r="A89" s="60" t="n">
        <v>2025</v>
      </c>
      <c r="B89" s="60" t="n">
        <v>2</v>
      </c>
      <c r="C89" s="60" t="inlineStr">
        <is>
          <t>1000</t>
        </is>
      </c>
      <c r="D89" s="60" t="n">
        <v>1101</v>
      </c>
      <c r="E89" s="60" t="inlineStr">
        <is>
          <t>경영기획</t>
        </is>
      </c>
      <c r="F89" s="60" t="n">
        <v>62901000</v>
      </c>
      <c r="G89" s="60" t="inlineStr">
        <is>
          <t>지급수수료-컨설팅</t>
        </is>
      </c>
      <c r="H89" s="61" t="n">
        <v>13488790</v>
      </c>
      <c r="J89" s="63">
        <f>IF($A89="","",IFERROR(INDEX(부서매핑!$C$5:$C$504,MATCH($D89&amp;"",부서매핑!$A$5:$A$504,0)),"미매핑"))</f>
        <v/>
      </c>
      <c r="K89" s="63">
        <f>IF($A89="","",IFERROR(INDEX(계정매핑!$C$5:$C$504,MATCH($F89&amp;"",계정매핑!$A$5:$A$504,0)),"미매핑"))</f>
        <v/>
      </c>
      <c r="L89" s="4">
        <f>IF($A89="","",VALUE($A89&amp;""))</f>
        <v/>
      </c>
      <c r="M89" s="4">
        <f>IF($A89="","",VALUE($B89&amp;""))</f>
        <v/>
      </c>
      <c r="N89" s="64">
        <f>IF($A89="","",$H89*설정!$C$15)</f>
        <v/>
      </c>
      <c r="O89" s="4">
        <f>IF($A89="","",J89&amp;"|"&amp;K89)</f>
        <v/>
      </c>
      <c r="P89" s="63">
        <f>IF($A89="","",IF(COUNTIFS(예산_원본!$T$5:$T$3004,O89,예산_원본!$B$5:$B$3004,설정!$C$8,예산_원본!$U$5:$U$3004,L89)&gt;0,"Y","N"))</f>
        <v/>
      </c>
      <c r="Q89" s="63">
        <f>IF($A89="","",IF(COUNTIF(집계!$E$7:$E$506,O89)&gt;0,"Y","N"))</f>
        <v/>
      </c>
    </row>
    <row r="90">
      <c r="A90" s="60" t="n">
        <v>2025</v>
      </c>
      <c r="B90" s="60" t="n">
        <v>2</v>
      </c>
      <c r="C90" s="60" t="inlineStr">
        <is>
          <t>1000</t>
        </is>
      </c>
      <c r="D90" s="60" t="n">
        <v>1101</v>
      </c>
      <c r="E90" s="60" t="inlineStr">
        <is>
          <t>경영기획</t>
        </is>
      </c>
      <c r="F90" s="60" t="n">
        <v>62902000</v>
      </c>
      <c r="G90" s="60" t="inlineStr">
        <is>
          <t>지급수수료-기타</t>
        </is>
      </c>
      <c r="H90" s="61" t="n">
        <v>5263540</v>
      </c>
      <c r="J90" s="63">
        <f>IF($A90="","",IFERROR(INDEX(부서매핑!$C$5:$C$504,MATCH($D90&amp;"",부서매핑!$A$5:$A$504,0)),"미매핑"))</f>
        <v/>
      </c>
      <c r="K90" s="63">
        <f>IF($A90="","",IFERROR(INDEX(계정매핑!$C$5:$C$504,MATCH($F90&amp;"",계정매핑!$A$5:$A$504,0)),"미매핑"))</f>
        <v/>
      </c>
      <c r="L90" s="4">
        <f>IF($A90="","",VALUE($A90&amp;""))</f>
        <v/>
      </c>
      <c r="M90" s="4">
        <f>IF($A90="","",VALUE($B90&amp;""))</f>
        <v/>
      </c>
      <c r="N90" s="64">
        <f>IF($A90="","",$H90*설정!$C$15)</f>
        <v/>
      </c>
      <c r="O90" s="4">
        <f>IF($A90="","",J90&amp;"|"&amp;K90)</f>
        <v/>
      </c>
      <c r="P90" s="63">
        <f>IF($A90="","",IF(COUNTIFS(예산_원본!$T$5:$T$3004,O90,예산_원본!$B$5:$B$3004,설정!$C$8,예산_원본!$U$5:$U$3004,L90)&gt;0,"Y","N"))</f>
        <v/>
      </c>
      <c r="Q90" s="63">
        <f>IF($A90="","",IF(COUNTIF(집계!$E$7:$E$506,O90)&gt;0,"Y","N"))</f>
        <v/>
      </c>
    </row>
    <row r="91">
      <c r="A91" s="60" t="n">
        <v>2025</v>
      </c>
      <c r="B91" s="60" t="n">
        <v>2</v>
      </c>
      <c r="C91" s="60" t="inlineStr">
        <is>
          <t>1000</t>
        </is>
      </c>
      <c r="D91" s="60" t="n">
        <v>1201</v>
      </c>
      <c r="E91" s="60" t="inlineStr">
        <is>
          <t>재무회계</t>
        </is>
      </c>
      <c r="F91" s="60" t="n">
        <v>62101000</v>
      </c>
      <c r="G91" s="60" t="inlineStr">
        <is>
          <t>여비교통비-국내</t>
        </is>
      </c>
      <c r="H91" s="61" t="n">
        <v>1297910</v>
      </c>
      <c r="J91" s="63">
        <f>IF($A91="","",IFERROR(INDEX(부서매핑!$C$5:$C$504,MATCH($D91&amp;"",부서매핑!$A$5:$A$504,0)),"미매핑"))</f>
        <v/>
      </c>
      <c r="K91" s="63">
        <f>IF($A91="","",IFERROR(INDEX(계정매핑!$C$5:$C$504,MATCH($F91&amp;"",계정매핑!$A$5:$A$504,0)),"미매핑"))</f>
        <v/>
      </c>
      <c r="L91" s="4">
        <f>IF($A91="","",VALUE($A91&amp;""))</f>
        <v/>
      </c>
      <c r="M91" s="4">
        <f>IF($A91="","",VALUE($B91&amp;""))</f>
        <v/>
      </c>
      <c r="N91" s="64">
        <f>IF($A91="","",$H91*설정!$C$15)</f>
        <v/>
      </c>
      <c r="O91" s="4">
        <f>IF($A91="","",J91&amp;"|"&amp;K91)</f>
        <v/>
      </c>
      <c r="P91" s="63">
        <f>IF($A91="","",IF(COUNTIFS(예산_원본!$T$5:$T$3004,O91,예산_원본!$B$5:$B$3004,설정!$C$8,예산_원본!$U$5:$U$3004,L91)&gt;0,"Y","N"))</f>
        <v/>
      </c>
      <c r="Q91" s="63">
        <f>IF($A91="","",IF(COUNTIF(집계!$E$7:$E$506,O91)&gt;0,"Y","N"))</f>
        <v/>
      </c>
    </row>
    <row r="92">
      <c r="A92" s="60" t="n">
        <v>2025</v>
      </c>
      <c r="B92" s="60" t="n">
        <v>2</v>
      </c>
      <c r="C92" s="60" t="inlineStr">
        <is>
          <t>1000</t>
        </is>
      </c>
      <c r="D92" s="60" t="n">
        <v>1201</v>
      </c>
      <c r="E92" s="60" t="inlineStr">
        <is>
          <t>재무회계</t>
        </is>
      </c>
      <c r="F92" s="60" t="n">
        <v>62102000</v>
      </c>
      <c r="G92" s="60" t="inlineStr">
        <is>
          <t>여비교통비-해외</t>
        </is>
      </c>
      <c r="H92" s="61" t="n">
        <v>242310</v>
      </c>
      <c r="J92" s="63">
        <f>IF($A92="","",IFERROR(INDEX(부서매핑!$C$5:$C$504,MATCH($D92&amp;"",부서매핑!$A$5:$A$504,0)),"미매핑"))</f>
        <v/>
      </c>
      <c r="K92" s="63">
        <f>IF($A92="","",IFERROR(INDEX(계정매핑!$C$5:$C$504,MATCH($F92&amp;"",계정매핑!$A$5:$A$504,0)),"미매핑"))</f>
        <v/>
      </c>
      <c r="L92" s="4">
        <f>IF($A92="","",VALUE($A92&amp;""))</f>
        <v/>
      </c>
      <c r="M92" s="4">
        <f>IF($A92="","",VALUE($B92&amp;""))</f>
        <v/>
      </c>
      <c r="N92" s="64">
        <f>IF($A92="","",$H92*설정!$C$15)</f>
        <v/>
      </c>
      <c r="O92" s="4">
        <f>IF($A92="","",J92&amp;"|"&amp;K92)</f>
        <v/>
      </c>
      <c r="P92" s="63">
        <f>IF($A92="","",IF(COUNTIFS(예산_원본!$T$5:$T$3004,O92,예산_원본!$B$5:$B$3004,설정!$C$8,예산_원본!$U$5:$U$3004,L92)&gt;0,"Y","N"))</f>
        <v/>
      </c>
      <c r="Q92" s="63">
        <f>IF($A92="","",IF(COUNTIF(집계!$E$7:$E$506,O92)&gt;0,"Y","N"))</f>
        <v/>
      </c>
    </row>
    <row r="93">
      <c r="A93" s="60" t="n">
        <v>2025</v>
      </c>
      <c r="B93" s="60" t="n">
        <v>2</v>
      </c>
      <c r="C93" s="60" t="inlineStr">
        <is>
          <t>1000</t>
        </is>
      </c>
      <c r="D93" s="60" t="n">
        <v>1201</v>
      </c>
      <c r="E93" s="60" t="inlineStr">
        <is>
          <t>재무회계</t>
        </is>
      </c>
      <c r="F93" s="60" t="n">
        <v>62201000</v>
      </c>
      <c r="G93" s="60" t="inlineStr">
        <is>
          <t>통신비</t>
        </is>
      </c>
      <c r="H93" s="61" t="n">
        <v>451080</v>
      </c>
      <c r="J93" s="63">
        <f>IF($A93="","",IFERROR(INDEX(부서매핑!$C$5:$C$504,MATCH($D93&amp;"",부서매핑!$A$5:$A$504,0)),"미매핑"))</f>
        <v/>
      </c>
      <c r="K93" s="63">
        <f>IF($A93="","",IFERROR(INDEX(계정매핑!$C$5:$C$504,MATCH($F93&amp;"",계정매핑!$A$5:$A$504,0)),"미매핑"))</f>
        <v/>
      </c>
      <c r="L93" s="4">
        <f>IF($A93="","",VALUE($A93&amp;""))</f>
        <v/>
      </c>
      <c r="M93" s="4">
        <f>IF($A93="","",VALUE($B93&amp;""))</f>
        <v/>
      </c>
      <c r="N93" s="64">
        <f>IF($A93="","",$H93*설정!$C$15)</f>
        <v/>
      </c>
      <c r="O93" s="4">
        <f>IF($A93="","",J93&amp;"|"&amp;K93)</f>
        <v/>
      </c>
      <c r="P93" s="63">
        <f>IF($A93="","",IF(COUNTIFS(예산_원본!$T$5:$T$3004,O93,예산_원본!$B$5:$B$3004,설정!$C$8,예산_원본!$U$5:$U$3004,L93)&gt;0,"Y","N"))</f>
        <v/>
      </c>
      <c r="Q93" s="63">
        <f>IF($A93="","",IF(COUNTIF(집계!$E$7:$E$506,O93)&gt;0,"Y","N"))</f>
        <v/>
      </c>
    </row>
    <row r="94">
      <c r="A94" s="60" t="n">
        <v>2025</v>
      </c>
      <c r="B94" s="60" t="n">
        <v>2</v>
      </c>
      <c r="C94" s="60" t="inlineStr">
        <is>
          <t>1000</t>
        </is>
      </c>
      <c r="D94" s="60" t="n">
        <v>1201</v>
      </c>
      <c r="E94" s="60" t="inlineStr">
        <is>
          <t>재무회계</t>
        </is>
      </c>
      <c r="F94" s="60" t="n">
        <v>62301000</v>
      </c>
      <c r="G94" s="60" t="inlineStr">
        <is>
          <t>소모품비</t>
        </is>
      </c>
      <c r="H94" s="61" t="n">
        <v>655070</v>
      </c>
      <c r="J94" s="63">
        <f>IF($A94="","",IFERROR(INDEX(부서매핑!$C$5:$C$504,MATCH($D94&amp;"",부서매핑!$A$5:$A$504,0)),"미매핑"))</f>
        <v/>
      </c>
      <c r="K94" s="63">
        <f>IF($A94="","",IFERROR(INDEX(계정매핑!$C$5:$C$504,MATCH($F94&amp;"",계정매핑!$A$5:$A$504,0)),"미매핑"))</f>
        <v/>
      </c>
      <c r="L94" s="4">
        <f>IF($A94="","",VALUE($A94&amp;""))</f>
        <v/>
      </c>
      <c r="M94" s="4">
        <f>IF($A94="","",VALUE($B94&amp;""))</f>
        <v/>
      </c>
      <c r="N94" s="64">
        <f>IF($A94="","",$H94*설정!$C$15)</f>
        <v/>
      </c>
      <c r="O94" s="4">
        <f>IF($A94="","",J94&amp;"|"&amp;K94)</f>
        <v/>
      </c>
      <c r="P94" s="63">
        <f>IF($A94="","",IF(COUNTIFS(예산_원본!$T$5:$T$3004,O94,예산_원본!$B$5:$B$3004,설정!$C$8,예산_원본!$U$5:$U$3004,L94)&gt;0,"Y","N"))</f>
        <v/>
      </c>
      <c r="Q94" s="63">
        <f>IF($A94="","",IF(COUNTIF(집계!$E$7:$E$506,O94)&gt;0,"Y","N"))</f>
        <v/>
      </c>
    </row>
    <row r="95">
      <c r="A95" s="60" t="n">
        <v>2025</v>
      </c>
      <c r="B95" s="60" t="n">
        <v>2</v>
      </c>
      <c r="C95" s="60" t="inlineStr">
        <is>
          <t>1000</t>
        </is>
      </c>
      <c r="D95" s="60" t="n">
        <v>1201</v>
      </c>
      <c r="E95" s="60" t="inlineStr">
        <is>
          <t>재무회계</t>
        </is>
      </c>
      <c r="F95" s="60" t="n">
        <v>62501000</v>
      </c>
      <c r="G95" s="60" t="inlineStr">
        <is>
          <t>회의비</t>
        </is>
      </c>
      <c r="H95" s="61" t="n">
        <v>469200</v>
      </c>
      <c r="J95" s="63">
        <f>IF($A95="","",IFERROR(INDEX(부서매핑!$C$5:$C$504,MATCH($D95&amp;"",부서매핑!$A$5:$A$504,0)),"미매핑"))</f>
        <v/>
      </c>
      <c r="K95" s="63">
        <f>IF($A95="","",IFERROR(INDEX(계정매핑!$C$5:$C$504,MATCH($F95&amp;"",계정매핑!$A$5:$A$504,0)),"미매핑"))</f>
        <v/>
      </c>
      <c r="L95" s="4">
        <f>IF($A95="","",VALUE($A95&amp;""))</f>
        <v/>
      </c>
      <c r="M95" s="4">
        <f>IF($A95="","",VALUE($B95&amp;""))</f>
        <v/>
      </c>
      <c r="N95" s="64">
        <f>IF($A95="","",$H95*설정!$C$15)</f>
        <v/>
      </c>
      <c r="O95" s="4">
        <f>IF($A95="","",J95&amp;"|"&amp;K95)</f>
        <v/>
      </c>
      <c r="P95" s="63">
        <f>IF($A95="","",IF(COUNTIFS(예산_원본!$T$5:$T$3004,O95,예산_원본!$B$5:$B$3004,설정!$C$8,예산_원본!$U$5:$U$3004,L95)&gt;0,"Y","N"))</f>
        <v/>
      </c>
      <c r="Q95" s="63">
        <f>IF($A95="","",IF(COUNTIF(집계!$E$7:$E$506,O95)&gt;0,"Y","N"))</f>
        <v/>
      </c>
    </row>
    <row r="96">
      <c r="A96" s="60" t="n">
        <v>2025</v>
      </c>
      <c r="B96" s="60" t="n">
        <v>2</v>
      </c>
      <c r="C96" s="60" t="inlineStr">
        <is>
          <t>1000</t>
        </is>
      </c>
      <c r="D96" s="60" t="n">
        <v>1201</v>
      </c>
      <c r="E96" s="60" t="inlineStr">
        <is>
          <t>재무회계</t>
        </is>
      </c>
      <c r="F96" s="60" t="n">
        <v>62901000</v>
      </c>
      <c r="G96" s="60" t="inlineStr">
        <is>
          <t>지급수수료-컨설팅</t>
        </is>
      </c>
      <c r="H96" s="61" t="n">
        <v>21230600</v>
      </c>
      <c r="J96" s="63">
        <f>IF($A96="","",IFERROR(INDEX(부서매핑!$C$5:$C$504,MATCH($D96&amp;"",부서매핑!$A$5:$A$504,0)),"미매핑"))</f>
        <v/>
      </c>
      <c r="K96" s="63">
        <f>IF($A96="","",IFERROR(INDEX(계정매핑!$C$5:$C$504,MATCH($F96&amp;"",계정매핑!$A$5:$A$504,0)),"미매핑"))</f>
        <v/>
      </c>
      <c r="L96" s="4">
        <f>IF($A96="","",VALUE($A96&amp;""))</f>
        <v/>
      </c>
      <c r="M96" s="4">
        <f>IF($A96="","",VALUE($B96&amp;""))</f>
        <v/>
      </c>
      <c r="N96" s="64">
        <f>IF($A96="","",$H96*설정!$C$15)</f>
        <v/>
      </c>
      <c r="O96" s="4">
        <f>IF($A96="","",J96&amp;"|"&amp;K96)</f>
        <v/>
      </c>
      <c r="P96" s="63">
        <f>IF($A96="","",IF(COUNTIFS(예산_원본!$T$5:$T$3004,O96,예산_원본!$B$5:$B$3004,설정!$C$8,예산_원본!$U$5:$U$3004,L96)&gt;0,"Y","N"))</f>
        <v/>
      </c>
      <c r="Q96" s="63">
        <f>IF($A96="","",IF(COUNTIF(집계!$E$7:$E$506,O96)&gt;0,"Y","N"))</f>
        <v/>
      </c>
    </row>
    <row r="97">
      <c r="A97" s="60" t="n">
        <v>2025</v>
      </c>
      <c r="B97" s="60" t="n">
        <v>2</v>
      </c>
      <c r="C97" s="60" t="inlineStr">
        <is>
          <t>1000</t>
        </is>
      </c>
      <c r="D97" s="60" t="n">
        <v>1201</v>
      </c>
      <c r="E97" s="60" t="inlineStr">
        <is>
          <t>재무회계</t>
        </is>
      </c>
      <c r="F97" s="60" t="n">
        <v>62902000</v>
      </c>
      <c r="G97" s="60" t="inlineStr">
        <is>
          <t>지급수수료-기타</t>
        </is>
      </c>
      <c r="H97" s="61" t="n">
        <v>9527440</v>
      </c>
      <c r="J97" s="63">
        <f>IF($A97="","",IFERROR(INDEX(부서매핑!$C$5:$C$504,MATCH($D97&amp;"",부서매핑!$A$5:$A$504,0)),"미매핑"))</f>
        <v/>
      </c>
      <c r="K97" s="63">
        <f>IF($A97="","",IFERROR(INDEX(계정매핑!$C$5:$C$504,MATCH($F97&amp;"",계정매핑!$A$5:$A$504,0)),"미매핑"))</f>
        <v/>
      </c>
      <c r="L97" s="4">
        <f>IF($A97="","",VALUE($A97&amp;""))</f>
        <v/>
      </c>
      <c r="M97" s="4">
        <f>IF($A97="","",VALUE($B97&amp;""))</f>
        <v/>
      </c>
      <c r="N97" s="64">
        <f>IF($A97="","",$H97*설정!$C$15)</f>
        <v/>
      </c>
      <c r="O97" s="4">
        <f>IF($A97="","",J97&amp;"|"&amp;K97)</f>
        <v/>
      </c>
      <c r="P97" s="63">
        <f>IF($A97="","",IF(COUNTIFS(예산_원본!$T$5:$T$3004,O97,예산_원본!$B$5:$B$3004,설정!$C$8,예산_원본!$U$5:$U$3004,L97)&gt;0,"Y","N"))</f>
        <v/>
      </c>
      <c r="Q97" s="63">
        <f>IF($A97="","",IF(COUNTIF(집계!$E$7:$E$506,O97)&gt;0,"Y","N"))</f>
        <v/>
      </c>
    </row>
    <row r="98">
      <c r="A98" s="60" t="n">
        <v>2025</v>
      </c>
      <c r="B98" s="60" t="n">
        <v>2</v>
      </c>
      <c r="C98" s="60" t="inlineStr">
        <is>
          <t>1000</t>
        </is>
      </c>
      <c r="D98" s="60" t="n">
        <v>1301</v>
      </c>
      <c r="E98" s="60" t="inlineStr">
        <is>
          <t>인사</t>
        </is>
      </c>
      <c r="F98" s="60" t="n">
        <v>62101000</v>
      </c>
      <c r="G98" s="60" t="inlineStr">
        <is>
          <t>여비교통비-국내</t>
        </is>
      </c>
      <c r="H98" s="61" t="n">
        <v>1851950</v>
      </c>
      <c r="J98" s="63">
        <f>IF($A98="","",IFERROR(INDEX(부서매핑!$C$5:$C$504,MATCH($D98&amp;"",부서매핑!$A$5:$A$504,0)),"미매핑"))</f>
        <v/>
      </c>
      <c r="K98" s="63">
        <f>IF($A98="","",IFERROR(INDEX(계정매핑!$C$5:$C$504,MATCH($F98&amp;"",계정매핑!$A$5:$A$504,0)),"미매핑"))</f>
        <v/>
      </c>
      <c r="L98" s="4">
        <f>IF($A98="","",VALUE($A98&amp;""))</f>
        <v/>
      </c>
      <c r="M98" s="4">
        <f>IF($A98="","",VALUE($B98&amp;""))</f>
        <v/>
      </c>
      <c r="N98" s="64">
        <f>IF($A98="","",$H98*설정!$C$15)</f>
        <v/>
      </c>
      <c r="O98" s="4">
        <f>IF($A98="","",J98&amp;"|"&amp;K98)</f>
        <v/>
      </c>
      <c r="P98" s="63">
        <f>IF($A98="","",IF(COUNTIFS(예산_원본!$T$5:$T$3004,O98,예산_원본!$B$5:$B$3004,설정!$C$8,예산_원본!$U$5:$U$3004,L98)&gt;0,"Y","N"))</f>
        <v/>
      </c>
      <c r="Q98" s="63">
        <f>IF($A98="","",IF(COUNTIF(집계!$E$7:$E$506,O98)&gt;0,"Y","N"))</f>
        <v/>
      </c>
    </row>
    <row r="99">
      <c r="A99" s="60" t="n">
        <v>2025</v>
      </c>
      <c r="B99" s="60" t="n">
        <v>2</v>
      </c>
      <c r="C99" s="60" t="inlineStr">
        <is>
          <t>1000</t>
        </is>
      </c>
      <c r="D99" s="60" t="n">
        <v>1301</v>
      </c>
      <c r="E99" s="60" t="inlineStr">
        <is>
          <t>인사</t>
        </is>
      </c>
      <c r="F99" s="60" t="n">
        <v>62102000</v>
      </c>
      <c r="G99" s="60" t="inlineStr">
        <is>
          <t>여비교통비-해외</t>
        </is>
      </c>
      <c r="H99" s="61" t="n">
        <v>322430</v>
      </c>
      <c r="J99" s="63">
        <f>IF($A99="","",IFERROR(INDEX(부서매핑!$C$5:$C$504,MATCH($D99&amp;"",부서매핑!$A$5:$A$504,0)),"미매핑"))</f>
        <v/>
      </c>
      <c r="K99" s="63">
        <f>IF($A99="","",IFERROR(INDEX(계정매핑!$C$5:$C$504,MATCH($F99&amp;"",계정매핑!$A$5:$A$504,0)),"미매핑"))</f>
        <v/>
      </c>
      <c r="L99" s="4">
        <f>IF($A99="","",VALUE($A99&amp;""))</f>
        <v/>
      </c>
      <c r="M99" s="4">
        <f>IF($A99="","",VALUE($B99&amp;""))</f>
        <v/>
      </c>
      <c r="N99" s="64">
        <f>IF($A99="","",$H99*설정!$C$15)</f>
        <v/>
      </c>
      <c r="O99" s="4">
        <f>IF($A99="","",J99&amp;"|"&amp;K99)</f>
        <v/>
      </c>
      <c r="P99" s="63">
        <f>IF($A99="","",IF(COUNTIFS(예산_원본!$T$5:$T$3004,O99,예산_원본!$B$5:$B$3004,설정!$C$8,예산_원본!$U$5:$U$3004,L99)&gt;0,"Y","N"))</f>
        <v/>
      </c>
      <c r="Q99" s="63">
        <f>IF($A99="","",IF(COUNTIF(집계!$E$7:$E$506,O99)&gt;0,"Y","N"))</f>
        <v/>
      </c>
    </row>
    <row r="100">
      <c r="A100" s="60" t="n">
        <v>2025</v>
      </c>
      <c r="B100" s="60" t="n">
        <v>2</v>
      </c>
      <c r="C100" s="60" t="inlineStr">
        <is>
          <t>1000</t>
        </is>
      </c>
      <c r="D100" s="60" t="n">
        <v>1301</v>
      </c>
      <c r="E100" s="60" t="inlineStr">
        <is>
          <t>인사</t>
        </is>
      </c>
      <c r="F100" s="60" t="n">
        <v>62201000</v>
      </c>
      <c r="G100" s="60" t="inlineStr">
        <is>
          <t>통신비</t>
        </is>
      </c>
      <c r="H100" s="61" t="n">
        <v>756080</v>
      </c>
      <c r="J100" s="63">
        <f>IF($A100="","",IFERROR(INDEX(부서매핑!$C$5:$C$504,MATCH($D100&amp;"",부서매핑!$A$5:$A$504,0)),"미매핑"))</f>
        <v/>
      </c>
      <c r="K100" s="63">
        <f>IF($A100="","",IFERROR(INDEX(계정매핑!$C$5:$C$504,MATCH($F100&amp;"",계정매핑!$A$5:$A$504,0)),"미매핑"))</f>
        <v/>
      </c>
      <c r="L100" s="4">
        <f>IF($A100="","",VALUE($A100&amp;""))</f>
        <v/>
      </c>
      <c r="M100" s="4">
        <f>IF($A100="","",VALUE($B100&amp;""))</f>
        <v/>
      </c>
      <c r="N100" s="64">
        <f>IF($A100="","",$H100*설정!$C$15)</f>
        <v/>
      </c>
      <c r="O100" s="4">
        <f>IF($A100="","",J100&amp;"|"&amp;K100)</f>
        <v/>
      </c>
      <c r="P100" s="63">
        <f>IF($A100="","",IF(COUNTIFS(예산_원본!$T$5:$T$3004,O100,예산_원본!$B$5:$B$3004,설정!$C$8,예산_원본!$U$5:$U$3004,L100)&gt;0,"Y","N"))</f>
        <v/>
      </c>
      <c r="Q100" s="63">
        <f>IF($A100="","",IF(COUNTIF(집계!$E$7:$E$506,O100)&gt;0,"Y","N"))</f>
        <v/>
      </c>
    </row>
    <row r="101">
      <c r="A101" s="60" t="n">
        <v>2025</v>
      </c>
      <c r="B101" s="60" t="n">
        <v>2</v>
      </c>
      <c r="C101" s="60" t="inlineStr">
        <is>
          <t>1000</t>
        </is>
      </c>
      <c r="D101" s="60" t="n">
        <v>1301</v>
      </c>
      <c r="E101" s="60" t="inlineStr">
        <is>
          <t>인사</t>
        </is>
      </c>
      <c r="F101" s="60" t="n">
        <v>62301000</v>
      </c>
      <c r="G101" s="60" t="inlineStr">
        <is>
          <t>소모품비</t>
        </is>
      </c>
      <c r="H101" s="61" t="n">
        <v>811480</v>
      </c>
      <c r="J101" s="63">
        <f>IF($A101="","",IFERROR(INDEX(부서매핑!$C$5:$C$504,MATCH($D101&amp;"",부서매핑!$A$5:$A$504,0)),"미매핑"))</f>
        <v/>
      </c>
      <c r="K101" s="63">
        <f>IF($A101="","",IFERROR(INDEX(계정매핑!$C$5:$C$504,MATCH($F101&amp;"",계정매핑!$A$5:$A$504,0)),"미매핑"))</f>
        <v/>
      </c>
      <c r="L101" s="4">
        <f>IF($A101="","",VALUE($A101&amp;""))</f>
        <v/>
      </c>
      <c r="M101" s="4">
        <f>IF($A101="","",VALUE($B101&amp;""))</f>
        <v/>
      </c>
      <c r="N101" s="64">
        <f>IF($A101="","",$H101*설정!$C$15)</f>
        <v/>
      </c>
      <c r="O101" s="4">
        <f>IF($A101="","",J101&amp;"|"&amp;K101)</f>
        <v/>
      </c>
      <c r="P101" s="63">
        <f>IF($A101="","",IF(COUNTIFS(예산_원본!$T$5:$T$3004,O101,예산_원본!$B$5:$B$3004,설정!$C$8,예산_원본!$U$5:$U$3004,L101)&gt;0,"Y","N"))</f>
        <v/>
      </c>
      <c r="Q101" s="63">
        <f>IF($A101="","",IF(COUNTIF(집계!$E$7:$E$506,O101)&gt;0,"Y","N"))</f>
        <v/>
      </c>
    </row>
    <row r="102">
      <c r="A102" s="60" t="n">
        <v>2025</v>
      </c>
      <c r="B102" s="60" t="n">
        <v>2</v>
      </c>
      <c r="C102" s="60" t="inlineStr">
        <is>
          <t>1000</t>
        </is>
      </c>
      <c r="D102" s="60" t="n">
        <v>1301</v>
      </c>
      <c r="E102" s="60" t="inlineStr">
        <is>
          <t>인사</t>
        </is>
      </c>
      <c r="F102" s="60" t="n">
        <v>62501000</v>
      </c>
      <c r="G102" s="60" t="inlineStr">
        <is>
          <t>회의비</t>
        </is>
      </c>
      <c r="H102" s="61" t="n">
        <v>739720</v>
      </c>
      <c r="J102" s="63">
        <f>IF($A102="","",IFERROR(INDEX(부서매핑!$C$5:$C$504,MATCH($D102&amp;"",부서매핑!$A$5:$A$504,0)),"미매핑"))</f>
        <v/>
      </c>
      <c r="K102" s="63">
        <f>IF($A102="","",IFERROR(INDEX(계정매핑!$C$5:$C$504,MATCH($F102&amp;"",계정매핑!$A$5:$A$504,0)),"미매핑"))</f>
        <v/>
      </c>
      <c r="L102" s="4">
        <f>IF($A102="","",VALUE($A102&amp;""))</f>
        <v/>
      </c>
      <c r="M102" s="4">
        <f>IF($A102="","",VALUE($B102&amp;""))</f>
        <v/>
      </c>
      <c r="N102" s="64">
        <f>IF($A102="","",$H102*설정!$C$15)</f>
        <v/>
      </c>
      <c r="O102" s="4">
        <f>IF($A102="","",J102&amp;"|"&amp;K102)</f>
        <v/>
      </c>
      <c r="P102" s="63">
        <f>IF($A102="","",IF(COUNTIFS(예산_원본!$T$5:$T$3004,O102,예산_원본!$B$5:$B$3004,설정!$C$8,예산_원본!$U$5:$U$3004,L102)&gt;0,"Y","N"))</f>
        <v/>
      </c>
      <c r="Q102" s="63">
        <f>IF($A102="","",IF(COUNTIF(집계!$E$7:$E$506,O102)&gt;0,"Y","N"))</f>
        <v/>
      </c>
    </row>
    <row r="103">
      <c r="A103" s="60" t="n">
        <v>2025</v>
      </c>
      <c r="B103" s="60" t="n">
        <v>2</v>
      </c>
      <c r="C103" s="60" t="inlineStr">
        <is>
          <t>1000</t>
        </is>
      </c>
      <c r="D103" s="60" t="n">
        <v>1301</v>
      </c>
      <c r="E103" s="60" t="inlineStr">
        <is>
          <t>인사</t>
        </is>
      </c>
      <c r="F103" s="60" t="n">
        <v>62601000</v>
      </c>
      <c r="G103" s="60" t="inlineStr">
        <is>
          <t>업무추진비</t>
        </is>
      </c>
      <c r="H103" s="61" t="n">
        <v>1817610</v>
      </c>
      <c r="J103" s="63">
        <f>IF($A103="","",IFERROR(INDEX(부서매핑!$C$5:$C$504,MATCH($D103&amp;"",부서매핑!$A$5:$A$504,0)),"미매핑"))</f>
        <v/>
      </c>
      <c r="K103" s="63">
        <f>IF($A103="","",IFERROR(INDEX(계정매핑!$C$5:$C$504,MATCH($F103&amp;"",계정매핑!$A$5:$A$504,0)),"미매핑"))</f>
        <v/>
      </c>
      <c r="L103" s="4">
        <f>IF($A103="","",VALUE($A103&amp;""))</f>
        <v/>
      </c>
      <c r="M103" s="4">
        <f>IF($A103="","",VALUE($B103&amp;""))</f>
        <v/>
      </c>
      <c r="N103" s="64">
        <f>IF($A103="","",$H103*설정!$C$15)</f>
        <v/>
      </c>
      <c r="O103" s="4">
        <f>IF($A103="","",J103&amp;"|"&amp;K103)</f>
        <v/>
      </c>
      <c r="P103" s="63">
        <f>IF($A103="","",IF(COUNTIFS(예산_원본!$T$5:$T$3004,O103,예산_원본!$B$5:$B$3004,설정!$C$8,예산_원본!$U$5:$U$3004,L103)&gt;0,"Y","N"))</f>
        <v/>
      </c>
      <c r="Q103" s="63">
        <f>IF($A103="","",IF(COUNTIF(집계!$E$7:$E$506,O103)&gt;0,"Y","N"))</f>
        <v/>
      </c>
    </row>
    <row r="104">
      <c r="A104" s="60" t="n">
        <v>2025</v>
      </c>
      <c r="B104" s="60" t="n">
        <v>2</v>
      </c>
      <c r="C104" s="60" t="inlineStr">
        <is>
          <t>1000</t>
        </is>
      </c>
      <c r="D104" s="60" t="n">
        <v>1301</v>
      </c>
      <c r="E104" s="60" t="inlineStr">
        <is>
          <t>인사</t>
        </is>
      </c>
      <c r="F104" s="60" t="n">
        <v>62801000</v>
      </c>
      <c r="G104" s="60" t="inlineStr">
        <is>
          <t>교육훈련비-사내</t>
        </is>
      </c>
      <c r="H104" s="61" t="n">
        <v>14743650</v>
      </c>
      <c r="J104" s="63">
        <f>IF($A104="","",IFERROR(INDEX(부서매핑!$C$5:$C$504,MATCH($D104&amp;"",부서매핑!$A$5:$A$504,0)),"미매핑"))</f>
        <v/>
      </c>
      <c r="K104" s="63">
        <f>IF($A104="","",IFERROR(INDEX(계정매핑!$C$5:$C$504,MATCH($F104&amp;"",계정매핑!$A$5:$A$504,0)),"미매핑"))</f>
        <v/>
      </c>
      <c r="L104" s="4">
        <f>IF($A104="","",VALUE($A104&amp;""))</f>
        <v/>
      </c>
      <c r="M104" s="4">
        <f>IF($A104="","",VALUE($B104&amp;""))</f>
        <v/>
      </c>
      <c r="N104" s="64">
        <f>IF($A104="","",$H104*설정!$C$15)</f>
        <v/>
      </c>
      <c r="O104" s="4">
        <f>IF($A104="","",J104&amp;"|"&amp;K104)</f>
        <v/>
      </c>
      <c r="P104" s="63">
        <f>IF($A104="","",IF(COUNTIFS(예산_원본!$T$5:$T$3004,O104,예산_원본!$B$5:$B$3004,설정!$C$8,예산_원본!$U$5:$U$3004,L104)&gt;0,"Y","N"))</f>
        <v/>
      </c>
      <c r="Q104" s="63">
        <f>IF($A104="","",IF(COUNTIF(집계!$E$7:$E$506,O104)&gt;0,"Y","N"))</f>
        <v/>
      </c>
    </row>
    <row r="105">
      <c r="A105" s="60" t="n">
        <v>2025</v>
      </c>
      <c r="B105" s="60" t="n">
        <v>2</v>
      </c>
      <c r="C105" s="60" t="inlineStr">
        <is>
          <t>1000</t>
        </is>
      </c>
      <c r="D105" s="60" t="n">
        <v>1301</v>
      </c>
      <c r="E105" s="60" t="inlineStr">
        <is>
          <t>인사</t>
        </is>
      </c>
      <c r="F105" s="60" t="n">
        <v>62802000</v>
      </c>
      <c r="G105" s="60" t="inlineStr">
        <is>
          <t>교육훈련비-외부위탁</t>
        </is>
      </c>
      <c r="H105" s="61" t="n">
        <v>21724910</v>
      </c>
      <c r="J105" s="63">
        <f>IF($A105="","",IFERROR(INDEX(부서매핑!$C$5:$C$504,MATCH($D105&amp;"",부서매핑!$A$5:$A$504,0)),"미매핑"))</f>
        <v/>
      </c>
      <c r="K105" s="63">
        <f>IF($A105="","",IFERROR(INDEX(계정매핑!$C$5:$C$504,MATCH($F105&amp;"",계정매핑!$A$5:$A$504,0)),"미매핑"))</f>
        <v/>
      </c>
      <c r="L105" s="4">
        <f>IF($A105="","",VALUE($A105&amp;""))</f>
        <v/>
      </c>
      <c r="M105" s="4">
        <f>IF($A105="","",VALUE($B105&amp;""))</f>
        <v/>
      </c>
      <c r="N105" s="64">
        <f>IF($A105="","",$H105*설정!$C$15)</f>
        <v/>
      </c>
      <c r="O105" s="4">
        <f>IF($A105="","",J105&amp;"|"&amp;K105)</f>
        <v/>
      </c>
      <c r="P105" s="63">
        <f>IF($A105="","",IF(COUNTIFS(예산_원본!$T$5:$T$3004,O105,예산_원본!$B$5:$B$3004,설정!$C$8,예산_원본!$U$5:$U$3004,L105)&gt;0,"Y","N"))</f>
        <v/>
      </c>
      <c r="Q105" s="63">
        <f>IF($A105="","",IF(COUNTIF(집계!$E$7:$E$506,O105)&gt;0,"Y","N"))</f>
        <v/>
      </c>
    </row>
    <row r="106">
      <c r="A106" s="60" t="n">
        <v>2025</v>
      </c>
      <c r="B106" s="60" t="n">
        <v>2</v>
      </c>
      <c r="C106" s="60" t="inlineStr">
        <is>
          <t>1000</t>
        </is>
      </c>
      <c r="D106" s="60" t="n">
        <v>1401</v>
      </c>
      <c r="E106" s="60" t="inlineStr">
        <is>
          <t>상품개발</t>
        </is>
      </c>
      <c r="F106" s="60" t="n">
        <v>62101000</v>
      </c>
      <c r="G106" s="60" t="inlineStr">
        <is>
          <t>여비교통비-국내</t>
        </is>
      </c>
      <c r="H106" s="61" t="n">
        <v>1538190</v>
      </c>
      <c r="J106" s="63">
        <f>IF($A106="","",IFERROR(INDEX(부서매핑!$C$5:$C$504,MATCH($D106&amp;"",부서매핑!$A$5:$A$504,0)),"미매핑"))</f>
        <v/>
      </c>
      <c r="K106" s="63">
        <f>IF($A106="","",IFERROR(INDEX(계정매핑!$C$5:$C$504,MATCH($F106&amp;"",계정매핑!$A$5:$A$504,0)),"미매핑"))</f>
        <v/>
      </c>
      <c r="L106" s="4">
        <f>IF($A106="","",VALUE($A106&amp;""))</f>
        <v/>
      </c>
      <c r="M106" s="4">
        <f>IF($A106="","",VALUE($B106&amp;""))</f>
        <v/>
      </c>
      <c r="N106" s="64">
        <f>IF($A106="","",$H106*설정!$C$15)</f>
        <v/>
      </c>
      <c r="O106" s="4">
        <f>IF($A106="","",J106&amp;"|"&amp;K106)</f>
        <v/>
      </c>
      <c r="P106" s="63">
        <f>IF($A106="","",IF(COUNTIFS(예산_원본!$T$5:$T$3004,O106,예산_원본!$B$5:$B$3004,설정!$C$8,예산_원본!$U$5:$U$3004,L106)&gt;0,"Y","N"))</f>
        <v/>
      </c>
      <c r="Q106" s="63">
        <f>IF($A106="","",IF(COUNTIF(집계!$E$7:$E$506,O106)&gt;0,"Y","N"))</f>
        <v/>
      </c>
    </row>
    <row r="107">
      <c r="A107" s="60" t="n">
        <v>2025</v>
      </c>
      <c r="B107" s="60" t="n">
        <v>2</v>
      </c>
      <c r="C107" s="60" t="inlineStr">
        <is>
          <t>1000</t>
        </is>
      </c>
      <c r="D107" s="60" t="n">
        <v>1401</v>
      </c>
      <c r="E107" s="60" t="inlineStr">
        <is>
          <t>상품개발</t>
        </is>
      </c>
      <c r="F107" s="60" t="n">
        <v>62102000</v>
      </c>
      <c r="G107" s="60" t="inlineStr">
        <is>
          <t>여비교통비-해외</t>
        </is>
      </c>
      <c r="H107" s="61" t="n">
        <v>290450</v>
      </c>
      <c r="J107" s="63">
        <f>IF($A107="","",IFERROR(INDEX(부서매핑!$C$5:$C$504,MATCH($D107&amp;"",부서매핑!$A$5:$A$504,0)),"미매핑"))</f>
        <v/>
      </c>
      <c r="K107" s="63">
        <f>IF($A107="","",IFERROR(INDEX(계정매핑!$C$5:$C$504,MATCH($F107&amp;"",계정매핑!$A$5:$A$504,0)),"미매핑"))</f>
        <v/>
      </c>
      <c r="L107" s="4">
        <f>IF($A107="","",VALUE($A107&amp;""))</f>
        <v/>
      </c>
      <c r="M107" s="4">
        <f>IF($A107="","",VALUE($B107&amp;""))</f>
        <v/>
      </c>
      <c r="N107" s="64">
        <f>IF($A107="","",$H107*설정!$C$15)</f>
        <v/>
      </c>
      <c r="O107" s="4">
        <f>IF($A107="","",J107&amp;"|"&amp;K107)</f>
        <v/>
      </c>
      <c r="P107" s="63">
        <f>IF($A107="","",IF(COUNTIFS(예산_원본!$T$5:$T$3004,O107,예산_원본!$B$5:$B$3004,설정!$C$8,예산_원본!$U$5:$U$3004,L107)&gt;0,"Y","N"))</f>
        <v/>
      </c>
      <c r="Q107" s="63">
        <f>IF($A107="","",IF(COUNTIF(집계!$E$7:$E$506,O107)&gt;0,"Y","N"))</f>
        <v/>
      </c>
    </row>
    <row r="108">
      <c r="A108" s="60" t="n">
        <v>2025</v>
      </c>
      <c r="B108" s="60" t="n">
        <v>2</v>
      </c>
      <c r="C108" s="60" t="inlineStr">
        <is>
          <t>1000</t>
        </is>
      </c>
      <c r="D108" s="60" t="n">
        <v>1401</v>
      </c>
      <c r="E108" s="60" t="inlineStr">
        <is>
          <t>상품개발</t>
        </is>
      </c>
      <c r="F108" s="60" t="n">
        <v>62201000</v>
      </c>
      <c r="G108" s="60" t="inlineStr">
        <is>
          <t>통신비</t>
        </is>
      </c>
      <c r="H108" s="61" t="n">
        <v>654680</v>
      </c>
      <c r="J108" s="63">
        <f>IF($A108="","",IFERROR(INDEX(부서매핑!$C$5:$C$504,MATCH($D108&amp;"",부서매핑!$A$5:$A$504,0)),"미매핑"))</f>
        <v/>
      </c>
      <c r="K108" s="63">
        <f>IF($A108="","",IFERROR(INDEX(계정매핑!$C$5:$C$504,MATCH($F108&amp;"",계정매핑!$A$5:$A$504,0)),"미매핑"))</f>
        <v/>
      </c>
      <c r="L108" s="4">
        <f>IF($A108="","",VALUE($A108&amp;""))</f>
        <v/>
      </c>
      <c r="M108" s="4">
        <f>IF($A108="","",VALUE($B108&amp;""))</f>
        <v/>
      </c>
      <c r="N108" s="64">
        <f>IF($A108="","",$H108*설정!$C$15)</f>
        <v/>
      </c>
      <c r="O108" s="4">
        <f>IF($A108="","",J108&amp;"|"&amp;K108)</f>
        <v/>
      </c>
      <c r="P108" s="63">
        <f>IF($A108="","",IF(COUNTIFS(예산_원본!$T$5:$T$3004,O108,예산_원본!$B$5:$B$3004,설정!$C$8,예산_원본!$U$5:$U$3004,L108)&gt;0,"Y","N"))</f>
        <v/>
      </c>
      <c r="Q108" s="63">
        <f>IF($A108="","",IF(COUNTIF(집계!$E$7:$E$506,O108)&gt;0,"Y","N"))</f>
        <v/>
      </c>
    </row>
    <row r="109">
      <c r="A109" s="60" t="n">
        <v>2025</v>
      </c>
      <c r="B109" s="60" t="n">
        <v>2</v>
      </c>
      <c r="C109" s="60" t="inlineStr">
        <is>
          <t>1000</t>
        </is>
      </c>
      <c r="D109" s="60" t="n">
        <v>1401</v>
      </c>
      <c r="E109" s="60" t="inlineStr">
        <is>
          <t>상품개발</t>
        </is>
      </c>
      <c r="F109" s="60" t="n">
        <v>62301000</v>
      </c>
      <c r="G109" s="60" t="inlineStr">
        <is>
          <t>소모품비</t>
        </is>
      </c>
      <c r="H109" s="61" t="n">
        <v>331270</v>
      </c>
      <c r="J109" s="63">
        <f>IF($A109="","",IFERROR(INDEX(부서매핑!$C$5:$C$504,MATCH($D109&amp;"",부서매핑!$A$5:$A$504,0)),"미매핑"))</f>
        <v/>
      </c>
      <c r="K109" s="63">
        <f>IF($A109="","",IFERROR(INDEX(계정매핑!$C$5:$C$504,MATCH($F109&amp;"",계정매핑!$A$5:$A$504,0)),"미매핑"))</f>
        <v/>
      </c>
      <c r="L109" s="4">
        <f>IF($A109="","",VALUE($A109&amp;""))</f>
        <v/>
      </c>
      <c r="M109" s="4">
        <f>IF($A109="","",VALUE($B109&amp;""))</f>
        <v/>
      </c>
      <c r="N109" s="64">
        <f>IF($A109="","",$H109*설정!$C$15)</f>
        <v/>
      </c>
      <c r="O109" s="4">
        <f>IF($A109="","",J109&amp;"|"&amp;K109)</f>
        <v/>
      </c>
      <c r="P109" s="63">
        <f>IF($A109="","",IF(COUNTIFS(예산_원본!$T$5:$T$3004,O109,예산_원본!$B$5:$B$3004,설정!$C$8,예산_원본!$U$5:$U$3004,L109)&gt;0,"Y","N"))</f>
        <v/>
      </c>
      <c r="Q109" s="63">
        <f>IF($A109="","",IF(COUNTIF(집계!$E$7:$E$506,O109)&gt;0,"Y","N"))</f>
        <v/>
      </c>
    </row>
    <row r="110">
      <c r="A110" s="60" t="n">
        <v>2025</v>
      </c>
      <c r="B110" s="60" t="n">
        <v>2</v>
      </c>
      <c r="C110" s="60" t="inlineStr">
        <is>
          <t>1000</t>
        </is>
      </c>
      <c r="D110" s="60" t="n">
        <v>1401</v>
      </c>
      <c r="E110" s="60" t="inlineStr">
        <is>
          <t>상품개발</t>
        </is>
      </c>
      <c r="F110" s="60" t="n">
        <v>62401000</v>
      </c>
      <c r="G110" s="60" t="inlineStr">
        <is>
          <t>도서인쇄비</t>
        </is>
      </c>
      <c r="H110" s="61" t="n">
        <v>1002300</v>
      </c>
      <c r="J110" s="63">
        <f>IF($A110="","",IFERROR(INDEX(부서매핑!$C$5:$C$504,MATCH($D110&amp;"",부서매핑!$A$5:$A$504,0)),"미매핑"))</f>
        <v/>
      </c>
      <c r="K110" s="63">
        <f>IF($A110="","",IFERROR(INDEX(계정매핑!$C$5:$C$504,MATCH($F110&amp;"",계정매핑!$A$5:$A$504,0)),"미매핑"))</f>
        <v/>
      </c>
      <c r="L110" s="4">
        <f>IF($A110="","",VALUE($A110&amp;""))</f>
        <v/>
      </c>
      <c r="M110" s="4">
        <f>IF($A110="","",VALUE($B110&amp;""))</f>
        <v/>
      </c>
      <c r="N110" s="64">
        <f>IF($A110="","",$H110*설정!$C$15)</f>
        <v/>
      </c>
      <c r="O110" s="4">
        <f>IF($A110="","",J110&amp;"|"&amp;K110)</f>
        <v/>
      </c>
      <c r="P110" s="63">
        <f>IF($A110="","",IF(COUNTIFS(예산_원본!$T$5:$T$3004,O110,예산_원본!$B$5:$B$3004,설정!$C$8,예산_원본!$U$5:$U$3004,L110)&gt;0,"Y","N"))</f>
        <v/>
      </c>
      <c r="Q110" s="63">
        <f>IF($A110="","",IF(COUNTIF(집계!$E$7:$E$506,O110)&gt;0,"Y","N"))</f>
        <v/>
      </c>
    </row>
    <row r="111">
      <c r="A111" s="60" t="n">
        <v>2025</v>
      </c>
      <c r="B111" s="60" t="n">
        <v>2</v>
      </c>
      <c r="C111" s="60" t="inlineStr">
        <is>
          <t>1000</t>
        </is>
      </c>
      <c r="D111" s="60" t="n">
        <v>1401</v>
      </c>
      <c r="E111" s="60" t="inlineStr">
        <is>
          <t>상품개발</t>
        </is>
      </c>
      <c r="F111" s="60" t="n">
        <v>62501000</v>
      </c>
      <c r="G111" s="60" t="inlineStr">
        <is>
          <t>회의비</t>
        </is>
      </c>
      <c r="H111" s="61" t="n">
        <v>402610</v>
      </c>
      <c r="J111" s="63">
        <f>IF($A111="","",IFERROR(INDEX(부서매핑!$C$5:$C$504,MATCH($D111&amp;"",부서매핑!$A$5:$A$504,0)),"미매핑"))</f>
        <v/>
      </c>
      <c r="K111" s="63">
        <f>IF($A111="","",IFERROR(INDEX(계정매핑!$C$5:$C$504,MATCH($F111&amp;"",계정매핑!$A$5:$A$504,0)),"미매핑"))</f>
        <v/>
      </c>
      <c r="L111" s="4">
        <f>IF($A111="","",VALUE($A111&amp;""))</f>
        <v/>
      </c>
      <c r="M111" s="4">
        <f>IF($A111="","",VALUE($B111&amp;""))</f>
        <v/>
      </c>
      <c r="N111" s="64">
        <f>IF($A111="","",$H111*설정!$C$15)</f>
        <v/>
      </c>
      <c r="O111" s="4">
        <f>IF($A111="","",J111&amp;"|"&amp;K111)</f>
        <v/>
      </c>
      <c r="P111" s="63">
        <f>IF($A111="","",IF(COUNTIFS(예산_원본!$T$5:$T$3004,O111,예산_원본!$B$5:$B$3004,설정!$C$8,예산_원본!$U$5:$U$3004,L111)&gt;0,"Y","N"))</f>
        <v/>
      </c>
      <c r="Q111" s="63">
        <f>IF($A111="","",IF(COUNTIF(집계!$E$7:$E$506,O111)&gt;0,"Y","N"))</f>
        <v/>
      </c>
    </row>
    <row r="112">
      <c r="A112" s="60" t="n">
        <v>2025</v>
      </c>
      <c r="B112" s="60" t="n">
        <v>2</v>
      </c>
      <c r="C112" s="60" t="inlineStr">
        <is>
          <t>1000</t>
        </is>
      </c>
      <c r="D112" s="60" t="n">
        <v>1401</v>
      </c>
      <c r="E112" s="60" t="inlineStr">
        <is>
          <t>상품개발</t>
        </is>
      </c>
      <c r="F112" s="60" t="n">
        <v>62901000</v>
      </c>
      <c r="G112" s="60" t="inlineStr">
        <is>
          <t>지급수수료-컨설팅</t>
        </is>
      </c>
      <c r="H112" s="61" t="n">
        <v>18900240</v>
      </c>
      <c r="J112" s="63">
        <f>IF($A112="","",IFERROR(INDEX(부서매핑!$C$5:$C$504,MATCH($D112&amp;"",부서매핑!$A$5:$A$504,0)),"미매핑"))</f>
        <v/>
      </c>
      <c r="K112" s="63">
        <f>IF($A112="","",IFERROR(INDEX(계정매핑!$C$5:$C$504,MATCH($F112&amp;"",계정매핑!$A$5:$A$504,0)),"미매핑"))</f>
        <v/>
      </c>
      <c r="L112" s="4">
        <f>IF($A112="","",VALUE($A112&amp;""))</f>
        <v/>
      </c>
      <c r="M112" s="4">
        <f>IF($A112="","",VALUE($B112&amp;""))</f>
        <v/>
      </c>
      <c r="N112" s="64">
        <f>IF($A112="","",$H112*설정!$C$15)</f>
        <v/>
      </c>
      <c r="O112" s="4">
        <f>IF($A112="","",J112&amp;"|"&amp;K112)</f>
        <v/>
      </c>
      <c r="P112" s="63">
        <f>IF($A112="","",IF(COUNTIFS(예산_원본!$T$5:$T$3004,O112,예산_원본!$B$5:$B$3004,설정!$C$8,예산_원본!$U$5:$U$3004,L112)&gt;0,"Y","N"))</f>
        <v/>
      </c>
      <c r="Q112" s="63">
        <f>IF($A112="","",IF(COUNTIF(집계!$E$7:$E$506,O112)&gt;0,"Y","N"))</f>
        <v/>
      </c>
    </row>
    <row r="113">
      <c r="A113" s="60" t="n">
        <v>2025</v>
      </c>
      <c r="B113" s="60" t="n">
        <v>2</v>
      </c>
      <c r="C113" s="60" t="inlineStr">
        <is>
          <t>1000</t>
        </is>
      </c>
      <c r="D113" s="60" t="n">
        <v>1401</v>
      </c>
      <c r="E113" s="60" t="inlineStr">
        <is>
          <t>상품개발</t>
        </is>
      </c>
      <c r="F113" s="60" t="n">
        <v>62902000</v>
      </c>
      <c r="G113" s="60" t="inlineStr">
        <is>
          <t>지급수수료-기타</t>
        </is>
      </c>
      <c r="H113" s="61" t="n">
        <v>8333580</v>
      </c>
      <c r="J113" s="63">
        <f>IF($A113="","",IFERROR(INDEX(부서매핑!$C$5:$C$504,MATCH($D113&amp;"",부서매핑!$A$5:$A$504,0)),"미매핑"))</f>
        <v/>
      </c>
      <c r="K113" s="63">
        <f>IF($A113="","",IFERROR(INDEX(계정매핑!$C$5:$C$504,MATCH($F113&amp;"",계정매핑!$A$5:$A$504,0)),"미매핑"))</f>
        <v/>
      </c>
      <c r="L113" s="4">
        <f>IF($A113="","",VALUE($A113&amp;""))</f>
        <v/>
      </c>
      <c r="M113" s="4">
        <f>IF($A113="","",VALUE($B113&amp;""))</f>
        <v/>
      </c>
      <c r="N113" s="64">
        <f>IF($A113="","",$H113*설정!$C$15)</f>
        <v/>
      </c>
      <c r="O113" s="4">
        <f>IF($A113="","",J113&amp;"|"&amp;K113)</f>
        <v/>
      </c>
      <c r="P113" s="63">
        <f>IF($A113="","",IF(COUNTIFS(예산_원본!$T$5:$T$3004,O113,예산_원본!$B$5:$B$3004,설정!$C$8,예산_원본!$U$5:$U$3004,L113)&gt;0,"Y","N"))</f>
        <v/>
      </c>
      <c r="Q113" s="63">
        <f>IF($A113="","",IF(COUNTIF(집계!$E$7:$E$506,O113)&gt;0,"Y","N"))</f>
        <v/>
      </c>
    </row>
    <row r="114">
      <c r="A114" s="60" t="n">
        <v>2025</v>
      </c>
      <c r="B114" s="60" t="n">
        <v>2</v>
      </c>
      <c r="C114" s="60" t="inlineStr">
        <is>
          <t>1000</t>
        </is>
      </c>
      <c r="D114" s="60" t="n">
        <v>1501</v>
      </c>
      <c r="E114" s="60" t="inlineStr">
        <is>
          <t>마케팅전략</t>
        </is>
      </c>
      <c r="F114" s="60" t="n">
        <v>62101000</v>
      </c>
      <c r="G114" s="60" t="inlineStr">
        <is>
          <t>여비교통비-국내</t>
        </is>
      </c>
      <c r="H114" s="61" t="n">
        <v>1365490</v>
      </c>
      <c r="J114" s="63">
        <f>IF($A114="","",IFERROR(INDEX(부서매핑!$C$5:$C$504,MATCH($D114&amp;"",부서매핑!$A$5:$A$504,0)),"미매핑"))</f>
        <v/>
      </c>
      <c r="K114" s="63">
        <f>IF($A114="","",IFERROR(INDEX(계정매핑!$C$5:$C$504,MATCH($F114&amp;"",계정매핑!$A$5:$A$504,0)),"미매핑"))</f>
        <v/>
      </c>
      <c r="L114" s="4">
        <f>IF($A114="","",VALUE($A114&amp;""))</f>
        <v/>
      </c>
      <c r="M114" s="4">
        <f>IF($A114="","",VALUE($B114&amp;""))</f>
        <v/>
      </c>
      <c r="N114" s="64">
        <f>IF($A114="","",$H114*설정!$C$15)</f>
        <v/>
      </c>
      <c r="O114" s="4">
        <f>IF($A114="","",J114&amp;"|"&amp;K114)</f>
        <v/>
      </c>
      <c r="P114" s="63">
        <f>IF($A114="","",IF(COUNTIFS(예산_원본!$T$5:$T$3004,O114,예산_원본!$B$5:$B$3004,설정!$C$8,예산_원본!$U$5:$U$3004,L114)&gt;0,"Y","N"))</f>
        <v/>
      </c>
      <c r="Q114" s="63">
        <f>IF($A114="","",IF(COUNTIF(집계!$E$7:$E$506,O114)&gt;0,"Y","N"))</f>
        <v/>
      </c>
    </row>
    <row r="115">
      <c r="A115" s="60" t="n">
        <v>2025</v>
      </c>
      <c r="B115" s="60" t="n">
        <v>2</v>
      </c>
      <c r="C115" s="60" t="inlineStr">
        <is>
          <t>1000</t>
        </is>
      </c>
      <c r="D115" s="60" t="n">
        <v>1501</v>
      </c>
      <c r="E115" s="60" t="inlineStr">
        <is>
          <t>마케팅전략</t>
        </is>
      </c>
      <c r="F115" s="60" t="n">
        <v>62102000</v>
      </c>
      <c r="G115" s="60" t="inlineStr">
        <is>
          <t>여비교통비-해외</t>
        </is>
      </c>
      <c r="H115" s="61" t="n">
        <v>238240</v>
      </c>
      <c r="J115" s="63">
        <f>IF($A115="","",IFERROR(INDEX(부서매핑!$C$5:$C$504,MATCH($D115&amp;"",부서매핑!$A$5:$A$504,0)),"미매핑"))</f>
        <v/>
      </c>
      <c r="K115" s="63">
        <f>IF($A115="","",IFERROR(INDEX(계정매핑!$C$5:$C$504,MATCH($F115&amp;"",계정매핑!$A$5:$A$504,0)),"미매핑"))</f>
        <v/>
      </c>
      <c r="L115" s="4">
        <f>IF($A115="","",VALUE($A115&amp;""))</f>
        <v/>
      </c>
      <c r="M115" s="4">
        <f>IF($A115="","",VALUE($B115&amp;""))</f>
        <v/>
      </c>
      <c r="N115" s="64">
        <f>IF($A115="","",$H115*설정!$C$15)</f>
        <v/>
      </c>
      <c r="O115" s="4">
        <f>IF($A115="","",J115&amp;"|"&amp;K115)</f>
        <v/>
      </c>
      <c r="P115" s="63">
        <f>IF($A115="","",IF(COUNTIFS(예산_원본!$T$5:$T$3004,O115,예산_원본!$B$5:$B$3004,설정!$C$8,예산_원본!$U$5:$U$3004,L115)&gt;0,"Y","N"))</f>
        <v/>
      </c>
      <c r="Q115" s="63">
        <f>IF($A115="","",IF(COUNTIF(집계!$E$7:$E$506,O115)&gt;0,"Y","N"))</f>
        <v/>
      </c>
    </row>
    <row r="116">
      <c r="A116" s="60" t="n">
        <v>2025</v>
      </c>
      <c r="B116" s="60" t="n">
        <v>2</v>
      </c>
      <c r="C116" s="60" t="inlineStr">
        <is>
          <t>1000</t>
        </is>
      </c>
      <c r="D116" s="60" t="n">
        <v>1501</v>
      </c>
      <c r="E116" s="60" t="inlineStr">
        <is>
          <t>마케팅전략</t>
        </is>
      </c>
      <c r="F116" s="60" t="n">
        <v>62201000</v>
      </c>
      <c r="G116" s="60" t="inlineStr">
        <is>
          <t>통신비</t>
        </is>
      </c>
      <c r="H116" s="61" t="n">
        <v>626070</v>
      </c>
      <c r="J116" s="63">
        <f>IF($A116="","",IFERROR(INDEX(부서매핑!$C$5:$C$504,MATCH($D116&amp;"",부서매핑!$A$5:$A$504,0)),"미매핑"))</f>
        <v/>
      </c>
      <c r="K116" s="63">
        <f>IF($A116="","",IFERROR(INDEX(계정매핑!$C$5:$C$504,MATCH($F116&amp;"",계정매핑!$A$5:$A$504,0)),"미매핑"))</f>
        <v/>
      </c>
      <c r="L116" s="4">
        <f>IF($A116="","",VALUE($A116&amp;""))</f>
        <v/>
      </c>
      <c r="M116" s="4">
        <f>IF($A116="","",VALUE($B116&amp;""))</f>
        <v/>
      </c>
      <c r="N116" s="64">
        <f>IF($A116="","",$H116*설정!$C$15)</f>
        <v/>
      </c>
      <c r="O116" s="4">
        <f>IF($A116="","",J116&amp;"|"&amp;K116)</f>
        <v/>
      </c>
      <c r="P116" s="63">
        <f>IF($A116="","",IF(COUNTIFS(예산_원본!$T$5:$T$3004,O116,예산_원본!$B$5:$B$3004,설정!$C$8,예산_원본!$U$5:$U$3004,L116)&gt;0,"Y","N"))</f>
        <v/>
      </c>
      <c r="Q116" s="63">
        <f>IF($A116="","",IF(COUNTIF(집계!$E$7:$E$506,O116)&gt;0,"Y","N"))</f>
        <v/>
      </c>
    </row>
    <row r="117">
      <c r="A117" s="60" t="n">
        <v>2025</v>
      </c>
      <c r="B117" s="60" t="n">
        <v>2</v>
      </c>
      <c r="C117" s="60" t="inlineStr">
        <is>
          <t>1000</t>
        </is>
      </c>
      <c r="D117" s="60" t="n">
        <v>1501</v>
      </c>
      <c r="E117" s="60" t="inlineStr">
        <is>
          <t>마케팅전략</t>
        </is>
      </c>
      <c r="F117" s="60" t="n">
        <v>62301000</v>
      </c>
      <c r="G117" s="60" t="inlineStr">
        <is>
          <t>소모품비</t>
        </is>
      </c>
      <c r="H117" s="61" t="n">
        <v>399160</v>
      </c>
      <c r="J117" s="63">
        <f>IF($A117="","",IFERROR(INDEX(부서매핑!$C$5:$C$504,MATCH($D117&amp;"",부서매핑!$A$5:$A$504,0)),"미매핑"))</f>
        <v/>
      </c>
      <c r="K117" s="63">
        <f>IF($A117="","",IFERROR(INDEX(계정매핑!$C$5:$C$504,MATCH($F117&amp;"",계정매핑!$A$5:$A$504,0)),"미매핑"))</f>
        <v/>
      </c>
      <c r="L117" s="4">
        <f>IF($A117="","",VALUE($A117&amp;""))</f>
        <v/>
      </c>
      <c r="M117" s="4">
        <f>IF($A117="","",VALUE($B117&amp;""))</f>
        <v/>
      </c>
      <c r="N117" s="64">
        <f>IF($A117="","",$H117*설정!$C$15)</f>
        <v/>
      </c>
      <c r="O117" s="4">
        <f>IF($A117="","",J117&amp;"|"&amp;K117)</f>
        <v/>
      </c>
      <c r="P117" s="63">
        <f>IF($A117="","",IF(COUNTIFS(예산_원본!$T$5:$T$3004,O117,예산_원본!$B$5:$B$3004,설정!$C$8,예산_원본!$U$5:$U$3004,L117)&gt;0,"Y","N"))</f>
        <v/>
      </c>
      <c r="Q117" s="63">
        <f>IF($A117="","",IF(COUNTIF(집계!$E$7:$E$506,O117)&gt;0,"Y","N"))</f>
        <v/>
      </c>
    </row>
    <row r="118">
      <c r="A118" s="60" t="n">
        <v>2025</v>
      </c>
      <c r="B118" s="60" t="n">
        <v>2</v>
      </c>
      <c r="C118" s="60" t="inlineStr">
        <is>
          <t>1000</t>
        </is>
      </c>
      <c r="D118" s="60" t="n">
        <v>1501</v>
      </c>
      <c r="E118" s="60" t="inlineStr">
        <is>
          <t>마케팅전략</t>
        </is>
      </c>
      <c r="F118" s="60" t="n">
        <v>62401000</v>
      </c>
      <c r="G118" s="60" t="inlineStr">
        <is>
          <t>도서인쇄비</t>
        </is>
      </c>
      <c r="H118" s="61" t="n">
        <v>3601680</v>
      </c>
      <c r="J118" s="63">
        <f>IF($A118="","",IFERROR(INDEX(부서매핑!$C$5:$C$504,MATCH($D118&amp;"",부서매핑!$A$5:$A$504,0)),"미매핑"))</f>
        <v/>
      </c>
      <c r="K118" s="63">
        <f>IF($A118="","",IFERROR(INDEX(계정매핑!$C$5:$C$504,MATCH($F118&amp;"",계정매핑!$A$5:$A$504,0)),"미매핑"))</f>
        <v/>
      </c>
      <c r="L118" s="4">
        <f>IF($A118="","",VALUE($A118&amp;""))</f>
        <v/>
      </c>
      <c r="M118" s="4">
        <f>IF($A118="","",VALUE($B118&amp;""))</f>
        <v/>
      </c>
      <c r="N118" s="64">
        <f>IF($A118="","",$H118*설정!$C$15)</f>
        <v/>
      </c>
      <c r="O118" s="4">
        <f>IF($A118="","",J118&amp;"|"&amp;K118)</f>
        <v/>
      </c>
      <c r="P118" s="63">
        <f>IF($A118="","",IF(COUNTIFS(예산_원본!$T$5:$T$3004,O118,예산_원본!$B$5:$B$3004,설정!$C$8,예산_원본!$U$5:$U$3004,L118)&gt;0,"Y","N"))</f>
        <v/>
      </c>
      <c r="Q118" s="63">
        <f>IF($A118="","",IF(COUNTIF(집계!$E$7:$E$506,O118)&gt;0,"Y","N"))</f>
        <v/>
      </c>
    </row>
    <row r="119">
      <c r="A119" s="60" t="n">
        <v>2025</v>
      </c>
      <c r="B119" s="60" t="n">
        <v>2</v>
      </c>
      <c r="C119" s="60" t="inlineStr">
        <is>
          <t>1000</t>
        </is>
      </c>
      <c r="D119" s="60" t="n">
        <v>1501</v>
      </c>
      <c r="E119" s="60" t="inlineStr">
        <is>
          <t>마케팅전략</t>
        </is>
      </c>
      <c r="F119" s="60" t="n">
        <v>62501000</v>
      </c>
      <c r="G119" s="60" t="inlineStr">
        <is>
          <t>회의비</t>
        </is>
      </c>
      <c r="H119" s="61" t="n">
        <v>559190</v>
      </c>
      <c r="J119" s="63">
        <f>IF($A119="","",IFERROR(INDEX(부서매핑!$C$5:$C$504,MATCH($D119&amp;"",부서매핑!$A$5:$A$504,0)),"미매핑"))</f>
        <v/>
      </c>
      <c r="K119" s="63">
        <f>IF($A119="","",IFERROR(INDEX(계정매핑!$C$5:$C$504,MATCH($F119&amp;"",계정매핑!$A$5:$A$504,0)),"미매핑"))</f>
        <v/>
      </c>
      <c r="L119" s="4">
        <f>IF($A119="","",VALUE($A119&amp;""))</f>
        <v/>
      </c>
      <c r="M119" s="4">
        <f>IF($A119="","",VALUE($B119&amp;""))</f>
        <v/>
      </c>
      <c r="N119" s="64">
        <f>IF($A119="","",$H119*설정!$C$15)</f>
        <v/>
      </c>
      <c r="O119" s="4">
        <f>IF($A119="","",J119&amp;"|"&amp;K119)</f>
        <v/>
      </c>
      <c r="P119" s="63">
        <f>IF($A119="","",IF(COUNTIFS(예산_원본!$T$5:$T$3004,O119,예산_원본!$B$5:$B$3004,설정!$C$8,예산_원본!$U$5:$U$3004,L119)&gt;0,"Y","N"))</f>
        <v/>
      </c>
      <c r="Q119" s="63">
        <f>IF($A119="","",IF(COUNTIF(집계!$E$7:$E$506,O119)&gt;0,"Y","N"))</f>
        <v/>
      </c>
    </row>
    <row r="120">
      <c r="A120" s="60" t="n">
        <v>2025</v>
      </c>
      <c r="B120" s="60" t="n">
        <v>2</v>
      </c>
      <c r="C120" s="60" t="inlineStr">
        <is>
          <t>1000</t>
        </is>
      </c>
      <c r="D120" s="60" t="n">
        <v>1501</v>
      </c>
      <c r="E120" s="60" t="inlineStr">
        <is>
          <t>마케팅전략</t>
        </is>
      </c>
      <c r="F120" s="60" t="n">
        <v>62601000</v>
      </c>
      <c r="G120" s="60" t="inlineStr">
        <is>
          <t>업무추진비</t>
        </is>
      </c>
      <c r="H120" s="61" t="n">
        <v>1697020</v>
      </c>
      <c r="J120" s="63">
        <f>IF($A120="","",IFERROR(INDEX(부서매핑!$C$5:$C$504,MATCH($D120&amp;"",부서매핑!$A$5:$A$504,0)),"미매핑"))</f>
        <v/>
      </c>
      <c r="K120" s="63">
        <f>IF($A120="","",IFERROR(INDEX(계정매핑!$C$5:$C$504,MATCH($F120&amp;"",계정매핑!$A$5:$A$504,0)),"미매핑"))</f>
        <v/>
      </c>
      <c r="L120" s="4">
        <f>IF($A120="","",VALUE($A120&amp;""))</f>
        <v/>
      </c>
      <c r="M120" s="4">
        <f>IF($A120="","",VALUE($B120&amp;""))</f>
        <v/>
      </c>
      <c r="N120" s="64">
        <f>IF($A120="","",$H120*설정!$C$15)</f>
        <v/>
      </c>
      <c r="O120" s="4">
        <f>IF($A120="","",J120&amp;"|"&amp;K120)</f>
        <v/>
      </c>
      <c r="P120" s="63">
        <f>IF($A120="","",IF(COUNTIFS(예산_원본!$T$5:$T$3004,O120,예산_원본!$B$5:$B$3004,설정!$C$8,예산_원본!$U$5:$U$3004,L120)&gt;0,"Y","N"))</f>
        <v/>
      </c>
      <c r="Q120" s="63">
        <f>IF($A120="","",IF(COUNTIF(집계!$E$7:$E$506,O120)&gt;0,"Y","N"))</f>
        <v/>
      </c>
    </row>
    <row r="121">
      <c r="A121" s="60" t="n">
        <v>2025</v>
      </c>
      <c r="B121" s="60" t="n">
        <v>2</v>
      </c>
      <c r="C121" s="60" t="inlineStr">
        <is>
          <t>1000</t>
        </is>
      </c>
      <c r="D121" s="60" t="n">
        <v>1501</v>
      </c>
      <c r="E121" s="60" t="inlineStr">
        <is>
          <t>마케팅전략</t>
        </is>
      </c>
      <c r="F121" s="60" t="n">
        <v>62701000</v>
      </c>
      <c r="G121" s="60" t="inlineStr">
        <is>
          <t>광고선전비</t>
        </is>
      </c>
      <c r="H121" s="61" t="n">
        <v>73181360</v>
      </c>
      <c r="J121" s="63">
        <f>IF($A121="","",IFERROR(INDEX(부서매핑!$C$5:$C$504,MATCH($D121&amp;"",부서매핑!$A$5:$A$504,0)),"미매핑"))</f>
        <v/>
      </c>
      <c r="K121" s="63">
        <f>IF($A121="","",IFERROR(INDEX(계정매핑!$C$5:$C$504,MATCH($F121&amp;"",계정매핑!$A$5:$A$504,0)),"미매핑"))</f>
        <v/>
      </c>
      <c r="L121" s="4">
        <f>IF($A121="","",VALUE($A121&amp;""))</f>
        <v/>
      </c>
      <c r="M121" s="4">
        <f>IF($A121="","",VALUE($B121&amp;""))</f>
        <v/>
      </c>
      <c r="N121" s="64">
        <f>IF($A121="","",$H121*설정!$C$15)</f>
        <v/>
      </c>
      <c r="O121" s="4">
        <f>IF($A121="","",J121&amp;"|"&amp;K121)</f>
        <v/>
      </c>
      <c r="P121" s="63">
        <f>IF($A121="","",IF(COUNTIFS(예산_원본!$T$5:$T$3004,O121,예산_원본!$B$5:$B$3004,설정!$C$8,예산_원본!$U$5:$U$3004,L121)&gt;0,"Y","N"))</f>
        <v/>
      </c>
      <c r="Q121" s="63">
        <f>IF($A121="","",IF(COUNTIF(집계!$E$7:$E$506,O121)&gt;0,"Y","N"))</f>
        <v/>
      </c>
    </row>
    <row r="122">
      <c r="A122" s="60" t="n">
        <v>2025</v>
      </c>
      <c r="B122" s="60" t="n">
        <v>2</v>
      </c>
      <c r="C122" s="60" t="inlineStr">
        <is>
          <t>1000</t>
        </is>
      </c>
      <c r="D122" s="60" t="n">
        <v>1502</v>
      </c>
      <c r="E122" s="60" t="inlineStr">
        <is>
          <t>디지털마케팅</t>
        </is>
      </c>
      <c r="F122" s="60" t="n">
        <v>62101000</v>
      </c>
      <c r="G122" s="60" t="inlineStr">
        <is>
          <t>여비교통비-국내</t>
        </is>
      </c>
      <c r="H122" s="61" t="n">
        <v>911090</v>
      </c>
      <c r="J122" s="63">
        <f>IF($A122="","",IFERROR(INDEX(부서매핑!$C$5:$C$504,MATCH($D122&amp;"",부서매핑!$A$5:$A$504,0)),"미매핑"))</f>
        <v/>
      </c>
      <c r="K122" s="63">
        <f>IF($A122="","",IFERROR(INDEX(계정매핑!$C$5:$C$504,MATCH($F122&amp;"",계정매핑!$A$5:$A$504,0)),"미매핑"))</f>
        <v/>
      </c>
      <c r="L122" s="4">
        <f>IF($A122="","",VALUE($A122&amp;""))</f>
        <v/>
      </c>
      <c r="M122" s="4">
        <f>IF($A122="","",VALUE($B122&amp;""))</f>
        <v/>
      </c>
      <c r="N122" s="64">
        <f>IF($A122="","",$H122*설정!$C$15)</f>
        <v/>
      </c>
      <c r="O122" s="4">
        <f>IF($A122="","",J122&amp;"|"&amp;K122)</f>
        <v/>
      </c>
      <c r="P122" s="63">
        <f>IF($A122="","",IF(COUNTIFS(예산_원본!$T$5:$T$3004,O122,예산_원본!$B$5:$B$3004,설정!$C$8,예산_원본!$U$5:$U$3004,L122)&gt;0,"Y","N"))</f>
        <v/>
      </c>
      <c r="Q122" s="63">
        <f>IF($A122="","",IF(COUNTIF(집계!$E$7:$E$506,O122)&gt;0,"Y","N"))</f>
        <v/>
      </c>
    </row>
    <row r="123">
      <c r="A123" s="60" t="n">
        <v>2025</v>
      </c>
      <c r="B123" s="60" t="n">
        <v>2</v>
      </c>
      <c r="C123" s="60" t="inlineStr">
        <is>
          <t>1000</t>
        </is>
      </c>
      <c r="D123" s="60" t="n">
        <v>1502</v>
      </c>
      <c r="E123" s="60" t="inlineStr">
        <is>
          <t>디지털마케팅</t>
        </is>
      </c>
      <c r="F123" s="60" t="n">
        <v>62102000</v>
      </c>
      <c r="G123" s="60" t="inlineStr">
        <is>
          <t>여비교통비-해외</t>
        </is>
      </c>
      <c r="H123" s="61" t="n">
        <v>162010</v>
      </c>
      <c r="J123" s="63">
        <f>IF($A123="","",IFERROR(INDEX(부서매핑!$C$5:$C$504,MATCH($D123&amp;"",부서매핑!$A$5:$A$504,0)),"미매핑"))</f>
        <v/>
      </c>
      <c r="K123" s="63">
        <f>IF($A123="","",IFERROR(INDEX(계정매핑!$C$5:$C$504,MATCH($F123&amp;"",계정매핑!$A$5:$A$504,0)),"미매핑"))</f>
        <v/>
      </c>
      <c r="L123" s="4">
        <f>IF($A123="","",VALUE($A123&amp;""))</f>
        <v/>
      </c>
      <c r="M123" s="4">
        <f>IF($A123="","",VALUE($B123&amp;""))</f>
        <v/>
      </c>
      <c r="N123" s="64">
        <f>IF($A123="","",$H123*설정!$C$15)</f>
        <v/>
      </c>
      <c r="O123" s="4">
        <f>IF($A123="","",J123&amp;"|"&amp;K123)</f>
        <v/>
      </c>
      <c r="P123" s="63">
        <f>IF($A123="","",IF(COUNTIFS(예산_원본!$T$5:$T$3004,O123,예산_원본!$B$5:$B$3004,설정!$C$8,예산_원본!$U$5:$U$3004,L123)&gt;0,"Y","N"))</f>
        <v/>
      </c>
      <c r="Q123" s="63">
        <f>IF($A123="","",IF(COUNTIF(집계!$E$7:$E$506,O123)&gt;0,"Y","N"))</f>
        <v/>
      </c>
    </row>
    <row r="124">
      <c r="A124" s="60" t="n">
        <v>2025</v>
      </c>
      <c r="B124" s="60" t="n">
        <v>2</v>
      </c>
      <c r="C124" s="60" t="inlineStr">
        <is>
          <t>1000</t>
        </is>
      </c>
      <c r="D124" s="60" t="n">
        <v>1502</v>
      </c>
      <c r="E124" s="60" t="inlineStr">
        <is>
          <t>디지털마케팅</t>
        </is>
      </c>
      <c r="F124" s="60" t="n">
        <v>62201000</v>
      </c>
      <c r="G124" s="60" t="inlineStr">
        <is>
          <t>통신비</t>
        </is>
      </c>
      <c r="H124" s="61" t="n">
        <v>380150</v>
      </c>
      <c r="J124" s="63">
        <f>IF($A124="","",IFERROR(INDEX(부서매핑!$C$5:$C$504,MATCH($D124&amp;"",부서매핑!$A$5:$A$504,0)),"미매핑"))</f>
        <v/>
      </c>
      <c r="K124" s="63">
        <f>IF($A124="","",IFERROR(INDEX(계정매핑!$C$5:$C$504,MATCH($F124&amp;"",계정매핑!$A$5:$A$504,0)),"미매핑"))</f>
        <v/>
      </c>
      <c r="L124" s="4">
        <f>IF($A124="","",VALUE($A124&amp;""))</f>
        <v/>
      </c>
      <c r="M124" s="4">
        <f>IF($A124="","",VALUE($B124&amp;""))</f>
        <v/>
      </c>
      <c r="N124" s="64">
        <f>IF($A124="","",$H124*설정!$C$15)</f>
        <v/>
      </c>
      <c r="O124" s="4">
        <f>IF($A124="","",J124&amp;"|"&amp;K124)</f>
        <v/>
      </c>
      <c r="P124" s="63">
        <f>IF($A124="","",IF(COUNTIFS(예산_원본!$T$5:$T$3004,O124,예산_원본!$B$5:$B$3004,설정!$C$8,예산_원본!$U$5:$U$3004,L124)&gt;0,"Y","N"))</f>
        <v/>
      </c>
      <c r="Q124" s="63">
        <f>IF($A124="","",IF(COUNTIF(집계!$E$7:$E$506,O124)&gt;0,"Y","N"))</f>
        <v/>
      </c>
    </row>
    <row r="125">
      <c r="A125" s="60" t="n">
        <v>2025</v>
      </c>
      <c r="B125" s="60" t="n">
        <v>2</v>
      </c>
      <c r="C125" s="60" t="inlineStr">
        <is>
          <t>1000</t>
        </is>
      </c>
      <c r="D125" s="60" t="n">
        <v>1502</v>
      </c>
      <c r="E125" s="60" t="inlineStr">
        <is>
          <t>디지털마케팅</t>
        </is>
      </c>
      <c r="F125" s="60" t="n">
        <v>62301000</v>
      </c>
      <c r="G125" s="60" t="inlineStr">
        <is>
          <t>소모품비</t>
        </is>
      </c>
      <c r="H125" s="61" t="n">
        <v>267810</v>
      </c>
      <c r="J125" s="63">
        <f>IF($A125="","",IFERROR(INDEX(부서매핑!$C$5:$C$504,MATCH($D125&amp;"",부서매핑!$A$5:$A$504,0)),"미매핑"))</f>
        <v/>
      </c>
      <c r="K125" s="63">
        <f>IF($A125="","",IFERROR(INDEX(계정매핑!$C$5:$C$504,MATCH($F125&amp;"",계정매핑!$A$5:$A$504,0)),"미매핑"))</f>
        <v/>
      </c>
      <c r="L125" s="4">
        <f>IF($A125="","",VALUE($A125&amp;""))</f>
        <v/>
      </c>
      <c r="M125" s="4">
        <f>IF($A125="","",VALUE($B125&amp;""))</f>
        <v/>
      </c>
      <c r="N125" s="64">
        <f>IF($A125="","",$H125*설정!$C$15)</f>
        <v/>
      </c>
      <c r="O125" s="4">
        <f>IF($A125="","",J125&amp;"|"&amp;K125)</f>
        <v/>
      </c>
      <c r="P125" s="63">
        <f>IF($A125="","",IF(COUNTIFS(예산_원본!$T$5:$T$3004,O125,예산_원본!$B$5:$B$3004,설정!$C$8,예산_원본!$U$5:$U$3004,L125)&gt;0,"Y","N"))</f>
        <v/>
      </c>
      <c r="Q125" s="63">
        <f>IF($A125="","",IF(COUNTIF(집계!$E$7:$E$506,O125)&gt;0,"Y","N"))</f>
        <v/>
      </c>
    </row>
    <row r="126">
      <c r="A126" s="60" t="n">
        <v>2025</v>
      </c>
      <c r="B126" s="60" t="n">
        <v>2</v>
      </c>
      <c r="C126" s="60" t="inlineStr">
        <is>
          <t>1000</t>
        </is>
      </c>
      <c r="D126" s="60" t="n">
        <v>1502</v>
      </c>
      <c r="E126" s="60" t="inlineStr">
        <is>
          <t>디지털마케팅</t>
        </is>
      </c>
      <c r="F126" s="60" t="n">
        <v>62401000</v>
      </c>
      <c r="G126" s="60" t="inlineStr">
        <is>
          <t>도서인쇄비</t>
        </is>
      </c>
      <c r="H126" s="61" t="n">
        <v>2528290</v>
      </c>
      <c r="J126" s="63">
        <f>IF($A126="","",IFERROR(INDEX(부서매핑!$C$5:$C$504,MATCH($D126&amp;"",부서매핑!$A$5:$A$504,0)),"미매핑"))</f>
        <v/>
      </c>
      <c r="K126" s="63">
        <f>IF($A126="","",IFERROR(INDEX(계정매핑!$C$5:$C$504,MATCH($F126&amp;"",계정매핑!$A$5:$A$504,0)),"미매핑"))</f>
        <v/>
      </c>
      <c r="L126" s="4">
        <f>IF($A126="","",VALUE($A126&amp;""))</f>
        <v/>
      </c>
      <c r="M126" s="4">
        <f>IF($A126="","",VALUE($B126&amp;""))</f>
        <v/>
      </c>
      <c r="N126" s="64">
        <f>IF($A126="","",$H126*설정!$C$15)</f>
        <v/>
      </c>
      <c r="O126" s="4">
        <f>IF($A126="","",J126&amp;"|"&amp;K126)</f>
        <v/>
      </c>
      <c r="P126" s="63">
        <f>IF($A126="","",IF(COUNTIFS(예산_원본!$T$5:$T$3004,O126,예산_원본!$B$5:$B$3004,설정!$C$8,예산_원본!$U$5:$U$3004,L126)&gt;0,"Y","N"))</f>
        <v/>
      </c>
      <c r="Q126" s="63">
        <f>IF($A126="","",IF(COUNTIF(집계!$E$7:$E$506,O126)&gt;0,"Y","N"))</f>
        <v/>
      </c>
    </row>
    <row r="127">
      <c r="A127" s="60" t="n">
        <v>2025</v>
      </c>
      <c r="B127" s="60" t="n">
        <v>2</v>
      </c>
      <c r="C127" s="60" t="inlineStr">
        <is>
          <t>1000</t>
        </is>
      </c>
      <c r="D127" s="60" t="n">
        <v>1502</v>
      </c>
      <c r="E127" s="60" t="inlineStr">
        <is>
          <t>디지털마케팅</t>
        </is>
      </c>
      <c r="F127" s="60" t="n">
        <v>62501000</v>
      </c>
      <c r="G127" s="60" t="inlineStr">
        <is>
          <t>회의비</t>
        </is>
      </c>
      <c r="H127" s="61" t="n">
        <v>373300</v>
      </c>
      <c r="J127" s="63">
        <f>IF($A127="","",IFERROR(INDEX(부서매핑!$C$5:$C$504,MATCH($D127&amp;"",부서매핑!$A$5:$A$504,0)),"미매핑"))</f>
        <v/>
      </c>
      <c r="K127" s="63">
        <f>IF($A127="","",IFERROR(INDEX(계정매핑!$C$5:$C$504,MATCH($F127&amp;"",계정매핑!$A$5:$A$504,0)),"미매핑"))</f>
        <v/>
      </c>
      <c r="L127" s="4">
        <f>IF($A127="","",VALUE($A127&amp;""))</f>
        <v/>
      </c>
      <c r="M127" s="4">
        <f>IF($A127="","",VALUE($B127&amp;""))</f>
        <v/>
      </c>
      <c r="N127" s="64">
        <f>IF($A127="","",$H127*설정!$C$15)</f>
        <v/>
      </c>
      <c r="O127" s="4">
        <f>IF($A127="","",J127&amp;"|"&amp;K127)</f>
        <v/>
      </c>
      <c r="P127" s="63">
        <f>IF($A127="","",IF(COUNTIFS(예산_원본!$T$5:$T$3004,O127,예산_원본!$B$5:$B$3004,설정!$C$8,예산_원본!$U$5:$U$3004,L127)&gt;0,"Y","N"))</f>
        <v/>
      </c>
      <c r="Q127" s="63">
        <f>IF($A127="","",IF(COUNTIF(집계!$E$7:$E$506,O127)&gt;0,"Y","N"))</f>
        <v/>
      </c>
    </row>
    <row r="128">
      <c r="A128" s="60" t="n">
        <v>2025</v>
      </c>
      <c r="B128" s="60" t="n">
        <v>2</v>
      </c>
      <c r="C128" s="60" t="inlineStr">
        <is>
          <t>1000</t>
        </is>
      </c>
      <c r="D128" s="60" t="n">
        <v>1502</v>
      </c>
      <c r="E128" s="60" t="inlineStr">
        <is>
          <t>디지털마케팅</t>
        </is>
      </c>
      <c r="F128" s="60" t="n">
        <v>62601000</v>
      </c>
      <c r="G128" s="60" t="inlineStr">
        <is>
          <t>업무추진비</t>
        </is>
      </c>
      <c r="H128" s="61" t="n">
        <v>1157190</v>
      </c>
      <c r="J128" s="63">
        <f>IF($A128="","",IFERROR(INDEX(부서매핑!$C$5:$C$504,MATCH($D128&amp;"",부서매핑!$A$5:$A$504,0)),"미매핑"))</f>
        <v/>
      </c>
      <c r="K128" s="63">
        <f>IF($A128="","",IFERROR(INDEX(계정매핑!$C$5:$C$504,MATCH($F128&amp;"",계정매핑!$A$5:$A$504,0)),"미매핑"))</f>
        <v/>
      </c>
      <c r="L128" s="4">
        <f>IF($A128="","",VALUE($A128&amp;""))</f>
        <v/>
      </c>
      <c r="M128" s="4">
        <f>IF($A128="","",VALUE($B128&amp;""))</f>
        <v/>
      </c>
      <c r="N128" s="64">
        <f>IF($A128="","",$H128*설정!$C$15)</f>
        <v/>
      </c>
      <c r="O128" s="4">
        <f>IF($A128="","",J128&amp;"|"&amp;K128)</f>
        <v/>
      </c>
      <c r="P128" s="63">
        <f>IF($A128="","",IF(COUNTIFS(예산_원본!$T$5:$T$3004,O128,예산_원본!$B$5:$B$3004,설정!$C$8,예산_원본!$U$5:$U$3004,L128)&gt;0,"Y","N"))</f>
        <v/>
      </c>
      <c r="Q128" s="63">
        <f>IF($A128="","",IF(COUNTIF(집계!$E$7:$E$506,O128)&gt;0,"Y","N"))</f>
        <v/>
      </c>
    </row>
    <row r="129">
      <c r="A129" s="60" t="n">
        <v>2025</v>
      </c>
      <c r="B129" s="60" t="n">
        <v>2</v>
      </c>
      <c r="C129" s="60" t="inlineStr">
        <is>
          <t>1000</t>
        </is>
      </c>
      <c r="D129" s="60" t="n">
        <v>1502</v>
      </c>
      <c r="E129" s="60" t="inlineStr">
        <is>
          <t>디지털마케팅</t>
        </is>
      </c>
      <c r="F129" s="60" t="n">
        <v>62701000</v>
      </c>
      <c r="G129" s="60" t="inlineStr">
        <is>
          <t>광고선전비</t>
        </is>
      </c>
      <c r="H129" s="61" t="n">
        <v>42766400</v>
      </c>
      <c r="J129" s="63">
        <f>IF($A129="","",IFERROR(INDEX(부서매핑!$C$5:$C$504,MATCH($D129&amp;"",부서매핑!$A$5:$A$504,0)),"미매핑"))</f>
        <v/>
      </c>
      <c r="K129" s="63">
        <f>IF($A129="","",IFERROR(INDEX(계정매핑!$C$5:$C$504,MATCH($F129&amp;"",계정매핑!$A$5:$A$504,0)),"미매핑"))</f>
        <v/>
      </c>
      <c r="L129" s="4">
        <f>IF($A129="","",VALUE($A129&amp;""))</f>
        <v/>
      </c>
      <c r="M129" s="4">
        <f>IF($A129="","",VALUE($B129&amp;""))</f>
        <v/>
      </c>
      <c r="N129" s="64">
        <f>IF($A129="","",$H129*설정!$C$15)</f>
        <v/>
      </c>
      <c r="O129" s="4">
        <f>IF($A129="","",J129&amp;"|"&amp;K129)</f>
        <v/>
      </c>
      <c r="P129" s="63">
        <f>IF($A129="","",IF(COUNTIFS(예산_원본!$T$5:$T$3004,O129,예산_원본!$B$5:$B$3004,설정!$C$8,예산_원본!$U$5:$U$3004,L129)&gt;0,"Y","N"))</f>
        <v/>
      </c>
      <c r="Q129" s="63">
        <f>IF($A129="","",IF(COUNTIF(집계!$E$7:$E$506,O129)&gt;0,"Y","N"))</f>
        <v/>
      </c>
    </row>
    <row r="130">
      <c r="A130" s="60" t="n">
        <v>2025</v>
      </c>
      <c r="B130" s="60" t="n">
        <v>2</v>
      </c>
      <c r="C130" s="60" t="inlineStr">
        <is>
          <t>1000</t>
        </is>
      </c>
      <c r="D130" s="60" t="n">
        <v>1601</v>
      </c>
      <c r="E130" s="60" t="inlineStr">
        <is>
          <t>영업지원-본사</t>
        </is>
      </c>
      <c r="F130" s="60" t="n">
        <v>62101000</v>
      </c>
      <c r="G130" s="60" t="inlineStr">
        <is>
          <t>여비교통비-국내</t>
        </is>
      </c>
      <c r="H130" s="61" t="n">
        <v>3757540</v>
      </c>
      <c r="J130" s="63">
        <f>IF($A130="","",IFERROR(INDEX(부서매핑!$C$5:$C$504,MATCH($D130&amp;"",부서매핑!$A$5:$A$504,0)),"미매핑"))</f>
        <v/>
      </c>
      <c r="K130" s="63">
        <f>IF($A130="","",IFERROR(INDEX(계정매핑!$C$5:$C$504,MATCH($F130&amp;"",계정매핑!$A$5:$A$504,0)),"미매핑"))</f>
        <v/>
      </c>
      <c r="L130" s="4">
        <f>IF($A130="","",VALUE($A130&amp;""))</f>
        <v/>
      </c>
      <c r="M130" s="4">
        <f>IF($A130="","",VALUE($B130&amp;""))</f>
        <v/>
      </c>
      <c r="N130" s="64">
        <f>IF($A130="","",$H130*설정!$C$15)</f>
        <v/>
      </c>
      <c r="O130" s="4">
        <f>IF($A130="","",J130&amp;"|"&amp;K130)</f>
        <v/>
      </c>
      <c r="P130" s="63">
        <f>IF($A130="","",IF(COUNTIFS(예산_원본!$T$5:$T$3004,O130,예산_원본!$B$5:$B$3004,설정!$C$8,예산_원본!$U$5:$U$3004,L130)&gt;0,"Y","N"))</f>
        <v/>
      </c>
      <c r="Q130" s="63">
        <f>IF($A130="","",IF(COUNTIF(집계!$E$7:$E$506,O130)&gt;0,"Y","N"))</f>
        <v/>
      </c>
    </row>
    <row r="131">
      <c r="A131" s="60" t="n">
        <v>2025</v>
      </c>
      <c r="B131" s="60" t="n">
        <v>2</v>
      </c>
      <c r="C131" s="60" t="inlineStr">
        <is>
          <t>1000</t>
        </is>
      </c>
      <c r="D131" s="60" t="n">
        <v>1601</v>
      </c>
      <c r="E131" s="60" t="inlineStr">
        <is>
          <t>영업지원-본사</t>
        </is>
      </c>
      <c r="F131" s="60" t="n">
        <v>62102000</v>
      </c>
      <c r="G131" s="60" t="inlineStr">
        <is>
          <t>여비교통비-해외</t>
        </is>
      </c>
      <c r="H131" s="61" t="n">
        <v>647800</v>
      </c>
      <c r="J131" s="63">
        <f>IF($A131="","",IFERROR(INDEX(부서매핑!$C$5:$C$504,MATCH($D131&amp;"",부서매핑!$A$5:$A$504,0)),"미매핑"))</f>
        <v/>
      </c>
      <c r="K131" s="63">
        <f>IF($A131="","",IFERROR(INDEX(계정매핑!$C$5:$C$504,MATCH($F131&amp;"",계정매핑!$A$5:$A$504,0)),"미매핑"))</f>
        <v/>
      </c>
      <c r="L131" s="4">
        <f>IF($A131="","",VALUE($A131&amp;""))</f>
        <v/>
      </c>
      <c r="M131" s="4">
        <f>IF($A131="","",VALUE($B131&amp;""))</f>
        <v/>
      </c>
      <c r="N131" s="64">
        <f>IF($A131="","",$H131*설정!$C$15)</f>
        <v/>
      </c>
      <c r="O131" s="4">
        <f>IF($A131="","",J131&amp;"|"&amp;K131)</f>
        <v/>
      </c>
      <c r="P131" s="63">
        <f>IF($A131="","",IF(COUNTIFS(예산_원본!$T$5:$T$3004,O131,예산_원본!$B$5:$B$3004,설정!$C$8,예산_원본!$U$5:$U$3004,L131)&gt;0,"Y","N"))</f>
        <v/>
      </c>
      <c r="Q131" s="63">
        <f>IF($A131="","",IF(COUNTIF(집계!$E$7:$E$506,O131)&gt;0,"Y","N"))</f>
        <v/>
      </c>
    </row>
    <row r="132">
      <c r="A132" s="60" t="n">
        <v>2025</v>
      </c>
      <c r="B132" s="60" t="n">
        <v>2</v>
      </c>
      <c r="C132" s="60" t="inlineStr">
        <is>
          <t>1000</t>
        </is>
      </c>
      <c r="D132" s="60" t="n">
        <v>1601</v>
      </c>
      <c r="E132" s="60" t="inlineStr">
        <is>
          <t>영업지원-본사</t>
        </is>
      </c>
      <c r="F132" s="60" t="n">
        <v>62201000</v>
      </c>
      <c r="G132" s="60" t="inlineStr">
        <is>
          <t>통신비</t>
        </is>
      </c>
      <c r="H132" s="61" t="n">
        <v>1009240</v>
      </c>
      <c r="J132" s="63">
        <f>IF($A132="","",IFERROR(INDEX(부서매핑!$C$5:$C$504,MATCH($D132&amp;"",부서매핑!$A$5:$A$504,0)),"미매핑"))</f>
        <v/>
      </c>
      <c r="K132" s="63">
        <f>IF($A132="","",IFERROR(INDEX(계정매핑!$C$5:$C$504,MATCH($F132&amp;"",계정매핑!$A$5:$A$504,0)),"미매핑"))</f>
        <v/>
      </c>
      <c r="L132" s="4">
        <f>IF($A132="","",VALUE($A132&amp;""))</f>
        <v/>
      </c>
      <c r="M132" s="4">
        <f>IF($A132="","",VALUE($B132&amp;""))</f>
        <v/>
      </c>
      <c r="N132" s="64">
        <f>IF($A132="","",$H132*설정!$C$15)</f>
        <v/>
      </c>
      <c r="O132" s="4">
        <f>IF($A132="","",J132&amp;"|"&amp;K132)</f>
        <v/>
      </c>
      <c r="P132" s="63">
        <f>IF($A132="","",IF(COUNTIFS(예산_원본!$T$5:$T$3004,O132,예산_원본!$B$5:$B$3004,설정!$C$8,예산_원본!$U$5:$U$3004,L132)&gt;0,"Y","N"))</f>
        <v/>
      </c>
      <c r="Q132" s="63">
        <f>IF($A132="","",IF(COUNTIF(집계!$E$7:$E$506,O132)&gt;0,"Y","N"))</f>
        <v/>
      </c>
    </row>
    <row r="133">
      <c r="A133" s="60" t="n">
        <v>2025</v>
      </c>
      <c r="B133" s="60" t="n">
        <v>2</v>
      </c>
      <c r="C133" s="60" t="inlineStr">
        <is>
          <t>1000</t>
        </is>
      </c>
      <c r="D133" s="60" t="n">
        <v>1601</v>
      </c>
      <c r="E133" s="60" t="inlineStr">
        <is>
          <t>영업지원-본사</t>
        </is>
      </c>
      <c r="F133" s="60" t="n">
        <v>62301000</v>
      </c>
      <c r="G133" s="60" t="inlineStr">
        <is>
          <t>소모품비</t>
        </is>
      </c>
      <c r="H133" s="61" t="n">
        <v>672900</v>
      </c>
      <c r="J133" s="63">
        <f>IF($A133="","",IFERROR(INDEX(부서매핑!$C$5:$C$504,MATCH($D133&amp;"",부서매핑!$A$5:$A$504,0)),"미매핑"))</f>
        <v/>
      </c>
      <c r="K133" s="63">
        <f>IF($A133="","",IFERROR(INDEX(계정매핑!$C$5:$C$504,MATCH($F133&amp;"",계정매핑!$A$5:$A$504,0)),"미매핑"))</f>
        <v/>
      </c>
      <c r="L133" s="4">
        <f>IF($A133="","",VALUE($A133&amp;""))</f>
        <v/>
      </c>
      <c r="M133" s="4">
        <f>IF($A133="","",VALUE($B133&amp;""))</f>
        <v/>
      </c>
      <c r="N133" s="64">
        <f>IF($A133="","",$H133*설정!$C$15)</f>
        <v/>
      </c>
      <c r="O133" s="4">
        <f>IF($A133="","",J133&amp;"|"&amp;K133)</f>
        <v/>
      </c>
      <c r="P133" s="63">
        <f>IF($A133="","",IF(COUNTIFS(예산_원본!$T$5:$T$3004,O133,예산_원본!$B$5:$B$3004,설정!$C$8,예산_원본!$U$5:$U$3004,L133)&gt;0,"Y","N"))</f>
        <v/>
      </c>
      <c r="Q133" s="63">
        <f>IF($A133="","",IF(COUNTIF(집계!$E$7:$E$506,O133)&gt;0,"Y","N"))</f>
        <v/>
      </c>
    </row>
    <row r="134">
      <c r="A134" s="60" t="n">
        <v>2025</v>
      </c>
      <c r="B134" s="60" t="n">
        <v>2</v>
      </c>
      <c r="C134" s="60" t="inlineStr">
        <is>
          <t>1000</t>
        </is>
      </c>
      <c r="D134" s="60" t="n">
        <v>1601</v>
      </c>
      <c r="E134" s="60" t="inlineStr">
        <is>
          <t>영업지원-본사</t>
        </is>
      </c>
      <c r="F134" s="60" t="n">
        <v>62501000</v>
      </c>
      <c r="G134" s="60" t="inlineStr">
        <is>
          <t>회의비</t>
        </is>
      </c>
      <c r="H134" s="61" t="n">
        <v>793010</v>
      </c>
      <c r="J134" s="63">
        <f>IF($A134="","",IFERROR(INDEX(부서매핑!$C$5:$C$504,MATCH($D134&amp;"",부서매핑!$A$5:$A$504,0)),"미매핑"))</f>
        <v/>
      </c>
      <c r="K134" s="63">
        <f>IF($A134="","",IFERROR(INDEX(계정매핑!$C$5:$C$504,MATCH($F134&amp;"",계정매핑!$A$5:$A$504,0)),"미매핑"))</f>
        <v/>
      </c>
      <c r="L134" s="4">
        <f>IF($A134="","",VALUE($A134&amp;""))</f>
        <v/>
      </c>
      <c r="M134" s="4">
        <f>IF($A134="","",VALUE($B134&amp;""))</f>
        <v/>
      </c>
      <c r="N134" s="64">
        <f>IF($A134="","",$H134*설정!$C$15)</f>
        <v/>
      </c>
      <c r="O134" s="4">
        <f>IF($A134="","",J134&amp;"|"&amp;K134)</f>
        <v/>
      </c>
      <c r="P134" s="63">
        <f>IF($A134="","",IF(COUNTIFS(예산_원본!$T$5:$T$3004,O134,예산_원본!$B$5:$B$3004,설정!$C$8,예산_원본!$U$5:$U$3004,L134)&gt;0,"Y","N"))</f>
        <v/>
      </c>
      <c r="Q134" s="63">
        <f>IF($A134="","",IF(COUNTIF(집계!$E$7:$E$506,O134)&gt;0,"Y","N"))</f>
        <v/>
      </c>
    </row>
    <row r="135">
      <c r="A135" s="60" t="n">
        <v>2025</v>
      </c>
      <c r="B135" s="60" t="n">
        <v>2</v>
      </c>
      <c r="C135" s="60" t="inlineStr">
        <is>
          <t>1000</t>
        </is>
      </c>
      <c r="D135" s="60" t="n">
        <v>1601</v>
      </c>
      <c r="E135" s="60" t="inlineStr">
        <is>
          <t>영업지원-본사</t>
        </is>
      </c>
      <c r="F135" s="60" t="n">
        <v>62601000</v>
      </c>
      <c r="G135" s="60" t="inlineStr">
        <is>
          <t>업무추진비</t>
        </is>
      </c>
      <c r="H135" s="61" t="n">
        <v>1935050</v>
      </c>
      <c r="J135" s="63">
        <f>IF($A135="","",IFERROR(INDEX(부서매핑!$C$5:$C$504,MATCH($D135&amp;"",부서매핑!$A$5:$A$504,0)),"미매핑"))</f>
        <v/>
      </c>
      <c r="K135" s="63">
        <f>IF($A135="","",IFERROR(INDEX(계정매핑!$C$5:$C$504,MATCH($F135&amp;"",계정매핑!$A$5:$A$504,0)),"미매핑"))</f>
        <v/>
      </c>
      <c r="L135" s="4">
        <f>IF($A135="","",VALUE($A135&amp;""))</f>
        <v/>
      </c>
      <c r="M135" s="4">
        <f>IF($A135="","",VALUE($B135&amp;""))</f>
        <v/>
      </c>
      <c r="N135" s="64">
        <f>IF($A135="","",$H135*설정!$C$15)</f>
        <v/>
      </c>
      <c r="O135" s="4">
        <f>IF($A135="","",J135&amp;"|"&amp;K135)</f>
        <v/>
      </c>
      <c r="P135" s="63">
        <f>IF($A135="","",IF(COUNTIFS(예산_원본!$T$5:$T$3004,O135,예산_원본!$B$5:$B$3004,설정!$C$8,예산_원본!$U$5:$U$3004,L135)&gt;0,"Y","N"))</f>
        <v/>
      </c>
      <c r="Q135" s="63">
        <f>IF($A135="","",IF(COUNTIF(집계!$E$7:$E$506,O135)&gt;0,"Y","N"))</f>
        <v/>
      </c>
    </row>
    <row r="136">
      <c r="A136" s="60" t="n">
        <v>2025</v>
      </c>
      <c r="B136" s="60" t="n">
        <v>2</v>
      </c>
      <c r="C136" s="60" t="inlineStr">
        <is>
          <t>1000</t>
        </is>
      </c>
      <c r="D136" s="60" t="n">
        <v>1601</v>
      </c>
      <c r="E136" s="60" t="inlineStr">
        <is>
          <t>영업지원-본사</t>
        </is>
      </c>
      <c r="F136" s="60" t="n">
        <v>63101000</v>
      </c>
      <c r="G136" s="60" t="inlineStr">
        <is>
          <t>임차료</t>
        </is>
      </c>
      <c r="H136" s="61" t="n">
        <v>8653420</v>
      </c>
      <c r="J136" s="63">
        <f>IF($A136="","",IFERROR(INDEX(부서매핑!$C$5:$C$504,MATCH($D136&amp;"",부서매핑!$A$5:$A$504,0)),"미매핑"))</f>
        <v/>
      </c>
      <c r="K136" s="63">
        <f>IF($A136="","",IFERROR(INDEX(계정매핑!$C$5:$C$504,MATCH($F136&amp;"",계정매핑!$A$5:$A$504,0)),"미매핑"))</f>
        <v/>
      </c>
      <c r="L136" s="4">
        <f>IF($A136="","",VALUE($A136&amp;""))</f>
        <v/>
      </c>
      <c r="M136" s="4">
        <f>IF($A136="","",VALUE($B136&amp;""))</f>
        <v/>
      </c>
      <c r="N136" s="64">
        <f>IF($A136="","",$H136*설정!$C$15)</f>
        <v/>
      </c>
      <c r="O136" s="4">
        <f>IF($A136="","",J136&amp;"|"&amp;K136)</f>
        <v/>
      </c>
      <c r="P136" s="63">
        <f>IF($A136="","",IF(COUNTIFS(예산_원본!$T$5:$T$3004,O136,예산_원본!$B$5:$B$3004,설정!$C$8,예산_원본!$U$5:$U$3004,L136)&gt;0,"Y","N"))</f>
        <v/>
      </c>
      <c r="Q136" s="63">
        <f>IF($A136="","",IF(COUNTIF(집계!$E$7:$E$506,O136)&gt;0,"Y","N"))</f>
        <v/>
      </c>
    </row>
    <row r="137">
      <c r="A137" s="60" t="n">
        <v>2025</v>
      </c>
      <c r="B137" s="60" t="n">
        <v>2</v>
      </c>
      <c r="C137" s="60" t="inlineStr">
        <is>
          <t>1000</t>
        </is>
      </c>
      <c r="D137" s="60" t="n">
        <v>1601</v>
      </c>
      <c r="E137" s="60" t="inlineStr">
        <is>
          <t>영업지원-본사</t>
        </is>
      </c>
      <c r="F137" s="60" t="n">
        <v>63201000</v>
      </c>
      <c r="G137" s="60" t="inlineStr">
        <is>
          <t>차량유지비</t>
        </is>
      </c>
      <c r="H137" s="61" t="n">
        <v>4167030</v>
      </c>
      <c r="J137" s="63">
        <f>IF($A137="","",IFERROR(INDEX(부서매핑!$C$5:$C$504,MATCH($D137&amp;"",부서매핑!$A$5:$A$504,0)),"미매핑"))</f>
        <v/>
      </c>
      <c r="K137" s="63">
        <f>IF($A137="","",IFERROR(INDEX(계정매핑!$C$5:$C$504,MATCH($F137&amp;"",계정매핑!$A$5:$A$504,0)),"미매핑"))</f>
        <v/>
      </c>
      <c r="L137" s="4">
        <f>IF($A137="","",VALUE($A137&amp;""))</f>
        <v/>
      </c>
      <c r="M137" s="4">
        <f>IF($A137="","",VALUE($B137&amp;""))</f>
        <v/>
      </c>
      <c r="N137" s="64">
        <f>IF($A137="","",$H137*설정!$C$15)</f>
        <v/>
      </c>
      <c r="O137" s="4">
        <f>IF($A137="","",J137&amp;"|"&amp;K137)</f>
        <v/>
      </c>
      <c r="P137" s="63">
        <f>IF($A137="","",IF(COUNTIFS(예산_원본!$T$5:$T$3004,O137,예산_원본!$B$5:$B$3004,설정!$C$8,예산_원본!$U$5:$U$3004,L137)&gt;0,"Y","N"))</f>
        <v/>
      </c>
      <c r="Q137" s="63">
        <f>IF($A137="","",IF(COUNTIF(집계!$E$7:$E$506,O137)&gt;0,"Y","N"))</f>
        <v/>
      </c>
    </row>
    <row r="138">
      <c r="A138" s="60" t="n">
        <v>2025</v>
      </c>
      <c r="B138" s="60" t="n">
        <v>2</v>
      </c>
      <c r="C138" s="60" t="inlineStr">
        <is>
          <t>1000</t>
        </is>
      </c>
      <c r="D138" s="60" t="n">
        <v>1602</v>
      </c>
      <c r="E138" s="60" t="inlineStr">
        <is>
          <t>영업지원-지역본부</t>
        </is>
      </c>
      <c r="F138" s="60" t="n">
        <v>62101000</v>
      </c>
      <c r="G138" s="60" t="inlineStr">
        <is>
          <t>여비교통비-국내</t>
        </is>
      </c>
      <c r="H138" s="61" t="n">
        <v>3136170</v>
      </c>
      <c r="J138" s="63">
        <f>IF($A138="","",IFERROR(INDEX(부서매핑!$C$5:$C$504,MATCH($D138&amp;"",부서매핑!$A$5:$A$504,0)),"미매핑"))</f>
        <v/>
      </c>
      <c r="K138" s="63">
        <f>IF($A138="","",IFERROR(INDEX(계정매핑!$C$5:$C$504,MATCH($F138&amp;"",계정매핑!$A$5:$A$504,0)),"미매핑"))</f>
        <v/>
      </c>
      <c r="L138" s="4">
        <f>IF($A138="","",VALUE($A138&amp;""))</f>
        <v/>
      </c>
      <c r="M138" s="4">
        <f>IF($A138="","",VALUE($B138&amp;""))</f>
        <v/>
      </c>
      <c r="N138" s="64">
        <f>IF($A138="","",$H138*설정!$C$15)</f>
        <v/>
      </c>
      <c r="O138" s="4">
        <f>IF($A138="","",J138&amp;"|"&amp;K138)</f>
        <v/>
      </c>
      <c r="P138" s="63">
        <f>IF($A138="","",IF(COUNTIFS(예산_원본!$T$5:$T$3004,O138,예산_원본!$B$5:$B$3004,설정!$C$8,예산_원본!$U$5:$U$3004,L138)&gt;0,"Y","N"))</f>
        <v/>
      </c>
      <c r="Q138" s="63">
        <f>IF($A138="","",IF(COUNTIF(집계!$E$7:$E$506,O138)&gt;0,"Y","N"))</f>
        <v/>
      </c>
    </row>
    <row r="139">
      <c r="A139" s="60" t="n">
        <v>2025</v>
      </c>
      <c r="B139" s="60" t="n">
        <v>2</v>
      </c>
      <c r="C139" s="60" t="inlineStr">
        <is>
          <t>1000</t>
        </is>
      </c>
      <c r="D139" s="60" t="n">
        <v>1602</v>
      </c>
      <c r="E139" s="60" t="inlineStr">
        <is>
          <t>영업지원-지역본부</t>
        </is>
      </c>
      <c r="F139" s="60" t="n">
        <v>62102000</v>
      </c>
      <c r="G139" s="60" t="inlineStr">
        <is>
          <t>여비교통비-해외</t>
        </is>
      </c>
      <c r="H139" s="61" t="n">
        <v>495490</v>
      </c>
      <c r="J139" s="63">
        <f>IF($A139="","",IFERROR(INDEX(부서매핑!$C$5:$C$504,MATCH($D139&amp;"",부서매핑!$A$5:$A$504,0)),"미매핑"))</f>
        <v/>
      </c>
      <c r="K139" s="63">
        <f>IF($A139="","",IFERROR(INDEX(계정매핑!$C$5:$C$504,MATCH($F139&amp;"",계정매핑!$A$5:$A$504,0)),"미매핑"))</f>
        <v/>
      </c>
      <c r="L139" s="4">
        <f>IF($A139="","",VALUE($A139&amp;""))</f>
        <v/>
      </c>
      <c r="M139" s="4">
        <f>IF($A139="","",VALUE($B139&amp;""))</f>
        <v/>
      </c>
      <c r="N139" s="64">
        <f>IF($A139="","",$H139*설정!$C$15)</f>
        <v/>
      </c>
      <c r="O139" s="4">
        <f>IF($A139="","",J139&amp;"|"&amp;K139)</f>
        <v/>
      </c>
      <c r="P139" s="63">
        <f>IF($A139="","",IF(COUNTIFS(예산_원본!$T$5:$T$3004,O139,예산_원본!$B$5:$B$3004,설정!$C$8,예산_원본!$U$5:$U$3004,L139)&gt;0,"Y","N"))</f>
        <v/>
      </c>
      <c r="Q139" s="63">
        <f>IF($A139="","",IF(COUNTIF(집계!$E$7:$E$506,O139)&gt;0,"Y","N"))</f>
        <v/>
      </c>
    </row>
    <row r="140">
      <c r="A140" s="60" t="n">
        <v>2025</v>
      </c>
      <c r="B140" s="60" t="n">
        <v>2</v>
      </c>
      <c r="C140" s="60" t="inlineStr">
        <is>
          <t>1000</t>
        </is>
      </c>
      <c r="D140" s="60" t="n">
        <v>1602</v>
      </c>
      <c r="E140" s="60" t="inlineStr">
        <is>
          <t>영업지원-지역본부</t>
        </is>
      </c>
      <c r="F140" s="60" t="n">
        <v>62201000</v>
      </c>
      <c r="G140" s="60" t="inlineStr">
        <is>
          <t>통신비</t>
        </is>
      </c>
      <c r="H140" s="61" t="n">
        <v>852740</v>
      </c>
      <c r="J140" s="63">
        <f>IF($A140="","",IFERROR(INDEX(부서매핑!$C$5:$C$504,MATCH($D140&amp;"",부서매핑!$A$5:$A$504,0)),"미매핑"))</f>
        <v/>
      </c>
      <c r="K140" s="63">
        <f>IF($A140="","",IFERROR(INDEX(계정매핑!$C$5:$C$504,MATCH($F140&amp;"",계정매핑!$A$5:$A$504,0)),"미매핑"))</f>
        <v/>
      </c>
      <c r="L140" s="4">
        <f>IF($A140="","",VALUE($A140&amp;""))</f>
        <v/>
      </c>
      <c r="M140" s="4">
        <f>IF($A140="","",VALUE($B140&amp;""))</f>
        <v/>
      </c>
      <c r="N140" s="64">
        <f>IF($A140="","",$H140*설정!$C$15)</f>
        <v/>
      </c>
      <c r="O140" s="4">
        <f>IF($A140="","",J140&amp;"|"&amp;K140)</f>
        <v/>
      </c>
      <c r="P140" s="63">
        <f>IF($A140="","",IF(COUNTIFS(예산_원본!$T$5:$T$3004,O140,예산_원본!$B$5:$B$3004,설정!$C$8,예산_원본!$U$5:$U$3004,L140)&gt;0,"Y","N"))</f>
        <v/>
      </c>
      <c r="Q140" s="63">
        <f>IF($A140="","",IF(COUNTIF(집계!$E$7:$E$506,O140)&gt;0,"Y","N"))</f>
        <v/>
      </c>
    </row>
    <row r="141">
      <c r="A141" s="60" t="n">
        <v>2025</v>
      </c>
      <c r="B141" s="60" t="n">
        <v>2</v>
      </c>
      <c r="C141" s="60" t="inlineStr">
        <is>
          <t>1000</t>
        </is>
      </c>
      <c r="D141" s="60" t="n">
        <v>1602</v>
      </c>
      <c r="E141" s="60" t="inlineStr">
        <is>
          <t>영업지원-지역본부</t>
        </is>
      </c>
      <c r="F141" s="60" t="n">
        <v>62301000</v>
      </c>
      <c r="G141" s="60" t="inlineStr">
        <is>
          <t>소모품비</t>
        </is>
      </c>
      <c r="H141" s="61" t="n">
        <v>631370</v>
      </c>
      <c r="J141" s="63">
        <f>IF($A141="","",IFERROR(INDEX(부서매핑!$C$5:$C$504,MATCH($D141&amp;"",부서매핑!$A$5:$A$504,0)),"미매핑"))</f>
        <v/>
      </c>
      <c r="K141" s="63">
        <f>IF($A141="","",IFERROR(INDEX(계정매핑!$C$5:$C$504,MATCH($F141&amp;"",계정매핑!$A$5:$A$504,0)),"미매핑"))</f>
        <v/>
      </c>
      <c r="L141" s="4">
        <f>IF($A141="","",VALUE($A141&amp;""))</f>
        <v/>
      </c>
      <c r="M141" s="4">
        <f>IF($A141="","",VALUE($B141&amp;""))</f>
        <v/>
      </c>
      <c r="N141" s="64">
        <f>IF($A141="","",$H141*설정!$C$15)</f>
        <v/>
      </c>
      <c r="O141" s="4">
        <f>IF($A141="","",J141&amp;"|"&amp;K141)</f>
        <v/>
      </c>
      <c r="P141" s="63">
        <f>IF($A141="","",IF(COUNTIFS(예산_원본!$T$5:$T$3004,O141,예산_원본!$B$5:$B$3004,설정!$C$8,예산_원본!$U$5:$U$3004,L141)&gt;0,"Y","N"))</f>
        <v/>
      </c>
      <c r="Q141" s="63">
        <f>IF($A141="","",IF(COUNTIF(집계!$E$7:$E$506,O141)&gt;0,"Y","N"))</f>
        <v/>
      </c>
    </row>
    <row r="142">
      <c r="A142" s="60" t="n">
        <v>2025</v>
      </c>
      <c r="B142" s="60" t="n">
        <v>2</v>
      </c>
      <c r="C142" s="60" t="inlineStr">
        <is>
          <t>1000</t>
        </is>
      </c>
      <c r="D142" s="60" t="n">
        <v>1602</v>
      </c>
      <c r="E142" s="60" t="inlineStr">
        <is>
          <t>영업지원-지역본부</t>
        </is>
      </c>
      <c r="F142" s="60" t="n">
        <v>62501000</v>
      </c>
      <c r="G142" s="60" t="inlineStr">
        <is>
          <t>회의비</t>
        </is>
      </c>
      <c r="H142" s="61" t="n">
        <v>764270</v>
      </c>
      <c r="J142" s="63">
        <f>IF($A142="","",IFERROR(INDEX(부서매핑!$C$5:$C$504,MATCH($D142&amp;"",부서매핑!$A$5:$A$504,0)),"미매핑"))</f>
        <v/>
      </c>
      <c r="K142" s="63">
        <f>IF($A142="","",IFERROR(INDEX(계정매핑!$C$5:$C$504,MATCH($F142&amp;"",계정매핑!$A$5:$A$504,0)),"미매핑"))</f>
        <v/>
      </c>
      <c r="L142" s="4">
        <f>IF($A142="","",VALUE($A142&amp;""))</f>
        <v/>
      </c>
      <c r="M142" s="4">
        <f>IF($A142="","",VALUE($B142&amp;""))</f>
        <v/>
      </c>
      <c r="N142" s="64">
        <f>IF($A142="","",$H142*설정!$C$15)</f>
        <v/>
      </c>
      <c r="O142" s="4">
        <f>IF($A142="","",J142&amp;"|"&amp;K142)</f>
        <v/>
      </c>
      <c r="P142" s="63">
        <f>IF($A142="","",IF(COUNTIFS(예산_원본!$T$5:$T$3004,O142,예산_원본!$B$5:$B$3004,설정!$C$8,예산_원본!$U$5:$U$3004,L142)&gt;0,"Y","N"))</f>
        <v/>
      </c>
      <c r="Q142" s="63">
        <f>IF($A142="","",IF(COUNTIF(집계!$E$7:$E$506,O142)&gt;0,"Y","N"))</f>
        <v/>
      </c>
    </row>
    <row r="143">
      <c r="A143" s="60" t="n">
        <v>2025</v>
      </c>
      <c r="B143" s="60" t="n">
        <v>2</v>
      </c>
      <c r="C143" s="60" t="inlineStr">
        <is>
          <t>1000</t>
        </is>
      </c>
      <c r="D143" s="60" t="n">
        <v>1602</v>
      </c>
      <c r="E143" s="60" t="inlineStr">
        <is>
          <t>영업지원-지역본부</t>
        </is>
      </c>
      <c r="F143" s="60" t="n">
        <v>62601000</v>
      </c>
      <c r="G143" s="60" t="inlineStr">
        <is>
          <t>업무추진비</t>
        </is>
      </c>
      <c r="H143" s="61" t="n">
        <v>1637370</v>
      </c>
      <c r="J143" s="63">
        <f>IF($A143="","",IFERROR(INDEX(부서매핑!$C$5:$C$504,MATCH($D143&amp;"",부서매핑!$A$5:$A$504,0)),"미매핑"))</f>
        <v/>
      </c>
      <c r="K143" s="63">
        <f>IF($A143="","",IFERROR(INDEX(계정매핑!$C$5:$C$504,MATCH($F143&amp;"",계정매핑!$A$5:$A$504,0)),"미매핑"))</f>
        <v/>
      </c>
      <c r="L143" s="4">
        <f>IF($A143="","",VALUE($A143&amp;""))</f>
        <v/>
      </c>
      <c r="M143" s="4">
        <f>IF($A143="","",VALUE($B143&amp;""))</f>
        <v/>
      </c>
      <c r="N143" s="64">
        <f>IF($A143="","",$H143*설정!$C$15)</f>
        <v/>
      </c>
      <c r="O143" s="4">
        <f>IF($A143="","",J143&amp;"|"&amp;K143)</f>
        <v/>
      </c>
      <c r="P143" s="63">
        <f>IF($A143="","",IF(COUNTIFS(예산_원본!$T$5:$T$3004,O143,예산_원본!$B$5:$B$3004,설정!$C$8,예산_원본!$U$5:$U$3004,L143)&gt;0,"Y","N"))</f>
        <v/>
      </c>
      <c r="Q143" s="63">
        <f>IF($A143="","",IF(COUNTIF(집계!$E$7:$E$506,O143)&gt;0,"Y","N"))</f>
        <v/>
      </c>
    </row>
    <row r="144">
      <c r="A144" s="60" t="n">
        <v>2025</v>
      </c>
      <c r="B144" s="60" t="n">
        <v>2</v>
      </c>
      <c r="C144" s="60" t="inlineStr">
        <is>
          <t>1000</t>
        </is>
      </c>
      <c r="D144" s="60" t="n">
        <v>1602</v>
      </c>
      <c r="E144" s="60" t="inlineStr">
        <is>
          <t>영업지원-지역본부</t>
        </is>
      </c>
      <c r="F144" s="60" t="n">
        <v>63101000</v>
      </c>
      <c r="G144" s="60" t="inlineStr">
        <is>
          <t>임차료</t>
        </is>
      </c>
      <c r="H144" s="61" t="n">
        <v>6988720</v>
      </c>
      <c r="J144" s="63">
        <f>IF($A144="","",IFERROR(INDEX(부서매핑!$C$5:$C$504,MATCH($D144&amp;"",부서매핑!$A$5:$A$504,0)),"미매핑"))</f>
        <v/>
      </c>
      <c r="K144" s="63">
        <f>IF($A144="","",IFERROR(INDEX(계정매핑!$C$5:$C$504,MATCH($F144&amp;"",계정매핑!$A$5:$A$504,0)),"미매핑"))</f>
        <v/>
      </c>
      <c r="L144" s="4">
        <f>IF($A144="","",VALUE($A144&amp;""))</f>
        <v/>
      </c>
      <c r="M144" s="4">
        <f>IF($A144="","",VALUE($B144&amp;""))</f>
        <v/>
      </c>
      <c r="N144" s="64">
        <f>IF($A144="","",$H144*설정!$C$15)</f>
        <v/>
      </c>
      <c r="O144" s="4">
        <f>IF($A144="","",J144&amp;"|"&amp;K144)</f>
        <v/>
      </c>
      <c r="P144" s="63">
        <f>IF($A144="","",IF(COUNTIFS(예산_원본!$T$5:$T$3004,O144,예산_원본!$B$5:$B$3004,설정!$C$8,예산_원본!$U$5:$U$3004,L144)&gt;0,"Y","N"))</f>
        <v/>
      </c>
      <c r="Q144" s="63">
        <f>IF($A144="","",IF(COUNTIF(집계!$E$7:$E$506,O144)&gt;0,"Y","N"))</f>
        <v/>
      </c>
    </row>
    <row r="145">
      <c r="A145" s="60" t="n">
        <v>2025</v>
      </c>
      <c r="B145" s="60" t="n">
        <v>2</v>
      </c>
      <c r="C145" s="60" t="inlineStr">
        <is>
          <t>1000</t>
        </is>
      </c>
      <c r="D145" s="60" t="n">
        <v>1602</v>
      </c>
      <c r="E145" s="60" t="inlineStr">
        <is>
          <t>영업지원-지역본부</t>
        </is>
      </c>
      <c r="F145" s="60" t="n">
        <v>63201000</v>
      </c>
      <c r="G145" s="60" t="inlineStr">
        <is>
          <t>차량유지비</t>
        </is>
      </c>
      <c r="H145" s="61" t="n">
        <v>3776570</v>
      </c>
      <c r="J145" s="63">
        <f>IF($A145="","",IFERROR(INDEX(부서매핑!$C$5:$C$504,MATCH($D145&amp;"",부서매핑!$A$5:$A$504,0)),"미매핑"))</f>
        <v/>
      </c>
      <c r="K145" s="63">
        <f>IF($A145="","",IFERROR(INDEX(계정매핑!$C$5:$C$504,MATCH($F145&amp;"",계정매핑!$A$5:$A$504,0)),"미매핑"))</f>
        <v/>
      </c>
      <c r="L145" s="4">
        <f>IF($A145="","",VALUE($A145&amp;""))</f>
        <v/>
      </c>
      <c r="M145" s="4">
        <f>IF($A145="","",VALUE($B145&amp;""))</f>
        <v/>
      </c>
      <c r="N145" s="64">
        <f>IF($A145="","",$H145*설정!$C$15)</f>
        <v/>
      </c>
      <c r="O145" s="4">
        <f>IF($A145="","",J145&amp;"|"&amp;K145)</f>
        <v/>
      </c>
      <c r="P145" s="63">
        <f>IF($A145="","",IF(COUNTIFS(예산_원본!$T$5:$T$3004,O145,예산_원본!$B$5:$B$3004,설정!$C$8,예산_원본!$U$5:$U$3004,L145)&gt;0,"Y","N"))</f>
        <v/>
      </c>
      <c r="Q145" s="63">
        <f>IF($A145="","",IF(COUNTIF(집계!$E$7:$E$506,O145)&gt;0,"Y","N"))</f>
        <v/>
      </c>
    </row>
    <row r="146">
      <c r="A146" s="60" t="n">
        <v>2025</v>
      </c>
      <c r="B146" s="60" t="n">
        <v>2</v>
      </c>
      <c r="C146" s="60" t="inlineStr">
        <is>
          <t>1000</t>
        </is>
      </c>
      <c r="D146" s="60" t="n">
        <v>1701</v>
      </c>
      <c r="E146" s="60" t="inlineStr">
        <is>
          <t>IT운영</t>
        </is>
      </c>
      <c r="F146" s="60" t="n">
        <v>62101000</v>
      </c>
      <c r="G146" s="60" t="inlineStr">
        <is>
          <t>여비교통비-국내</t>
        </is>
      </c>
      <c r="H146" s="61" t="n">
        <v>1064190</v>
      </c>
      <c r="J146" s="63">
        <f>IF($A146="","",IFERROR(INDEX(부서매핑!$C$5:$C$504,MATCH($D146&amp;"",부서매핑!$A$5:$A$504,0)),"미매핑"))</f>
        <v/>
      </c>
      <c r="K146" s="63">
        <f>IF($A146="","",IFERROR(INDEX(계정매핑!$C$5:$C$504,MATCH($F146&amp;"",계정매핑!$A$5:$A$504,0)),"미매핑"))</f>
        <v/>
      </c>
      <c r="L146" s="4">
        <f>IF($A146="","",VALUE($A146&amp;""))</f>
        <v/>
      </c>
      <c r="M146" s="4">
        <f>IF($A146="","",VALUE($B146&amp;""))</f>
        <v/>
      </c>
      <c r="N146" s="64">
        <f>IF($A146="","",$H146*설정!$C$15)</f>
        <v/>
      </c>
      <c r="O146" s="4">
        <f>IF($A146="","",J146&amp;"|"&amp;K146)</f>
        <v/>
      </c>
      <c r="P146" s="63">
        <f>IF($A146="","",IF(COUNTIFS(예산_원본!$T$5:$T$3004,O146,예산_원본!$B$5:$B$3004,설정!$C$8,예산_원본!$U$5:$U$3004,L146)&gt;0,"Y","N"))</f>
        <v/>
      </c>
      <c r="Q146" s="63">
        <f>IF($A146="","",IF(COUNTIF(집계!$E$7:$E$506,O146)&gt;0,"Y","N"))</f>
        <v/>
      </c>
    </row>
    <row r="147">
      <c r="A147" s="60" t="n">
        <v>2025</v>
      </c>
      <c r="B147" s="60" t="n">
        <v>2</v>
      </c>
      <c r="C147" s="60" t="inlineStr">
        <is>
          <t>1000</t>
        </is>
      </c>
      <c r="D147" s="60" t="n">
        <v>1701</v>
      </c>
      <c r="E147" s="60" t="inlineStr">
        <is>
          <t>IT운영</t>
        </is>
      </c>
      <c r="F147" s="60" t="n">
        <v>62102000</v>
      </c>
      <c r="G147" s="60" t="inlineStr">
        <is>
          <t>여비교통비-해외</t>
        </is>
      </c>
      <c r="H147" s="61" t="n">
        <v>202800</v>
      </c>
      <c r="J147" s="63">
        <f>IF($A147="","",IFERROR(INDEX(부서매핑!$C$5:$C$504,MATCH($D147&amp;"",부서매핑!$A$5:$A$504,0)),"미매핑"))</f>
        <v/>
      </c>
      <c r="K147" s="63">
        <f>IF($A147="","",IFERROR(INDEX(계정매핑!$C$5:$C$504,MATCH($F147&amp;"",계정매핑!$A$5:$A$504,0)),"미매핑"))</f>
        <v/>
      </c>
      <c r="L147" s="4">
        <f>IF($A147="","",VALUE($A147&amp;""))</f>
        <v/>
      </c>
      <c r="M147" s="4">
        <f>IF($A147="","",VALUE($B147&amp;""))</f>
        <v/>
      </c>
      <c r="N147" s="64">
        <f>IF($A147="","",$H147*설정!$C$15)</f>
        <v/>
      </c>
      <c r="O147" s="4">
        <f>IF($A147="","",J147&amp;"|"&amp;K147)</f>
        <v/>
      </c>
      <c r="P147" s="63">
        <f>IF($A147="","",IF(COUNTIFS(예산_원본!$T$5:$T$3004,O147,예산_원본!$B$5:$B$3004,설정!$C$8,예산_원본!$U$5:$U$3004,L147)&gt;0,"Y","N"))</f>
        <v/>
      </c>
      <c r="Q147" s="63">
        <f>IF($A147="","",IF(COUNTIF(집계!$E$7:$E$506,O147)&gt;0,"Y","N"))</f>
        <v/>
      </c>
    </row>
    <row r="148">
      <c r="A148" s="60" t="n">
        <v>2025</v>
      </c>
      <c r="B148" s="60" t="n">
        <v>2</v>
      </c>
      <c r="C148" s="60" t="inlineStr">
        <is>
          <t>1000</t>
        </is>
      </c>
      <c r="D148" s="60" t="n">
        <v>1701</v>
      </c>
      <c r="E148" s="60" t="inlineStr">
        <is>
          <t>IT운영</t>
        </is>
      </c>
      <c r="F148" s="60" t="n">
        <v>62201000</v>
      </c>
      <c r="G148" s="60" t="inlineStr">
        <is>
          <t>통신비</t>
        </is>
      </c>
      <c r="H148" s="61" t="n">
        <v>15934210</v>
      </c>
      <c r="J148" s="63">
        <f>IF($A148="","",IFERROR(INDEX(부서매핑!$C$5:$C$504,MATCH($D148&amp;"",부서매핑!$A$5:$A$504,0)),"미매핑"))</f>
        <v/>
      </c>
      <c r="K148" s="63">
        <f>IF($A148="","",IFERROR(INDEX(계정매핑!$C$5:$C$504,MATCH($F148&amp;"",계정매핑!$A$5:$A$504,0)),"미매핑"))</f>
        <v/>
      </c>
      <c r="L148" s="4">
        <f>IF($A148="","",VALUE($A148&amp;""))</f>
        <v/>
      </c>
      <c r="M148" s="4">
        <f>IF($A148="","",VALUE($B148&amp;""))</f>
        <v/>
      </c>
      <c r="N148" s="64">
        <f>IF($A148="","",$H148*설정!$C$15)</f>
        <v/>
      </c>
      <c r="O148" s="4">
        <f>IF($A148="","",J148&amp;"|"&amp;K148)</f>
        <v/>
      </c>
      <c r="P148" s="63">
        <f>IF($A148="","",IF(COUNTIFS(예산_원본!$T$5:$T$3004,O148,예산_원본!$B$5:$B$3004,설정!$C$8,예산_원본!$U$5:$U$3004,L148)&gt;0,"Y","N"))</f>
        <v/>
      </c>
      <c r="Q148" s="63">
        <f>IF($A148="","",IF(COUNTIF(집계!$E$7:$E$506,O148)&gt;0,"Y","N"))</f>
        <v/>
      </c>
    </row>
    <row r="149">
      <c r="A149" s="60" t="n">
        <v>2025</v>
      </c>
      <c r="B149" s="60" t="n">
        <v>2</v>
      </c>
      <c r="C149" s="60" t="inlineStr">
        <is>
          <t>1000</t>
        </is>
      </c>
      <c r="D149" s="60" t="n">
        <v>1701</v>
      </c>
      <c r="E149" s="60" t="inlineStr">
        <is>
          <t>IT운영</t>
        </is>
      </c>
      <c r="F149" s="60" t="n">
        <v>62301000</v>
      </c>
      <c r="G149" s="60" t="inlineStr">
        <is>
          <t>소모품비</t>
        </is>
      </c>
      <c r="H149" s="61" t="n">
        <v>857230</v>
      </c>
      <c r="J149" s="63">
        <f>IF($A149="","",IFERROR(INDEX(부서매핑!$C$5:$C$504,MATCH($D149&amp;"",부서매핑!$A$5:$A$504,0)),"미매핑"))</f>
        <v/>
      </c>
      <c r="K149" s="63">
        <f>IF($A149="","",IFERROR(INDEX(계정매핑!$C$5:$C$504,MATCH($F149&amp;"",계정매핑!$A$5:$A$504,0)),"미매핑"))</f>
        <v/>
      </c>
      <c r="L149" s="4">
        <f>IF($A149="","",VALUE($A149&amp;""))</f>
        <v/>
      </c>
      <c r="M149" s="4">
        <f>IF($A149="","",VALUE($B149&amp;""))</f>
        <v/>
      </c>
      <c r="N149" s="64">
        <f>IF($A149="","",$H149*설정!$C$15)</f>
        <v/>
      </c>
      <c r="O149" s="4">
        <f>IF($A149="","",J149&amp;"|"&amp;K149)</f>
        <v/>
      </c>
      <c r="P149" s="63">
        <f>IF($A149="","",IF(COUNTIFS(예산_원본!$T$5:$T$3004,O149,예산_원본!$B$5:$B$3004,설정!$C$8,예산_원본!$U$5:$U$3004,L149)&gt;0,"Y","N"))</f>
        <v/>
      </c>
      <c r="Q149" s="63">
        <f>IF($A149="","",IF(COUNTIF(집계!$E$7:$E$506,O149)&gt;0,"Y","N"))</f>
        <v/>
      </c>
    </row>
    <row r="150">
      <c r="A150" s="60" t="n">
        <v>2025</v>
      </c>
      <c r="B150" s="60" t="n">
        <v>2</v>
      </c>
      <c r="C150" s="60" t="inlineStr">
        <is>
          <t>1000</t>
        </is>
      </c>
      <c r="D150" s="60" t="n">
        <v>1701</v>
      </c>
      <c r="E150" s="60" t="inlineStr">
        <is>
          <t>IT운영</t>
        </is>
      </c>
      <c r="F150" s="60" t="n">
        <v>62501000</v>
      </c>
      <c r="G150" s="60" t="inlineStr">
        <is>
          <t>회의비</t>
        </is>
      </c>
      <c r="H150" s="61" t="n">
        <v>378680</v>
      </c>
      <c r="J150" s="63">
        <f>IF($A150="","",IFERROR(INDEX(부서매핑!$C$5:$C$504,MATCH($D150&amp;"",부서매핑!$A$5:$A$504,0)),"미매핑"))</f>
        <v/>
      </c>
      <c r="K150" s="63">
        <f>IF($A150="","",IFERROR(INDEX(계정매핑!$C$5:$C$504,MATCH($F150&amp;"",계정매핑!$A$5:$A$504,0)),"미매핑"))</f>
        <v/>
      </c>
      <c r="L150" s="4">
        <f>IF($A150="","",VALUE($A150&amp;""))</f>
        <v/>
      </c>
      <c r="M150" s="4">
        <f>IF($A150="","",VALUE($B150&amp;""))</f>
        <v/>
      </c>
      <c r="N150" s="64">
        <f>IF($A150="","",$H150*설정!$C$15)</f>
        <v/>
      </c>
      <c r="O150" s="4">
        <f>IF($A150="","",J150&amp;"|"&amp;K150)</f>
        <v/>
      </c>
      <c r="P150" s="63">
        <f>IF($A150="","",IF(COUNTIFS(예산_원본!$T$5:$T$3004,O150,예산_원본!$B$5:$B$3004,설정!$C$8,예산_원본!$U$5:$U$3004,L150)&gt;0,"Y","N"))</f>
        <v/>
      </c>
      <c r="Q150" s="63">
        <f>IF($A150="","",IF(COUNTIF(집계!$E$7:$E$506,O150)&gt;0,"Y","N"))</f>
        <v/>
      </c>
    </row>
    <row r="151">
      <c r="A151" s="60" t="n">
        <v>2025</v>
      </c>
      <c r="B151" s="60" t="n">
        <v>2</v>
      </c>
      <c r="C151" s="60" t="inlineStr">
        <is>
          <t>1000</t>
        </is>
      </c>
      <c r="D151" s="60" t="n">
        <v>1701</v>
      </c>
      <c r="E151" s="60" t="inlineStr">
        <is>
          <t>IT운영</t>
        </is>
      </c>
      <c r="F151" s="60" t="n">
        <v>63001000</v>
      </c>
      <c r="G151" s="60" t="inlineStr">
        <is>
          <t>전산운영비-SW유지보수</t>
        </is>
      </c>
      <c r="H151" s="61" t="n">
        <v>93989300</v>
      </c>
      <c r="J151" s="63">
        <f>IF($A151="","",IFERROR(INDEX(부서매핑!$C$5:$C$504,MATCH($D151&amp;"",부서매핑!$A$5:$A$504,0)),"미매핑"))</f>
        <v/>
      </c>
      <c r="K151" s="63">
        <f>IF($A151="","",IFERROR(INDEX(계정매핑!$C$5:$C$504,MATCH($F151&amp;"",계정매핑!$A$5:$A$504,0)),"미매핑"))</f>
        <v/>
      </c>
      <c r="L151" s="4">
        <f>IF($A151="","",VALUE($A151&amp;""))</f>
        <v/>
      </c>
      <c r="M151" s="4">
        <f>IF($A151="","",VALUE($B151&amp;""))</f>
        <v/>
      </c>
      <c r="N151" s="64">
        <f>IF($A151="","",$H151*설정!$C$15)</f>
        <v/>
      </c>
      <c r="O151" s="4">
        <f>IF($A151="","",J151&amp;"|"&amp;K151)</f>
        <v/>
      </c>
      <c r="P151" s="63">
        <f>IF($A151="","",IF(COUNTIFS(예산_원본!$T$5:$T$3004,O151,예산_원본!$B$5:$B$3004,설정!$C$8,예산_원본!$U$5:$U$3004,L151)&gt;0,"Y","N"))</f>
        <v/>
      </c>
      <c r="Q151" s="63">
        <f>IF($A151="","",IF(COUNTIF(집계!$E$7:$E$506,O151)&gt;0,"Y","N"))</f>
        <v/>
      </c>
    </row>
    <row r="152">
      <c r="A152" s="60" t="n">
        <v>2025</v>
      </c>
      <c r="B152" s="60" t="n">
        <v>2</v>
      </c>
      <c r="C152" s="60" t="inlineStr">
        <is>
          <t>1000</t>
        </is>
      </c>
      <c r="D152" s="60" t="n">
        <v>1701</v>
      </c>
      <c r="E152" s="60" t="inlineStr">
        <is>
          <t>IT운영</t>
        </is>
      </c>
      <c r="F152" s="60" t="n">
        <v>63002000</v>
      </c>
      <c r="G152" s="60" t="inlineStr">
        <is>
          <t>전산운영비-클라우드</t>
        </is>
      </c>
      <c r="H152" s="61" t="n">
        <v>87104330</v>
      </c>
      <c r="J152" s="63">
        <f>IF($A152="","",IFERROR(INDEX(부서매핑!$C$5:$C$504,MATCH($D152&amp;"",부서매핑!$A$5:$A$504,0)),"미매핑"))</f>
        <v/>
      </c>
      <c r="K152" s="63">
        <f>IF($A152="","",IFERROR(INDEX(계정매핑!$C$5:$C$504,MATCH($F152&amp;"",계정매핑!$A$5:$A$504,0)),"미매핑"))</f>
        <v/>
      </c>
      <c r="L152" s="4">
        <f>IF($A152="","",VALUE($A152&amp;""))</f>
        <v/>
      </c>
      <c r="M152" s="4">
        <f>IF($A152="","",VALUE($B152&amp;""))</f>
        <v/>
      </c>
      <c r="N152" s="64">
        <f>IF($A152="","",$H152*설정!$C$15)</f>
        <v/>
      </c>
      <c r="O152" s="4">
        <f>IF($A152="","",J152&amp;"|"&amp;K152)</f>
        <v/>
      </c>
      <c r="P152" s="63">
        <f>IF($A152="","",IF(COUNTIFS(예산_원본!$T$5:$T$3004,O152,예산_원본!$B$5:$B$3004,설정!$C$8,예산_원본!$U$5:$U$3004,L152)&gt;0,"Y","N"))</f>
        <v/>
      </c>
      <c r="Q152" s="63">
        <f>IF($A152="","",IF(COUNTIF(집계!$E$7:$E$506,O152)&gt;0,"Y","N"))</f>
        <v/>
      </c>
    </row>
    <row r="153">
      <c r="A153" s="60" t="n">
        <v>2025</v>
      </c>
      <c r="B153" s="60" t="n">
        <v>2</v>
      </c>
      <c r="C153" s="60" t="inlineStr">
        <is>
          <t>1000</t>
        </is>
      </c>
      <c r="D153" s="60" t="n">
        <v>1801</v>
      </c>
      <c r="E153" s="60" t="inlineStr">
        <is>
          <t>고객서비스</t>
        </is>
      </c>
      <c r="F153" s="60" t="n">
        <v>62101000</v>
      </c>
      <c r="G153" s="60" t="inlineStr">
        <is>
          <t>여비교통비-국내</t>
        </is>
      </c>
      <c r="H153" s="61" t="n">
        <v>666490</v>
      </c>
      <c r="J153" s="63">
        <f>IF($A153="","",IFERROR(INDEX(부서매핑!$C$5:$C$504,MATCH($D153&amp;"",부서매핑!$A$5:$A$504,0)),"미매핑"))</f>
        <v/>
      </c>
      <c r="K153" s="63">
        <f>IF($A153="","",IFERROR(INDEX(계정매핑!$C$5:$C$504,MATCH($F153&amp;"",계정매핑!$A$5:$A$504,0)),"미매핑"))</f>
        <v/>
      </c>
      <c r="L153" s="4">
        <f>IF($A153="","",VALUE($A153&amp;""))</f>
        <v/>
      </c>
      <c r="M153" s="4">
        <f>IF($A153="","",VALUE($B153&amp;""))</f>
        <v/>
      </c>
      <c r="N153" s="64">
        <f>IF($A153="","",$H153*설정!$C$15)</f>
        <v/>
      </c>
      <c r="O153" s="4">
        <f>IF($A153="","",J153&amp;"|"&amp;K153)</f>
        <v/>
      </c>
      <c r="P153" s="63">
        <f>IF($A153="","",IF(COUNTIFS(예산_원본!$T$5:$T$3004,O153,예산_원본!$B$5:$B$3004,설정!$C$8,예산_원본!$U$5:$U$3004,L153)&gt;0,"Y","N"))</f>
        <v/>
      </c>
      <c r="Q153" s="63">
        <f>IF($A153="","",IF(COUNTIF(집계!$E$7:$E$506,O153)&gt;0,"Y","N"))</f>
        <v/>
      </c>
    </row>
    <row r="154">
      <c r="A154" s="60" t="n">
        <v>2025</v>
      </c>
      <c r="B154" s="60" t="n">
        <v>2</v>
      </c>
      <c r="C154" s="60" t="inlineStr">
        <is>
          <t>1000</t>
        </is>
      </c>
      <c r="D154" s="60" t="n">
        <v>1801</v>
      </c>
      <c r="E154" s="60" t="inlineStr">
        <is>
          <t>고객서비스</t>
        </is>
      </c>
      <c r="F154" s="60" t="n">
        <v>62102000</v>
      </c>
      <c r="G154" s="60" t="inlineStr">
        <is>
          <t>여비교통비-해외</t>
        </is>
      </c>
      <c r="H154" s="61" t="n">
        <v>130250</v>
      </c>
      <c r="J154" s="63">
        <f>IF($A154="","",IFERROR(INDEX(부서매핑!$C$5:$C$504,MATCH($D154&amp;"",부서매핑!$A$5:$A$504,0)),"미매핑"))</f>
        <v/>
      </c>
      <c r="K154" s="63">
        <f>IF($A154="","",IFERROR(INDEX(계정매핑!$C$5:$C$504,MATCH($F154&amp;"",계정매핑!$A$5:$A$504,0)),"미매핑"))</f>
        <v/>
      </c>
      <c r="L154" s="4">
        <f>IF($A154="","",VALUE($A154&amp;""))</f>
        <v/>
      </c>
      <c r="M154" s="4">
        <f>IF($A154="","",VALUE($B154&amp;""))</f>
        <v/>
      </c>
      <c r="N154" s="64">
        <f>IF($A154="","",$H154*설정!$C$15)</f>
        <v/>
      </c>
      <c r="O154" s="4">
        <f>IF($A154="","",J154&amp;"|"&amp;K154)</f>
        <v/>
      </c>
      <c r="P154" s="63">
        <f>IF($A154="","",IF(COUNTIFS(예산_원본!$T$5:$T$3004,O154,예산_원본!$B$5:$B$3004,설정!$C$8,예산_원본!$U$5:$U$3004,L154)&gt;0,"Y","N"))</f>
        <v/>
      </c>
      <c r="Q154" s="63">
        <f>IF($A154="","",IF(COUNTIF(집계!$E$7:$E$506,O154)&gt;0,"Y","N"))</f>
        <v/>
      </c>
    </row>
    <row r="155">
      <c r="A155" s="60" t="n">
        <v>2025</v>
      </c>
      <c r="B155" s="60" t="n">
        <v>2</v>
      </c>
      <c r="C155" s="60" t="inlineStr">
        <is>
          <t>1000</t>
        </is>
      </c>
      <c r="D155" s="60" t="n">
        <v>1801</v>
      </c>
      <c r="E155" s="60" t="inlineStr">
        <is>
          <t>고객서비스</t>
        </is>
      </c>
      <c r="F155" s="60" t="n">
        <v>62201000</v>
      </c>
      <c r="G155" s="60" t="inlineStr">
        <is>
          <t>통신비</t>
        </is>
      </c>
      <c r="H155" s="61" t="n">
        <v>15846320</v>
      </c>
      <c r="J155" s="63">
        <f>IF($A155="","",IFERROR(INDEX(부서매핑!$C$5:$C$504,MATCH($D155&amp;"",부서매핑!$A$5:$A$504,0)),"미매핑"))</f>
        <v/>
      </c>
      <c r="K155" s="63">
        <f>IF($A155="","",IFERROR(INDEX(계정매핑!$C$5:$C$504,MATCH($F155&amp;"",계정매핑!$A$5:$A$504,0)),"미매핑"))</f>
        <v/>
      </c>
      <c r="L155" s="4">
        <f>IF($A155="","",VALUE($A155&amp;""))</f>
        <v/>
      </c>
      <c r="M155" s="4">
        <f>IF($A155="","",VALUE($B155&amp;""))</f>
        <v/>
      </c>
      <c r="N155" s="64">
        <f>IF($A155="","",$H155*설정!$C$15)</f>
        <v/>
      </c>
      <c r="O155" s="4">
        <f>IF($A155="","",J155&amp;"|"&amp;K155)</f>
        <v/>
      </c>
      <c r="P155" s="63">
        <f>IF($A155="","",IF(COUNTIFS(예산_원본!$T$5:$T$3004,O155,예산_원본!$B$5:$B$3004,설정!$C$8,예산_원본!$U$5:$U$3004,L155)&gt;0,"Y","N"))</f>
        <v/>
      </c>
      <c r="Q155" s="63">
        <f>IF($A155="","",IF(COUNTIF(집계!$E$7:$E$506,O155)&gt;0,"Y","N"))</f>
        <v/>
      </c>
    </row>
    <row r="156">
      <c r="A156" s="60" t="n">
        <v>2025</v>
      </c>
      <c r="B156" s="60" t="n">
        <v>2</v>
      </c>
      <c r="C156" s="60" t="inlineStr">
        <is>
          <t>1000</t>
        </is>
      </c>
      <c r="D156" s="60" t="n">
        <v>1801</v>
      </c>
      <c r="E156" s="60" t="inlineStr">
        <is>
          <t>고객서비스</t>
        </is>
      </c>
      <c r="F156" s="60" t="n">
        <v>62301000</v>
      </c>
      <c r="G156" s="60" t="inlineStr">
        <is>
          <t>소모품비</t>
        </is>
      </c>
      <c r="H156" s="61" t="n">
        <v>1589660</v>
      </c>
      <c r="J156" s="63">
        <f>IF($A156="","",IFERROR(INDEX(부서매핑!$C$5:$C$504,MATCH($D156&amp;"",부서매핑!$A$5:$A$504,0)),"미매핑"))</f>
        <v/>
      </c>
      <c r="K156" s="63">
        <f>IF($A156="","",IFERROR(INDEX(계정매핑!$C$5:$C$504,MATCH($F156&amp;"",계정매핑!$A$5:$A$504,0)),"미매핑"))</f>
        <v/>
      </c>
      <c r="L156" s="4">
        <f>IF($A156="","",VALUE($A156&amp;""))</f>
        <v/>
      </c>
      <c r="M156" s="4">
        <f>IF($A156="","",VALUE($B156&amp;""))</f>
        <v/>
      </c>
      <c r="N156" s="64">
        <f>IF($A156="","",$H156*설정!$C$15)</f>
        <v/>
      </c>
      <c r="O156" s="4">
        <f>IF($A156="","",J156&amp;"|"&amp;K156)</f>
        <v/>
      </c>
      <c r="P156" s="63">
        <f>IF($A156="","",IF(COUNTIFS(예산_원본!$T$5:$T$3004,O156,예산_원본!$B$5:$B$3004,설정!$C$8,예산_원본!$U$5:$U$3004,L156)&gt;0,"Y","N"))</f>
        <v/>
      </c>
      <c r="Q156" s="63">
        <f>IF($A156="","",IF(COUNTIF(집계!$E$7:$E$506,O156)&gt;0,"Y","N"))</f>
        <v/>
      </c>
    </row>
    <row r="157">
      <c r="A157" s="60" t="n">
        <v>2025</v>
      </c>
      <c r="B157" s="60" t="n">
        <v>2</v>
      </c>
      <c r="C157" s="60" t="inlineStr">
        <is>
          <t>1000</t>
        </is>
      </c>
      <c r="D157" s="60" t="n">
        <v>1801</v>
      </c>
      <c r="E157" s="60" t="inlineStr">
        <is>
          <t>고객서비스</t>
        </is>
      </c>
      <c r="F157" s="60" t="n">
        <v>62401000</v>
      </c>
      <c r="G157" s="60" t="inlineStr">
        <is>
          <t>도서인쇄비</t>
        </is>
      </c>
      <c r="H157" s="61" t="n">
        <v>7245580</v>
      </c>
      <c r="J157" s="63">
        <f>IF($A157="","",IFERROR(INDEX(부서매핑!$C$5:$C$504,MATCH($D157&amp;"",부서매핑!$A$5:$A$504,0)),"미매핑"))</f>
        <v/>
      </c>
      <c r="K157" s="63">
        <f>IF($A157="","",IFERROR(INDEX(계정매핑!$C$5:$C$504,MATCH($F157&amp;"",계정매핑!$A$5:$A$504,0)),"미매핑"))</f>
        <v/>
      </c>
      <c r="L157" s="4">
        <f>IF($A157="","",VALUE($A157&amp;""))</f>
        <v/>
      </c>
      <c r="M157" s="4">
        <f>IF($A157="","",VALUE($B157&amp;""))</f>
        <v/>
      </c>
      <c r="N157" s="64">
        <f>IF($A157="","",$H157*설정!$C$15)</f>
        <v/>
      </c>
      <c r="O157" s="4">
        <f>IF($A157="","",J157&amp;"|"&amp;K157)</f>
        <v/>
      </c>
      <c r="P157" s="63">
        <f>IF($A157="","",IF(COUNTIFS(예산_원본!$T$5:$T$3004,O157,예산_원본!$B$5:$B$3004,설정!$C$8,예산_원본!$U$5:$U$3004,L157)&gt;0,"Y","N"))</f>
        <v/>
      </c>
      <c r="Q157" s="63">
        <f>IF($A157="","",IF(COUNTIF(집계!$E$7:$E$506,O157)&gt;0,"Y","N"))</f>
        <v/>
      </c>
    </row>
    <row r="158">
      <c r="A158" s="60" t="n">
        <v>2025</v>
      </c>
      <c r="B158" s="60" t="n">
        <v>2</v>
      </c>
      <c r="C158" s="60" t="inlineStr">
        <is>
          <t>1000</t>
        </is>
      </c>
      <c r="D158" s="60" t="n">
        <v>1801</v>
      </c>
      <c r="E158" s="60" t="inlineStr">
        <is>
          <t>고객서비스</t>
        </is>
      </c>
      <c r="F158" s="60" t="n">
        <v>62501000</v>
      </c>
      <c r="G158" s="60" t="inlineStr">
        <is>
          <t>회의비</t>
        </is>
      </c>
      <c r="H158" s="61" t="n">
        <v>544070</v>
      </c>
      <c r="J158" s="63">
        <f>IF($A158="","",IFERROR(INDEX(부서매핑!$C$5:$C$504,MATCH($D158&amp;"",부서매핑!$A$5:$A$504,0)),"미매핑"))</f>
        <v/>
      </c>
      <c r="K158" s="63">
        <f>IF($A158="","",IFERROR(INDEX(계정매핑!$C$5:$C$504,MATCH($F158&amp;"",계정매핑!$A$5:$A$504,0)),"미매핑"))</f>
        <v/>
      </c>
      <c r="L158" s="4">
        <f>IF($A158="","",VALUE($A158&amp;""))</f>
        <v/>
      </c>
      <c r="M158" s="4">
        <f>IF($A158="","",VALUE($B158&amp;""))</f>
        <v/>
      </c>
      <c r="N158" s="64">
        <f>IF($A158="","",$H158*설정!$C$15)</f>
        <v/>
      </c>
      <c r="O158" s="4">
        <f>IF($A158="","",J158&amp;"|"&amp;K158)</f>
        <v/>
      </c>
      <c r="P158" s="63">
        <f>IF($A158="","",IF(COUNTIFS(예산_원본!$T$5:$T$3004,O158,예산_원본!$B$5:$B$3004,설정!$C$8,예산_원본!$U$5:$U$3004,L158)&gt;0,"Y","N"))</f>
        <v/>
      </c>
      <c r="Q158" s="63">
        <f>IF($A158="","",IF(COUNTIF(집계!$E$7:$E$506,O158)&gt;0,"Y","N"))</f>
        <v/>
      </c>
    </row>
    <row r="159">
      <c r="A159" s="60" t="n">
        <v>2025</v>
      </c>
      <c r="B159" s="60" t="n">
        <v>2</v>
      </c>
      <c r="C159" s="60" t="inlineStr">
        <is>
          <t>1000</t>
        </is>
      </c>
      <c r="D159" s="60" t="n">
        <v>1801</v>
      </c>
      <c r="E159" s="60" t="inlineStr">
        <is>
          <t>고객서비스</t>
        </is>
      </c>
      <c r="F159" s="60" t="n">
        <v>62901000</v>
      </c>
      <c r="G159" s="60" t="inlineStr">
        <is>
          <t>지급수수료-컨설팅</t>
        </is>
      </c>
      <c r="H159" s="61" t="n">
        <v>27051820</v>
      </c>
      <c r="J159" s="63">
        <f>IF($A159="","",IFERROR(INDEX(부서매핑!$C$5:$C$504,MATCH($D159&amp;"",부서매핑!$A$5:$A$504,0)),"미매핑"))</f>
        <v/>
      </c>
      <c r="K159" s="63">
        <f>IF($A159="","",IFERROR(INDEX(계정매핑!$C$5:$C$504,MATCH($F159&amp;"",계정매핑!$A$5:$A$504,0)),"미매핑"))</f>
        <v/>
      </c>
      <c r="L159" s="4">
        <f>IF($A159="","",VALUE($A159&amp;""))</f>
        <v/>
      </c>
      <c r="M159" s="4">
        <f>IF($A159="","",VALUE($B159&amp;""))</f>
        <v/>
      </c>
      <c r="N159" s="64">
        <f>IF($A159="","",$H159*설정!$C$15)</f>
        <v/>
      </c>
      <c r="O159" s="4">
        <f>IF($A159="","",J159&amp;"|"&amp;K159)</f>
        <v/>
      </c>
      <c r="P159" s="63">
        <f>IF($A159="","",IF(COUNTIFS(예산_원본!$T$5:$T$3004,O159,예산_원본!$B$5:$B$3004,설정!$C$8,예산_원본!$U$5:$U$3004,L159)&gt;0,"Y","N"))</f>
        <v/>
      </c>
      <c r="Q159" s="63">
        <f>IF($A159="","",IF(COUNTIF(집계!$E$7:$E$506,O159)&gt;0,"Y","N"))</f>
        <v/>
      </c>
    </row>
    <row r="160">
      <c r="A160" s="60" t="n">
        <v>2025</v>
      </c>
      <c r="B160" s="60" t="n">
        <v>2</v>
      </c>
      <c r="C160" s="60" t="inlineStr">
        <is>
          <t>1000</t>
        </is>
      </c>
      <c r="D160" s="60" t="n">
        <v>1801</v>
      </c>
      <c r="E160" s="60" t="inlineStr">
        <is>
          <t>고객서비스</t>
        </is>
      </c>
      <c r="F160" s="60" t="n">
        <v>62902000</v>
      </c>
      <c r="G160" s="60" t="inlineStr">
        <is>
          <t>지급수수료-기타</t>
        </is>
      </c>
      <c r="H160" s="61" t="n">
        <v>11848300</v>
      </c>
      <c r="J160" s="63">
        <f>IF($A160="","",IFERROR(INDEX(부서매핑!$C$5:$C$504,MATCH($D160&amp;"",부서매핑!$A$5:$A$504,0)),"미매핑"))</f>
        <v/>
      </c>
      <c r="K160" s="63">
        <f>IF($A160="","",IFERROR(INDEX(계정매핑!$C$5:$C$504,MATCH($F160&amp;"",계정매핑!$A$5:$A$504,0)),"미매핑"))</f>
        <v/>
      </c>
      <c r="L160" s="4">
        <f>IF($A160="","",VALUE($A160&amp;""))</f>
        <v/>
      </c>
      <c r="M160" s="4">
        <f>IF($A160="","",VALUE($B160&amp;""))</f>
        <v/>
      </c>
      <c r="N160" s="64">
        <f>IF($A160="","",$H160*설정!$C$15)</f>
        <v/>
      </c>
      <c r="O160" s="4">
        <f>IF($A160="","",J160&amp;"|"&amp;K160)</f>
        <v/>
      </c>
      <c r="P160" s="63">
        <f>IF($A160="","",IF(COUNTIFS(예산_원본!$T$5:$T$3004,O160,예산_원본!$B$5:$B$3004,설정!$C$8,예산_원본!$U$5:$U$3004,L160)&gt;0,"Y","N"))</f>
        <v/>
      </c>
      <c r="Q160" s="63">
        <f>IF($A160="","",IF(COUNTIF(집계!$E$7:$E$506,O160)&gt;0,"Y","N"))</f>
        <v/>
      </c>
    </row>
    <row r="161">
      <c r="A161" s="60" t="n">
        <v>2025</v>
      </c>
      <c r="B161" s="60" t="n">
        <v>3</v>
      </c>
      <c r="C161" s="60" t="inlineStr">
        <is>
          <t>1000</t>
        </is>
      </c>
      <c r="D161" s="60" t="n">
        <v>1101</v>
      </c>
      <c r="E161" s="60" t="inlineStr">
        <is>
          <t>경영기획</t>
        </is>
      </c>
      <c r="F161" s="60" t="n">
        <v>62101000</v>
      </c>
      <c r="G161" s="60" t="inlineStr">
        <is>
          <t>여비교통비-국내</t>
        </is>
      </c>
      <c r="H161" s="61" t="n">
        <v>1891020</v>
      </c>
      <c r="J161" s="63">
        <f>IF($A161="","",IFERROR(INDEX(부서매핑!$C$5:$C$504,MATCH($D161&amp;"",부서매핑!$A$5:$A$504,0)),"미매핑"))</f>
        <v/>
      </c>
      <c r="K161" s="63">
        <f>IF($A161="","",IFERROR(INDEX(계정매핑!$C$5:$C$504,MATCH($F161&amp;"",계정매핑!$A$5:$A$504,0)),"미매핑"))</f>
        <v/>
      </c>
      <c r="L161" s="4">
        <f>IF($A161="","",VALUE($A161&amp;""))</f>
        <v/>
      </c>
      <c r="M161" s="4">
        <f>IF($A161="","",VALUE($B161&amp;""))</f>
        <v/>
      </c>
      <c r="N161" s="64">
        <f>IF($A161="","",$H161*설정!$C$15)</f>
        <v/>
      </c>
      <c r="O161" s="4">
        <f>IF($A161="","",J161&amp;"|"&amp;K161)</f>
        <v/>
      </c>
      <c r="P161" s="63">
        <f>IF($A161="","",IF(COUNTIFS(예산_원본!$T$5:$T$3004,O161,예산_원본!$B$5:$B$3004,설정!$C$8,예산_원본!$U$5:$U$3004,L161)&gt;0,"Y","N"))</f>
        <v/>
      </c>
      <c r="Q161" s="63">
        <f>IF($A161="","",IF(COUNTIF(집계!$E$7:$E$506,O161)&gt;0,"Y","N"))</f>
        <v/>
      </c>
    </row>
    <row r="162">
      <c r="A162" s="60" t="n">
        <v>2025</v>
      </c>
      <c r="B162" s="60" t="n">
        <v>3</v>
      </c>
      <c r="C162" s="60" t="inlineStr">
        <is>
          <t>1000</t>
        </is>
      </c>
      <c r="D162" s="60" t="n">
        <v>1101</v>
      </c>
      <c r="E162" s="60" t="inlineStr">
        <is>
          <t>경영기획</t>
        </is>
      </c>
      <c r="F162" s="60" t="n">
        <v>62102000</v>
      </c>
      <c r="G162" s="60" t="inlineStr">
        <is>
          <t>여비교통비-해외</t>
        </is>
      </c>
      <c r="H162" s="61" t="n">
        <v>309100</v>
      </c>
      <c r="J162" s="63">
        <f>IF($A162="","",IFERROR(INDEX(부서매핑!$C$5:$C$504,MATCH($D162&amp;"",부서매핑!$A$5:$A$504,0)),"미매핑"))</f>
        <v/>
      </c>
      <c r="K162" s="63">
        <f>IF($A162="","",IFERROR(INDEX(계정매핑!$C$5:$C$504,MATCH($F162&amp;"",계정매핑!$A$5:$A$504,0)),"미매핑"))</f>
        <v/>
      </c>
      <c r="L162" s="4">
        <f>IF($A162="","",VALUE($A162&amp;""))</f>
        <v/>
      </c>
      <c r="M162" s="4">
        <f>IF($A162="","",VALUE($B162&amp;""))</f>
        <v/>
      </c>
      <c r="N162" s="64">
        <f>IF($A162="","",$H162*설정!$C$15)</f>
        <v/>
      </c>
      <c r="O162" s="4">
        <f>IF($A162="","",J162&amp;"|"&amp;K162)</f>
        <v/>
      </c>
      <c r="P162" s="63">
        <f>IF($A162="","",IF(COUNTIFS(예산_원본!$T$5:$T$3004,O162,예산_원본!$B$5:$B$3004,설정!$C$8,예산_원본!$U$5:$U$3004,L162)&gt;0,"Y","N"))</f>
        <v/>
      </c>
      <c r="Q162" s="63">
        <f>IF($A162="","",IF(COUNTIF(집계!$E$7:$E$506,O162)&gt;0,"Y","N"))</f>
        <v/>
      </c>
    </row>
    <row r="163">
      <c r="A163" s="60" t="n">
        <v>2025</v>
      </c>
      <c r="B163" s="60" t="n">
        <v>3</v>
      </c>
      <c r="C163" s="60" t="inlineStr">
        <is>
          <t>1000</t>
        </is>
      </c>
      <c r="D163" s="60" t="n">
        <v>1101</v>
      </c>
      <c r="E163" s="60" t="inlineStr">
        <is>
          <t>경영기획</t>
        </is>
      </c>
      <c r="F163" s="60" t="n">
        <v>62201000</v>
      </c>
      <c r="G163" s="60" t="inlineStr">
        <is>
          <t>통신비</t>
        </is>
      </c>
      <c r="H163" s="61" t="n">
        <v>852360</v>
      </c>
      <c r="J163" s="63">
        <f>IF($A163="","",IFERROR(INDEX(부서매핑!$C$5:$C$504,MATCH($D163&amp;"",부서매핑!$A$5:$A$504,0)),"미매핑"))</f>
        <v/>
      </c>
      <c r="K163" s="63">
        <f>IF($A163="","",IFERROR(INDEX(계정매핑!$C$5:$C$504,MATCH($F163&amp;"",계정매핑!$A$5:$A$504,0)),"미매핑"))</f>
        <v/>
      </c>
      <c r="L163" s="4">
        <f>IF($A163="","",VALUE($A163&amp;""))</f>
        <v/>
      </c>
      <c r="M163" s="4">
        <f>IF($A163="","",VALUE($B163&amp;""))</f>
        <v/>
      </c>
      <c r="N163" s="64">
        <f>IF($A163="","",$H163*설정!$C$15)</f>
        <v/>
      </c>
      <c r="O163" s="4">
        <f>IF($A163="","",J163&amp;"|"&amp;K163)</f>
        <v/>
      </c>
      <c r="P163" s="63">
        <f>IF($A163="","",IF(COUNTIFS(예산_원본!$T$5:$T$3004,O163,예산_원본!$B$5:$B$3004,설정!$C$8,예산_원본!$U$5:$U$3004,L163)&gt;0,"Y","N"))</f>
        <v/>
      </c>
      <c r="Q163" s="63">
        <f>IF($A163="","",IF(COUNTIF(집계!$E$7:$E$506,O163)&gt;0,"Y","N"))</f>
        <v/>
      </c>
    </row>
    <row r="164">
      <c r="A164" s="60" t="n">
        <v>2025</v>
      </c>
      <c r="B164" s="60" t="n">
        <v>3</v>
      </c>
      <c r="C164" s="60" t="inlineStr">
        <is>
          <t>1000</t>
        </is>
      </c>
      <c r="D164" s="60" t="n">
        <v>1101</v>
      </c>
      <c r="E164" s="60" t="inlineStr">
        <is>
          <t>경영기획</t>
        </is>
      </c>
      <c r="F164" s="60" t="n">
        <v>62301000</v>
      </c>
      <c r="G164" s="60" t="inlineStr">
        <is>
          <t>소모품비</t>
        </is>
      </c>
      <c r="H164" s="61" t="n">
        <v>464420</v>
      </c>
      <c r="J164" s="63">
        <f>IF($A164="","",IFERROR(INDEX(부서매핑!$C$5:$C$504,MATCH($D164&amp;"",부서매핑!$A$5:$A$504,0)),"미매핑"))</f>
        <v/>
      </c>
      <c r="K164" s="63">
        <f>IF($A164="","",IFERROR(INDEX(계정매핑!$C$5:$C$504,MATCH($F164&amp;"",계정매핑!$A$5:$A$504,0)),"미매핑"))</f>
        <v/>
      </c>
      <c r="L164" s="4">
        <f>IF($A164="","",VALUE($A164&amp;""))</f>
        <v/>
      </c>
      <c r="M164" s="4">
        <f>IF($A164="","",VALUE($B164&amp;""))</f>
        <v/>
      </c>
      <c r="N164" s="64">
        <f>IF($A164="","",$H164*설정!$C$15)</f>
        <v/>
      </c>
      <c r="O164" s="4">
        <f>IF($A164="","",J164&amp;"|"&amp;K164)</f>
        <v/>
      </c>
      <c r="P164" s="63">
        <f>IF($A164="","",IF(COUNTIFS(예산_원본!$T$5:$T$3004,O164,예산_원본!$B$5:$B$3004,설정!$C$8,예산_원본!$U$5:$U$3004,L164)&gt;0,"Y","N"))</f>
        <v/>
      </c>
      <c r="Q164" s="63">
        <f>IF($A164="","",IF(COUNTIF(집계!$E$7:$E$506,O164)&gt;0,"Y","N"))</f>
        <v/>
      </c>
    </row>
    <row r="165">
      <c r="A165" s="60" t="n">
        <v>2025</v>
      </c>
      <c r="B165" s="60" t="n">
        <v>3</v>
      </c>
      <c r="C165" s="60" t="inlineStr">
        <is>
          <t>1000</t>
        </is>
      </c>
      <c r="D165" s="60" t="n">
        <v>1101</v>
      </c>
      <c r="E165" s="60" t="inlineStr">
        <is>
          <t>경영기획</t>
        </is>
      </c>
      <c r="F165" s="60" t="n">
        <v>62501000</v>
      </c>
      <c r="G165" s="60" t="inlineStr">
        <is>
          <t>회의비</t>
        </is>
      </c>
      <c r="H165" s="61" t="n">
        <v>1139850</v>
      </c>
      <c r="J165" s="63">
        <f>IF($A165="","",IFERROR(INDEX(부서매핑!$C$5:$C$504,MATCH($D165&amp;"",부서매핑!$A$5:$A$504,0)),"미매핑"))</f>
        <v/>
      </c>
      <c r="K165" s="63">
        <f>IF($A165="","",IFERROR(INDEX(계정매핑!$C$5:$C$504,MATCH($F165&amp;"",계정매핑!$A$5:$A$504,0)),"미매핑"))</f>
        <v/>
      </c>
      <c r="L165" s="4">
        <f>IF($A165="","",VALUE($A165&amp;""))</f>
        <v/>
      </c>
      <c r="M165" s="4">
        <f>IF($A165="","",VALUE($B165&amp;""))</f>
        <v/>
      </c>
      <c r="N165" s="64">
        <f>IF($A165="","",$H165*설정!$C$15)</f>
        <v/>
      </c>
      <c r="O165" s="4">
        <f>IF($A165="","",J165&amp;"|"&amp;K165)</f>
        <v/>
      </c>
      <c r="P165" s="63">
        <f>IF($A165="","",IF(COUNTIFS(예산_원본!$T$5:$T$3004,O165,예산_원본!$B$5:$B$3004,설정!$C$8,예산_원본!$U$5:$U$3004,L165)&gt;0,"Y","N"))</f>
        <v/>
      </c>
      <c r="Q165" s="63">
        <f>IF($A165="","",IF(COUNTIF(집계!$E$7:$E$506,O165)&gt;0,"Y","N"))</f>
        <v/>
      </c>
    </row>
    <row r="166">
      <c r="A166" s="60" t="n">
        <v>2025</v>
      </c>
      <c r="B166" s="60" t="n">
        <v>3</v>
      </c>
      <c r="C166" s="60" t="inlineStr">
        <is>
          <t>1000</t>
        </is>
      </c>
      <c r="D166" s="60" t="n">
        <v>1101</v>
      </c>
      <c r="E166" s="60" t="inlineStr">
        <is>
          <t>경영기획</t>
        </is>
      </c>
      <c r="F166" s="60" t="n">
        <v>62601000</v>
      </c>
      <c r="G166" s="60" t="inlineStr">
        <is>
          <t>업무추진비</t>
        </is>
      </c>
      <c r="H166" s="61" t="n">
        <v>4318680</v>
      </c>
      <c r="J166" s="63">
        <f>IF($A166="","",IFERROR(INDEX(부서매핑!$C$5:$C$504,MATCH($D166&amp;"",부서매핑!$A$5:$A$504,0)),"미매핑"))</f>
        <v/>
      </c>
      <c r="K166" s="63">
        <f>IF($A166="","",IFERROR(INDEX(계정매핑!$C$5:$C$504,MATCH($F166&amp;"",계정매핑!$A$5:$A$504,0)),"미매핑"))</f>
        <v/>
      </c>
      <c r="L166" s="4">
        <f>IF($A166="","",VALUE($A166&amp;""))</f>
        <v/>
      </c>
      <c r="M166" s="4">
        <f>IF($A166="","",VALUE($B166&amp;""))</f>
        <v/>
      </c>
      <c r="N166" s="64">
        <f>IF($A166="","",$H166*설정!$C$15)</f>
        <v/>
      </c>
      <c r="O166" s="4">
        <f>IF($A166="","",J166&amp;"|"&amp;K166)</f>
        <v/>
      </c>
      <c r="P166" s="63">
        <f>IF($A166="","",IF(COUNTIFS(예산_원본!$T$5:$T$3004,O166,예산_원본!$B$5:$B$3004,설정!$C$8,예산_원본!$U$5:$U$3004,L166)&gt;0,"Y","N"))</f>
        <v/>
      </c>
      <c r="Q166" s="63">
        <f>IF($A166="","",IF(COUNTIF(집계!$E$7:$E$506,O166)&gt;0,"Y","N"))</f>
        <v/>
      </c>
    </row>
    <row r="167">
      <c r="A167" s="60" t="n">
        <v>2025</v>
      </c>
      <c r="B167" s="60" t="n">
        <v>3</v>
      </c>
      <c r="C167" s="60" t="inlineStr">
        <is>
          <t>1000</t>
        </is>
      </c>
      <c r="D167" s="60" t="n">
        <v>1101</v>
      </c>
      <c r="E167" s="60" t="inlineStr">
        <is>
          <t>경영기획</t>
        </is>
      </c>
      <c r="F167" s="60" t="n">
        <v>62901000</v>
      </c>
      <c r="G167" s="60" t="inlineStr">
        <is>
          <t>지급수수료-컨설팅</t>
        </is>
      </c>
      <c r="H167" s="61" t="n">
        <v>13705530</v>
      </c>
      <c r="J167" s="63">
        <f>IF($A167="","",IFERROR(INDEX(부서매핑!$C$5:$C$504,MATCH($D167&amp;"",부서매핑!$A$5:$A$504,0)),"미매핑"))</f>
        <v/>
      </c>
      <c r="K167" s="63">
        <f>IF($A167="","",IFERROR(INDEX(계정매핑!$C$5:$C$504,MATCH($F167&amp;"",계정매핑!$A$5:$A$504,0)),"미매핑"))</f>
        <v/>
      </c>
      <c r="L167" s="4">
        <f>IF($A167="","",VALUE($A167&amp;""))</f>
        <v/>
      </c>
      <c r="M167" s="4">
        <f>IF($A167="","",VALUE($B167&amp;""))</f>
        <v/>
      </c>
      <c r="N167" s="64">
        <f>IF($A167="","",$H167*설정!$C$15)</f>
        <v/>
      </c>
      <c r="O167" s="4">
        <f>IF($A167="","",J167&amp;"|"&amp;K167)</f>
        <v/>
      </c>
      <c r="P167" s="63">
        <f>IF($A167="","",IF(COUNTIFS(예산_원본!$T$5:$T$3004,O167,예산_원본!$B$5:$B$3004,설정!$C$8,예산_원본!$U$5:$U$3004,L167)&gt;0,"Y","N"))</f>
        <v/>
      </c>
      <c r="Q167" s="63">
        <f>IF($A167="","",IF(COUNTIF(집계!$E$7:$E$506,O167)&gt;0,"Y","N"))</f>
        <v/>
      </c>
    </row>
    <row r="168">
      <c r="A168" s="60" t="n">
        <v>2025</v>
      </c>
      <c r="B168" s="60" t="n">
        <v>3</v>
      </c>
      <c r="C168" s="60" t="inlineStr">
        <is>
          <t>1000</t>
        </is>
      </c>
      <c r="D168" s="60" t="n">
        <v>1101</v>
      </c>
      <c r="E168" s="60" t="inlineStr">
        <is>
          <t>경영기획</t>
        </is>
      </c>
      <c r="F168" s="60" t="n">
        <v>62902000</v>
      </c>
      <c r="G168" s="60" t="inlineStr">
        <is>
          <t>지급수수료-기타</t>
        </is>
      </c>
      <c r="H168" s="61" t="n">
        <v>5909240</v>
      </c>
      <c r="J168" s="63">
        <f>IF($A168="","",IFERROR(INDEX(부서매핑!$C$5:$C$504,MATCH($D168&amp;"",부서매핑!$A$5:$A$504,0)),"미매핑"))</f>
        <v/>
      </c>
      <c r="K168" s="63">
        <f>IF($A168="","",IFERROR(INDEX(계정매핑!$C$5:$C$504,MATCH($F168&amp;"",계정매핑!$A$5:$A$504,0)),"미매핑"))</f>
        <v/>
      </c>
      <c r="L168" s="4">
        <f>IF($A168="","",VALUE($A168&amp;""))</f>
        <v/>
      </c>
      <c r="M168" s="4">
        <f>IF($A168="","",VALUE($B168&amp;""))</f>
        <v/>
      </c>
      <c r="N168" s="64">
        <f>IF($A168="","",$H168*설정!$C$15)</f>
        <v/>
      </c>
      <c r="O168" s="4">
        <f>IF($A168="","",J168&amp;"|"&amp;K168)</f>
        <v/>
      </c>
      <c r="P168" s="63">
        <f>IF($A168="","",IF(COUNTIFS(예산_원본!$T$5:$T$3004,O168,예산_원본!$B$5:$B$3004,설정!$C$8,예산_원본!$U$5:$U$3004,L168)&gt;0,"Y","N"))</f>
        <v/>
      </c>
      <c r="Q168" s="63">
        <f>IF($A168="","",IF(COUNTIF(집계!$E$7:$E$506,O168)&gt;0,"Y","N"))</f>
        <v/>
      </c>
    </row>
    <row r="169">
      <c r="A169" s="60" t="n">
        <v>2025</v>
      </c>
      <c r="B169" s="60" t="n">
        <v>3</v>
      </c>
      <c r="C169" s="60" t="inlineStr">
        <is>
          <t>1000</t>
        </is>
      </c>
      <c r="D169" s="60" t="n">
        <v>1201</v>
      </c>
      <c r="E169" s="60" t="inlineStr">
        <is>
          <t>재무회계</t>
        </is>
      </c>
      <c r="F169" s="60" t="n">
        <v>62101000</v>
      </c>
      <c r="G169" s="60" t="inlineStr">
        <is>
          <t>여비교통비-국내</t>
        </is>
      </c>
      <c r="H169" s="61" t="n">
        <v>1230920</v>
      </c>
      <c r="J169" s="63">
        <f>IF($A169="","",IFERROR(INDEX(부서매핑!$C$5:$C$504,MATCH($D169&amp;"",부서매핑!$A$5:$A$504,0)),"미매핑"))</f>
        <v/>
      </c>
      <c r="K169" s="63">
        <f>IF($A169="","",IFERROR(INDEX(계정매핑!$C$5:$C$504,MATCH($F169&amp;"",계정매핑!$A$5:$A$504,0)),"미매핑"))</f>
        <v/>
      </c>
      <c r="L169" s="4">
        <f>IF($A169="","",VALUE($A169&amp;""))</f>
        <v/>
      </c>
      <c r="M169" s="4">
        <f>IF($A169="","",VALUE($B169&amp;""))</f>
        <v/>
      </c>
      <c r="N169" s="64">
        <f>IF($A169="","",$H169*설정!$C$15)</f>
        <v/>
      </c>
      <c r="O169" s="4">
        <f>IF($A169="","",J169&amp;"|"&amp;K169)</f>
        <v/>
      </c>
      <c r="P169" s="63">
        <f>IF($A169="","",IF(COUNTIFS(예산_원본!$T$5:$T$3004,O169,예산_원본!$B$5:$B$3004,설정!$C$8,예산_원본!$U$5:$U$3004,L169)&gt;0,"Y","N"))</f>
        <v/>
      </c>
      <c r="Q169" s="63">
        <f>IF($A169="","",IF(COUNTIF(집계!$E$7:$E$506,O169)&gt;0,"Y","N"))</f>
        <v/>
      </c>
    </row>
    <row r="170">
      <c r="A170" s="60" t="n">
        <v>2025</v>
      </c>
      <c r="B170" s="60" t="n">
        <v>3</v>
      </c>
      <c r="C170" s="60" t="inlineStr">
        <is>
          <t>1000</t>
        </is>
      </c>
      <c r="D170" s="60" t="n">
        <v>1201</v>
      </c>
      <c r="E170" s="60" t="inlineStr">
        <is>
          <t>재무회계</t>
        </is>
      </c>
      <c r="F170" s="60" t="n">
        <v>62102000</v>
      </c>
      <c r="G170" s="60" t="inlineStr">
        <is>
          <t>여비교통비-해외</t>
        </is>
      </c>
      <c r="H170" s="61" t="n">
        <v>210790</v>
      </c>
      <c r="J170" s="63">
        <f>IF($A170="","",IFERROR(INDEX(부서매핑!$C$5:$C$504,MATCH($D170&amp;"",부서매핑!$A$5:$A$504,0)),"미매핑"))</f>
        <v/>
      </c>
      <c r="K170" s="63">
        <f>IF($A170="","",IFERROR(INDEX(계정매핑!$C$5:$C$504,MATCH($F170&amp;"",계정매핑!$A$5:$A$504,0)),"미매핑"))</f>
        <v/>
      </c>
      <c r="L170" s="4">
        <f>IF($A170="","",VALUE($A170&amp;""))</f>
        <v/>
      </c>
      <c r="M170" s="4">
        <f>IF($A170="","",VALUE($B170&amp;""))</f>
        <v/>
      </c>
      <c r="N170" s="64">
        <f>IF($A170="","",$H170*설정!$C$15)</f>
        <v/>
      </c>
      <c r="O170" s="4">
        <f>IF($A170="","",J170&amp;"|"&amp;K170)</f>
        <v/>
      </c>
      <c r="P170" s="63">
        <f>IF($A170="","",IF(COUNTIFS(예산_원본!$T$5:$T$3004,O170,예산_원본!$B$5:$B$3004,설정!$C$8,예산_원본!$U$5:$U$3004,L170)&gt;0,"Y","N"))</f>
        <v/>
      </c>
      <c r="Q170" s="63">
        <f>IF($A170="","",IF(COUNTIF(집계!$E$7:$E$506,O170)&gt;0,"Y","N"))</f>
        <v/>
      </c>
    </row>
    <row r="171">
      <c r="A171" s="60" t="n">
        <v>2025</v>
      </c>
      <c r="B171" s="60" t="n">
        <v>3</v>
      </c>
      <c r="C171" s="60" t="inlineStr">
        <is>
          <t>1000</t>
        </is>
      </c>
      <c r="D171" s="60" t="n">
        <v>1201</v>
      </c>
      <c r="E171" s="60" t="inlineStr">
        <is>
          <t>재무회계</t>
        </is>
      </c>
      <c r="F171" s="60" t="n">
        <v>62201000</v>
      </c>
      <c r="G171" s="60" t="inlineStr">
        <is>
          <t>통신비</t>
        </is>
      </c>
      <c r="H171" s="61" t="n">
        <v>496420</v>
      </c>
      <c r="J171" s="63">
        <f>IF($A171="","",IFERROR(INDEX(부서매핑!$C$5:$C$504,MATCH($D171&amp;"",부서매핑!$A$5:$A$504,0)),"미매핑"))</f>
        <v/>
      </c>
      <c r="K171" s="63">
        <f>IF($A171="","",IFERROR(INDEX(계정매핑!$C$5:$C$504,MATCH($F171&amp;"",계정매핑!$A$5:$A$504,0)),"미매핑"))</f>
        <v/>
      </c>
      <c r="L171" s="4">
        <f>IF($A171="","",VALUE($A171&amp;""))</f>
        <v/>
      </c>
      <c r="M171" s="4">
        <f>IF($A171="","",VALUE($B171&amp;""))</f>
        <v/>
      </c>
      <c r="N171" s="64">
        <f>IF($A171="","",$H171*설정!$C$15)</f>
        <v/>
      </c>
      <c r="O171" s="4">
        <f>IF($A171="","",J171&amp;"|"&amp;K171)</f>
        <v/>
      </c>
      <c r="P171" s="63">
        <f>IF($A171="","",IF(COUNTIFS(예산_원본!$T$5:$T$3004,O171,예산_원본!$B$5:$B$3004,설정!$C$8,예산_원본!$U$5:$U$3004,L171)&gt;0,"Y","N"))</f>
        <v/>
      </c>
      <c r="Q171" s="63">
        <f>IF($A171="","",IF(COUNTIF(집계!$E$7:$E$506,O171)&gt;0,"Y","N"))</f>
        <v/>
      </c>
    </row>
    <row r="172">
      <c r="A172" s="60" t="n">
        <v>2025</v>
      </c>
      <c r="B172" s="60" t="n">
        <v>3</v>
      </c>
      <c r="C172" s="60" t="inlineStr">
        <is>
          <t>1000</t>
        </is>
      </c>
      <c r="D172" s="60" t="n">
        <v>1201</v>
      </c>
      <c r="E172" s="60" t="inlineStr">
        <is>
          <t>재무회계</t>
        </is>
      </c>
      <c r="F172" s="60" t="n">
        <v>62301000</v>
      </c>
      <c r="G172" s="60" t="inlineStr">
        <is>
          <t>소모품비</t>
        </is>
      </c>
      <c r="H172" s="61" t="n">
        <v>514770</v>
      </c>
      <c r="J172" s="63">
        <f>IF($A172="","",IFERROR(INDEX(부서매핑!$C$5:$C$504,MATCH($D172&amp;"",부서매핑!$A$5:$A$504,0)),"미매핑"))</f>
        <v/>
      </c>
      <c r="K172" s="63">
        <f>IF($A172="","",IFERROR(INDEX(계정매핑!$C$5:$C$504,MATCH($F172&amp;"",계정매핑!$A$5:$A$504,0)),"미매핑"))</f>
        <v/>
      </c>
      <c r="L172" s="4">
        <f>IF($A172="","",VALUE($A172&amp;""))</f>
        <v/>
      </c>
      <c r="M172" s="4">
        <f>IF($A172="","",VALUE($B172&amp;""))</f>
        <v/>
      </c>
      <c r="N172" s="64">
        <f>IF($A172="","",$H172*설정!$C$15)</f>
        <v/>
      </c>
      <c r="O172" s="4">
        <f>IF($A172="","",J172&amp;"|"&amp;K172)</f>
        <v/>
      </c>
      <c r="P172" s="63">
        <f>IF($A172="","",IF(COUNTIFS(예산_원본!$T$5:$T$3004,O172,예산_원본!$B$5:$B$3004,설정!$C$8,예산_원본!$U$5:$U$3004,L172)&gt;0,"Y","N"))</f>
        <v/>
      </c>
      <c r="Q172" s="63">
        <f>IF($A172="","",IF(COUNTIF(집계!$E$7:$E$506,O172)&gt;0,"Y","N"))</f>
        <v/>
      </c>
    </row>
    <row r="173">
      <c r="A173" s="60" t="n">
        <v>2025</v>
      </c>
      <c r="B173" s="60" t="n">
        <v>3</v>
      </c>
      <c r="C173" s="60" t="inlineStr">
        <is>
          <t>1000</t>
        </is>
      </c>
      <c r="D173" s="60" t="n">
        <v>1201</v>
      </c>
      <c r="E173" s="60" t="inlineStr">
        <is>
          <t>재무회계</t>
        </is>
      </c>
      <c r="F173" s="60" t="n">
        <v>62501000</v>
      </c>
      <c r="G173" s="60" t="inlineStr">
        <is>
          <t>회의비</t>
        </is>
      </c>
      <c r="H173" s="61" t="n">
        <v>373300</v>
      </c>
      <c r="J173" s="63">
        <f>IF($A173="","",IFERROR(INDEX(부서매핑!$C$5:$C$504,MATCH($D173&amp;"",부서매핑!$A$5:$A$504,0)),"미매핑"))</f>
        <v/>
      </c>
      <c r="K173" s="63">
        <f>IF($A173="","",IFERROR(INDEX(계정매핑!$C$5:$C$504,MATCH($F173&amp;"",계정매핑!$A$5:$A$504,0)),"미매핑"))</f>
        <v/>
      </c>
      <c r="L173" s="4">
        <f>IF($A173="","",VALUE($A173&amp;""))</f>
        <v/>
      </c>
      <c r="M173" s="4">
        <f>IF($A173="","",VALUE($B173&amp;""))</f>
        <v/>
      </c>
      <c r="N173" s="64">
        <f>IF($A173="","",$H173*설정!$C$15)</f>
        <v/>
      </c>
      <c r="O173" s="4">
        <f>IF($A173="","",J173&amp;"|"&amp;K173)</f>
        <v/>
      </c>
      <c r="P173" s="63">
        <f>IF($A173="","",IF(COUNTIFS(예산_원본!$T$5:$T$3004,O173,예산_원본!$B$5:$B$3004,설정!$C$8,예산_원본!$U$5:$U$3004,L173)&gt;0,"Y","N"))</f>
        <v/>
      </c>
      <c r="Q173" s="63">
        <f>IF($A173="","",IF(COUNTIF(집계!$E$7:$E$506,O173)&gt;0,"Y","N"))</f>
        <v/>
      </c>
    </row>
    <row r="174">
      <c r="A174" s="60" t="n">
        <v>2025</v>
      </c>
      <c r="B174" s="60" t="n">
        <v>3</v>
      </c>
      <c r="C174" s="60" t="inlineStr">
        <is>
          <t>1000</t>
        </is>
      </c>
      <c r="D174" s="60" t="n">
        <v>1201</v>
      </c>
      <c r="E174" s="60" t="inlineStr">
        <is>
          <t>재무회계</t>
        </is>
      </c>
      <c r="F174" s="60" t="n">
        <v>62901000</v>
      </c>
      <c r="G174" s="60" t="inlineStr">
        <is>
          <t>지급수수료-컨설팅</t>
        </is>
      </c>
      <c r="H174" s="61" t="n">
        <v>20684600</v>
      </c>
      <c r="J174" s="63">
        <f>IF($A174="","",IFERROR(INDEX(부서매핑!$C$5:$C$504,MATCH($D174&amp;"",부서매핑!$A$5:$A$504,0)),"미매핑"))</f>
        <v/>
      </c>
      <c r="K174" s="63">
        <f>IF($A174="","",IFERROR(INDEX(계정매핑!$C$5:$C$504,MATCH($F174&amp;"",계정매핑!$A$5:$A$504,0)),"미매핑"))</f>
        <v/>
      </c>
      <c r="L174" s="4">
        <f>IF($A174="","",VALUE($A174&amp;""))</f>
        <v/>
      </c>
      <c r="M174" s="4">
        <f>IF($A174="","",VALUE($B174&amp;""))</f>
        <v/>
      </c>
      <c r="N174" s="64">
        <f>IF($A174="","",$H174*설정!$C$15)</f>
        <v/>
      </c>
      <c r="O174" s="4">
        <f>IF($A174="","",J174&amp;"|"&amp;K174)</f>
        <v/>
      </c>
      <c r="P174" s="63">
        <f>IF($A174="","",IF(COUNTIFS(예산_원본!$T$5:$T$3004,O174,예산_원본!$B$5:$B$3004,설정!$C$8,예산_원본!$U$5:$U$3004,L174)&gt;0,"Y","N"))</f>
        <v/>
      </c>
      <c r="Q174" s="63">
        <f>IF($A174="","",IF(COUNTIF(집계!$E$7:$E$506,O174)&gt;0,"Y","N"))</f>
        <v/>
      </c>
    </row>
    <row r="175">
      <c r="A175" s="60" t="n">
        <v>2025</v>
      </c>
      <c r="B175" s="60" t="n">
        <v>3</v>
      </c>
      <c r="C175" s="60" t="inlineStr">
        <is>
          <t>1000</t>
        </is>
      </c>
      <c r="D175" s="60" t="n">
        <v>1201</v>
      </c>
      <c r="E175" s="60" t="inlineStr">
        <is>
          <t>재무회계</t>
        </is>
      </c>
      <c r="F175" s="60" t="n">
        <v>62902000</v>
      </c>
      <c r="G175" s="60" t="inlineStr">
        <is>
          <t>지급수수료-기타</t>
        </is>
      </c>
      <c r="H175" s="61" t="n">
        <v>8243950</v>
      </c>
      <c r="J175" s="63">
        <f>IF($A175="","",IFERROR(INDEX(부서매핑!$C$5:$C$504,MATCH($D175&amp;"",부서매핑!$A$5:$A$504,0)),"미매핑"))</f>
        <v/>
      </c>
      <c r="K175" s="63">
        <f>IF($A175="","",IFERROR(INDEX(계정매핑!$C$5:$C$504,MATCH($F175&amp;"",계정매핑!$A$5:$A$504,0)),"미매핑"))</f>
        <v/>
      </c>
      <c r="L175" s="4">
        <f>IF($A175="","",VALUE($A175&amp;""))</f>
        <v/>
      </c>
      <c r="M175" s="4">
        <f>IF($A175="","",VALUE($B175&amp;""))</f>
        <v/>
      </c>
      <c r="N175" s="64">
        <f>IF($A175="","",$H175*설정!$C$15)</f>
        <v/>
      </c>
      <c r="O175" s="4">
        <f>IF($A175="","",J175&amp;"|"&amp;K175)</f>
        <v/>
      </c>
      <c r="P175" s="63">
        <f>IF($A175="","",IF(COUNTIFS(예산_원본!$T$5:$T$3004,O175,예산_원본!$B$5:$B$3004,설정!$C$8,예산_원본!$U$5:$U$3004,L175)&gt;0,"Y","N"))</f>
        <v/>
      </c>
      <c r="Q175" s="63">
        <f>IF($A175="","",IF(COUNTIF(집계!$E$7:$E$506,O175)&gt;0,"Y","N"))</f>
        <v/>
      </c>
    </row>
    <row r="176">
      <c r="A176" s="60" t="n">
        <v>2025</v>
      </c>
      <c r="B176" s="60" t="n">
        <v>3</v>
      </c>
      <c r="C176" s="60" t="inlineStr">
        <is>
          <t>1000</t>
        </is>
      </c>
      <c r="D176" s="60" t="n">
        <v>1301</v>
      </c>
      <c r="E176" s="60" t="inlineStr">
        <is>
          <t>인사</t>
        </is>
      </c>
      <c r="F176" s="60" t="n">
        <v>62101000</v>
      </c>
      <c r="G176" s="60" t="inlineStr">
        <is>
          <t>여비교통비-국내</t>
        </is>
      </c>
      <c r="H176" s="61" t="n">
        <v>1702160</v>
      </c>
      <c r="J176" s="63">
        <f>IF($A176="","",IFERROR(INDEX(부서매핑!$C$5:$C$504,MATCH($D176&amp;"",부서매핑!$A$5:$A$504,0)),"미매핑"))</f>
        <v/>
      </c>
      <c r="K176" s="63">
        <f>IF($A176="","",IFERROR(INDEX(계정매핑!$C$5:$C$504,MATCH($F176&amp;"",계정매핑!$A$5:$A$504,0)),"미매핑"))</f>
        <v/>
      </c>
      <c r="L176" s="4">
        <f>IF($A176="","",VALUE($A176&amp;""))</f>
        <v/>
      </c>
      <c r="M176" s="4">
        <f>IF($A176="","",VALUE($B176&amp;""))</f>
        <v/>
      </c>
      <c r="N176" s="64">
        <f>IF($A176="","",$H176*설정!$C$15)</f>
        <v/>
      </c>
      <c r="O176" s="4">
        <f>IF($A176="","",J176&amp;"|"&amp;K176)</f>
        <v/>
      </c>
      <c r="P176" s="63">
        <f>IF($A176="","",IF(COUNTIFS(예산_원본!$T$5:$T$3004,O176,예산_원본!$B$5:$B$3004,설정!$C$8,예산_원본!$U$5:$U$3004,L176)&gt;0,"Y","N"))</f>
        <v/>
      </c>
      <c r="Q176" s="63">
        <f>IF($A176="","",IF(COUNTIF(집계!$E$7:$E$506,O176)&gt;0,"Y","N"))</f>
        <v/>
      </c>
    </row>
    <row r="177">
      <c r="A177" s="60" t="n">
        <v>2025</v>
      </c>
      <c r="B177" s="60" t="n">
        <v>3</v>
      </c>
      <c r="C177" s="60" t="inlineStr">
        <is>
          <t>1000</t>
        </is>
      </c>
      <c r="D177" s="60" t="n">
        <v>1301</v>
      </c>
      <c r="E177" s="60" t="inlineStr">
        <is>
          <t>인사</t>
        </is>
      </c>
      <c r="F177" s="60" t="n">
        <v>62102000</v>
      </c>
      <c r="G177" s="60" t="inlineStr">
        <is>
          <t>여비교통비-해외</t>
        </is>
      </c>
      <c r="H177" s="61" t="n">
        <v>301890</v>
      </c>
      <c r="J177" s="63">
        <f>IF($A177="","",IFERROR(INDEX(부서매핑!$C$5:$C$504,MATCH($D177&amp;"",부서매핑!$A$5:$A$504,0)),"미매핑"))</f>
        <v/>
      </c>
      <c r="K177" s="63">
        <f>IF($A177="","",IFERROR(INDEX(계정매핑!$C$5:$C$504,MATCH($F177&amp;"",계정매핑!$A$5:$A$504,0)),"미매핑"))</f>
        <v/>
      </c>
      <c r="L177" s="4">
        <f>IF($A177="","",VALUE($A177&amp;""))</f>
        <v/>
      </c>
      <c r="M177" s="4">
        <f>IF($A177="","",VALUE($B177&amp;""))</f>
        <v/>
      </c>
      <c r="N177" s="64">
        <f>IF($A177="","",$H177*설정!$C$15)</f>
        <v/>
      </c>
      <c r="O177" s="4">
        <f>IF($A177="","",J177&amp;"|"&amp;K177)</f>
        <v/>
      </c>
      <c r="P177" s="63">
        <f>IF($A177="","",IF(COUNTIFS(예산_원본!$T$5:$T$3004,O177,예산_원본!$B$5:$B$3004,설정!$C$8,예산_원본!$U$5:$U$3004,L177)&gt;0,"Y","N"))</f>
        <v/>
      </c>
      <c r="Q177" s="63">
        <f>IF($A177="","",IF(COUNTIF(집계!$E$7:$E$506,O177)&gt;0,"Y","N"))</f>
        <v/>
      </c>
    </row>
    <row r="178">
      <c r="A178" s="60" t="n">
        <v>2025</v>
      </c>
      <c r="B178" s="60" t="n">
        <v>3</v>
      </c>
      <c r="C178" s="60" t="inlineStr">
        <is>
          <t>1000</t>
        </is>
      </c>
      <c r="D178" s="60" t="n">
        <v>1301</v>
      </c>
      <c r="E178" s="60" t="inlineStr">
        <is>
          <t>인사</t>
        </is>
      </c>
      <c r="F178" s="60" t="n">
        <v>62201000</v>
      </c>
      <c r="G178" s="60" t="inlineStr">
        <is>
          <t>통신비</t>
        </is>
      </c>
      <c r="H178" s="61" t="n">
        <v>494550</v>
      </c>
      <c r="J178" s="63">
        <f>IF($A178="","",IFERROR(INDEX(부서매핑!$C$5:$C$504,MATCH($D178&amp;"",부서매핑!$A$5:$A$504,0)),"미매핑"))</f>
        <v/>
      </c>
      <c r="K178" s="63">
        <f>IF($A178="","",IFERROR(INDEX(계정매핑!$C$5:$C$504,MATCH($F178&amp;"",계정매핑!$A$5:$A$504,0)),"미매핑"))</f>
        <v/>
      </c>
      <c r="L178" s="4">
        <f>IF($A178="","",VALUE($A178&amp;""))</f>
        <v/>
      </c>
      <c r="M178" s="4">
        <f>IF($A178="","",VALUE($B178&amp;""))</f>
        <v/>
      </c>
      <c r="N178" s="64">
        <f>IF($A178="","",$H178*설정!$C$15)</f>
        <v/>
      </c>
      <c r="O178" s="4">
        <f>IF($A178="","",J178&amp;"|"&amp;K178)</f>
        <v/>
      </c>
      <c r="P178" s="63">
        <f>IF($A178="","",IF(COUNTIFS(예산_원본!$T$5:$T$3004,O178,예산_원본!$B$5:$B$3004,설정!$C$8,예산_원본!$U$5:$U$3004,L178)&gt;0,"Y","N"))</f>
        <v/>
      </c>
      <c r="Q178" s="63">
        <f>IF($A178="","",IF(COUNTIF(집계!$E$7:$E$506,O178)&gt;0,"Y","N"))</f>
        <v/>
      </c>
    </row>
    <row r="179">
      <c r="A179" s="60" t="n">
        <v>2025</v>
      </c>
      <c r="B179" s="60" t="n">
        <v>3</v>
      </c>
      <c r="C179" s="60" t="inlineStr">
        <is>
          <t>1000</t>
        </is>
      </c>
      <c r="D179" s="60" t="n">
        <v>1301</v>
      </c>
      <c r="E179" s="60" t="inlineStr">
        <is>
          <t>인사</t>
        </is>
      </c>
      <c r="F179" s="60" t="n">
        <v>62301000</v>
      </c>
      <c r="G179" s="60" t="inlineStr">
        <is>
          <t>소모품비</t>
        </is>
      </c>
      <c r="H179" s="61" t="n">
        <v>844980</v>
      </c>
      <c r="J179" s="63">
        <f>IF($A179="","",IFERROR(INDEX(부서매핑!$C$5:$C$504,MATCH($D179&amp;"",부서매핑!$A$5:$A$504,0)),"미매핑"))</f>
        <v/>
      </c>
      <c r="K179" s="63">
        <f>IF($A179="","",IFERROR(INDEX(계정매핑!$C$5:$C$504,MATCH($F179&amp;"",계정매핑!$A$5:$A$504,0)),"미매핑"))</f>
        <v/>
      </c>
      <c r="L179" s="4">
        <f>IF($A179="","",VALUE($A179&amp;""))</f>
        <v/>
      </c>
      <c r="M179" s="4">
        <f>IF($A179="","",VALUE($B179&amp;""))</f>
        <v/>
      </c>
      <c r="N179" s="64">
        <f>IF($A179="","",$H179*설정!$C$15)</f>
        <v/>
      </c>
      <c r="O179" s="4">
        <f>IF($A179="","",J179&amp;"|"&amp;K179)</f>
        <v/>
      </c>
      <c r="P179" s="63">
        <f>IF($A179="","",IF(COUNTIFS(예산_원본!$T$5:$T$3004,O179,예산_원본!$B$5:$B$3004,설정!$C$8,예산_원본!$U$5:$U$3004,L179)&gt;0,"Y","N"))</f>
        <v/>
      </c>
      <c r="Q179" s="63">
        <f>IF($A179="","",IF(COUNTIF(집계!$E$7:$E$506,O179)&gt;0,"Y","N"))</f>
        <v/>
      </c>
    </row>
    <row r="180">
      <c r="A180" s="60" t="n">
        <v>2025</v>
      </c>
      <c r="B180" s="60" t="n">
        <v>3</v>
      </c>
      <c r="C180" s="60" t="inlineStr">
        <is>
          <t>1000</t>
        </is>
      </c>
      <c r="D180" s="60" t="n">
        <v>1301</v>
      </c>
      <c r="E180" s="60" t="inlineStr">
        <is>
          <t>인사</t>
        </is>
      </c>
      <c r="F180" s="60" t="n">
        <v>62501000</v>
      </c>
      <c r="G180" s="60" t="inlineStr">
        <is>
          <t>회의비</t>
        </is>
      </c>
      <c r="H180" s="61" t="n">
        <v>550660</v>
      </c>
      <c r="J180" s="63">
        <f>IF($A180="","",IFERROR(INDEX(부서매핑!$C$5:$C$504,MATCH($D180&amp;"",부서매핑!$A$5:$A$504,0)),"미매핑"))</f>
        <v/>
      </c>
      <c r="K180" s="63">
        <f>IF($A180="","",IFERROR(INDEX(계정매핑!$C$5:$C$504,MATCH($F180&amp;"",계정매핑!$A$5:$A$504,0)),"미매핑"))</f>
        <v/>
      </c>
      <c r="L180" s="4">
        <f>IF($A180="","",VALUE($A180&amp;""))</f>
        <v/>
      </c>
      <c r="M180" s="4">
        <f>IF($A180="","",VALUE($B180&amp;""))</f>
        <v/>
      </c>
      <c r="N180" s="64">
        <f>IF($A180="","",$H180*설정!$C$15)</f>
        <v/>
      </c>
      <c r="O180" s="4">
        <f>IF($A180="","",J180&amp;"|"&amp;K180)</f>
        <v/>
      </c>
      <c r="P180" s="63">
        <f>IF($A180="","",IF(COUNTIFS(예산_원본!$T$5:$T$3004,O180,예산_원본!$B$5:$B$3004,설정!$C$8,예산_원본!$U$5:$U$3004,L180)&gt;0,"Y","N"))</f>
        <v/>
      </c>
      <c r="Q180" s="63">
        <f>IF($A180="","",IF(COUNTIF(집계!$E$7:$E$506,O180)&gt;0,"Y","N"))</f>
        <v/>
      </c>
    </row>
    <row r="181">
      <c r="A181" s="60" t="n">
        <v>2025</v>
      </c>
      <c r="B181" s="60" t="n">
        <v>3</v>
      </c>
      <c r="C181" s="60" t="inlineStr">
        <is>
          <t>1000</t>
        </is>
      </c>
      <c r="D181" s="60" t="n">
        <v>1301</v>
      </c>
      <c r="E181" s="60" t="inlineStr">
        <is>
          <t>인사</t>
        </is>
      </c>
      <c r="F181" s="60" t="n">
        <v>62601000</v>
      </c>
      <c r="G181" s="60" t="inlineStr">
        <is>
          <t>업무추진비</t>
        </is>
      </c>
      <c r="H181" s="61" t="n">
        <v>1877810</v>
      </c>
      <c r="J181" s="63">
        <f>IF($A181="","",IFERROR(INDEX(부서매핑!$C$5:$C$504,MATCH($D181&amp;"",부서매핑!$A$5:$A$504,0)),"미매핑"))</f>
        <v/>
      </c>
      <c r="K181" s="63">
        <f>IF($A181="","",IFERROR(INDEX(계정매핑!$C$5:$C$504,MATCH($F181&amp;"",계정매핑!$A$5:$A$504,0)),"미매핑"))</f>
        <v/>
      </c>
      <c r="L181" s="4">
        <f>IF($A181="","",VALUE($A181&amp;""))</f>
        <v/>
      </c>
      <c r="M181" s="4">
        <f>IF($A181="","",VALUE($B181&amp;""))</f>
        <v/>
      </c>
      <c r="N181" s="64">
        <f>IF($A181="","",$H181*설정!$C$15)</f>
        <v/>
      </c>
      <c r="O181" s="4">
        <f>IF($A181="","",J181&amp;"|"&amp;K181)</f>
        <v/>
      </c>
      <c r="P181" s="63">
        <f>IF($A181="","",IF(COUNTIFS(예산_원본!$T$5:$T$3004,O181,예산_원본!$B$5:$B$3004,설정!$C$8,예산_원본!$U$5:$U$3004,L181)&gt;0,"Y","N"))</f>
        <v/>
      </c>
      <c r="Q181" s="63">
        <f>IF($A181="","",IF(COUNTIF(집계!$E$7:$E$506,O181)&gt;0,"Y","N"))</f>
        <v/>
      </c>
    </row>
    <row r="182">
      <c r="A182" s="60" t="n">
        <v>2025</v>
      </c>
      <c r="B182" s="60" t="n">
        <v>3</v>
      </c>
      <c r="C182" s="60" t="inlineStr">
        <is>
          <t>1000</t>
        </is>
      </c>
      <c r="D182" s="60" t="n">
        <v>1301</v>
      </c>
      <c r="E182" s="60" t="inlineStr">
        <is>
          <t>인사</t>
        </is>
      </c>
      <c r="F182" s="60" t="n">
        <v>62801000</v>
      </c>
      <c r="G182" s="60" t="inlineStr">
        <is>
          <t>교육훈련비-사내</t>
        </is>
      </c>
      <c r="H182" s="61" t="n">
        <v>20157340</v>
      </c>
      <c r="J182" s="63">
        <f>IF($A182="","",IFERROR(INDEX(부서매핑!$C$5:$C$504,MATCH($D182&amp;"",부서매핑!$A$5:$A$504,0)),"미매핑"))</f>
        <v/>
      </c>
      <c r="K182" s="63">
        <f>IF($A182="","",IFERROR(INDEX(계정매핑!$C$5:$C$504,MATCH($F182&amp;"",계정매핑!$A$5:$A$504,0)),"미매핑"))</f>
        <v/>
      </c>
      <c r="L182" s="4">
        <f>IF($A182="","",VALUE($A182&amp;""))</f>
        <v/>
      </c>
      <c r="M182" s="4">
        <f>IF($A182="","",VALUE($B182&amp;""))</f>
        <v/>
      </c>
      <c r="N182" s="64">
        <f>IF($A182="","",$H182*설정!$C$15)</f>
        <v/>
      </c>
      <c r="O182" s="4">
        <f>IF($A182="","",J182&amp;"|"&amp;K182)</f>
        <v/>
      </c>
      <c r="P182" s="63">
        <f>IF($A182="","",IF(COUNTIFS(예산_원본!$T$5:$T$3004,O182,예산_원본!$B$5:$B$3004,설정!$C$8,예산_원본!$U$5:$U$3004,L182)&gt;0,"Y","N"))</f>
        <v/>
      </c>
      <c r="Q182" s="63">
        <f>IF($A182="","",IF(COUNTIF(집계!$E$7:$E$506,O182)&gt;0,"Y","N"))</f>
        <v/>
      </c>
    </row>
    <row r="183">
      <c r="A183" s="60" t="n">
        <v>2025</v>
      </c>
      <c r="B183" s="60" t="n">
        <v>3</v>
      </c>
      <c r="C183" s="60" t="inlineStr">
        <is>
          <t>1000</t>
        </is>
      </c>
      <c r="D183" s="60" t="n">
        <v>1301</v>
      </c>
      <c r="E183" s="60" t="inlineStr">
        <is>
          <t>인사</t>
        </is>
      </c>
      <c r="F183" s="60" t="n">
        <v>62802000</v>
      </c>
      <c r="G183" s="60" t="inlineStr">
        <is>
          <t>교육훈련비-외부위탁</t>
        </is>
      </c>
      <c r="H183" s="61" t="n">
        <v>29088670</v>
      </c>
      <c r="J183" s="63">
        <f>IF($A183="","",IFERROR(INDEX(부서매핑!$C$5:$C$504,MATCH($D183&amp;"",부서매핑!$A$5:$A$504,0)),"미매핑"))</f>
        <v/>
      </c>
      <c r="K183" s="63">
        <f>IF($A183="","",IFERROR(INDEX(계정매핑!$C$5:$C$504,MATCH($F183&amp;"",계정매핑!$A$5:$A$504,0)),"미매핑"))</f>
        <v/>
      </c>
      <c r="L183" s="4">
        <f>IF($A183="","",VALUE($A183&amp;""))</f>
        <v/>
      </c>
      <c r="M183" s="4">
        <f>IF($A183="","",VALUE($B183&amp;""))</f>
        <v/>
      </c>
      <c r="N183" s="64">
        <f>IF($A183="","",$H183*설정!$C$15)</f>
        <v/>
      </c>
      <c r="O183" s="4">
        <f>IF($A183="","",J183&amp;"|"&amp;K183)</f>
        <v/>
      </c>
      <c r="P183" s="63">
        <f>IF($A183="","",IF(COUNTIFS(예산_원본!$T$5:$T$3004,O183,예산_원본!$B$5:$B$3004,설정!$C$8,예산_원본!$U$5:$U$3004,L183)&gt;0,"Y","N"))</f>
        <v/>
      </c>
      <c r="Q183" s="63">
        <f>IF($A183="","",IF(COUNTIF(집계!$E$7:$E$506,O183)&gt;0,"Y","N"))</f>
        <v/>
      </c>
    </row>
    <row r="184">
      <c r="A184" s="60" t="n">
        <v>2025</v>
      </c>
      <c r="B184" s="60" t="n">
        <v>3</v>
      </c>
      <c r="C184" s="60" t="inlineStr">
        <is>
          <t>1000</t>
        </is>
      </c>
      <c r="D184" s="60" t="n">
        <v>1401</v>
      </c>
      <c r="E184" s="60" t="inlineStr">
        <is>
          <t>상품개발</t>
        </is>
      </c>
      <c r="F184" s="60" t="n">
        <v>62101000</v>
      </c>
      <c r="G184" s="60" t="inlineStr">
        <is>
          <t>여비교통비-국내</t>
        </is>
      </c>
      <c r="H184" s="61" t="n">
        <v>1847230</v>
      </c>
      <c r="J184" s="63">
        <f>IF($A184="","",IFERROR(INDEX(부서매핑!$C$5:$C$504,MATCH($D184&amp;"",부서매핑!$A$5:$A$504,0)),"미매핑"))</f>
        <v/>
      </c>
      <c r="K184" s="63">
        <f>IF($A184="","",IFERROR(INDEX(계정매핑!$C$5:$C$504,MATCH($F184&amp;"",계정매핑!$A$5:$A$504,0)),"미매핑"))</f>
        <v/>
      </c>
      <c r="L184" s="4">
        <f>IF($A184="","",VALUE($A184&amp;""))</f>
        <v/>
      </c>
      <c r="M184" s="4">
        <f>IF($A184="","",VALUE($B184&amp;""))</f>
        <v/>
      </c>
      <c r="N184" s="64">
        <f>IF($A184="","",$H184*설정!$C$15)</f>
        <v/>
      </c>
      <c r="O184" s="4">
        <f>IF($A184="","",J184&amp;"|"&amp;K184)</f>
        <v/>
      </c>
      <c r="P184" s="63">
        <f>IF($A184="","",IF(COUNTIFS(예산_원본!$T$5:$T$3004,O184,예산_원본!$B$5:$B$3004,설정!$C$8,예산_원본!$U$5:$U$3004,L184)&gt;0,"Y","N"))</f>
        <v/>
      </c>
      <c r="Q184" s="63">
        <f>IF($A184="","",IF(COUNTIF(집계!$E$7:$E$506,O184)&gt;0,"Y","N"))</f>
        <v/>
      </c>
    </row>
    <row r="185">
      <c r="A185" s="60" t="n">
        <v>2025</v>
      </c>
      <c r="B185" s="60" t="n">
        <v>3</v>
      </c>
      <c r="C185" s="60" t="inlineStr">
        <is>
          <t>1000</t>
        </is>
      </c>
      <c r="D185" s="60" t="n">
        <v>1401</v>
      </c>
      <c r="E185" s="60" t="inlineStr">
        <is>
          <t>상품개발</t>
        </is>
      </c>
      <c r="F185" s="60" t="n">
        <v>62102000</v>
      </c>
      <c r="G185" s="60" t="inlineStr">
        <is>
          <t>여비교통비-해외</t>
        </is>
      </c>
      <c r="H185" s="61" t="n">
        <v>334820</v>
      </c>
      <c r="J185" s="63">
        <f>IF($A185="","",IFERROR(INDEX(부서매핑!$C$5:$C$504,MATCH($D185&amp;"",부서매핑!$A$5:$A$504,0)),"미매핑"))</f>
        <v/>
      </c>
      <c r="K185" s="63">
        <f>IF($A185="","",IFERROR(INDEX(계정매핑!$C$5:$C$504,MATCH($F185&amp;"",계정매핑!$A$5:$A$504,0)),"미매핑"))</f>
        <v/>
      </c>
      <c r="L185" s="4">
        <f>IF($A185="","",VALUE($A185&amp;""))</f>
        <v/>
      </c>
      <c r="M185" s="4">
        <f>IF($A185="","",VALUE($B185&amp;""))</f>
        <v/>
      </c>
      <c r="N185" s="64">
        <f>IF($A185="","",$H185*설정!$C$15)</f>
        <v/>
      </c>
      <c r="O185" s="4">
        <f>IF($A185="","",J185&amp;"|"&amp;K185)</f>
        <v/>
      </c>
      <c r="P185" s="63">
        <f>IF($A185="","",IF(COUNTIFS(예산_원본!$T$5:$T$3004,O185,예산_원본!$B$5:$B$3004,설정!$C$8,예산_원본!$U$5:$U$3004,L185)&gt;0,"Y","N"))</f>
        <v/>
      </c>
      <c r="Q185" s="63">
        <f>IF($A185="","",IF(COUNTIF(집계!$E$7:$E$506,O185)&gt;0,"Y","N"))</f>
        <v/>
      </c>
    </row>
    <row r="186">
      <c r="A186" s="60" t="n">
        <v>2025</v>
      </c>
      <c r="B186" s="60" t="n">
        <v>3</v>
      </c>
      <c r="C186" s="60" t="inlineStr">
        <is>
          <t>1000</t>
        </is>
      </c>
      <c r="D186" s="60" t="n">
        <v>1401</v>
      </c>
      <c r="E186" s="60" t="inlineStr">
        <is>
          <t>상품개발</t>
        </is>
      </c>
      <c r="F186" s="60" t="n">
        <v>62201000</v>
      </c>
      <c r="G186" s="60" t="inlineStr">
        <is>
          <t>통신비</t>
        </is>
      </c>
      <c r="H186" s="61" t="n">
        <v>563340</v>
      </c>
      <c r="J186" s="63">
        <f>IF($A186="","",IFERROR(INDEX(부서매핑!$C$5:$C$504,MATCH($D186&amp;"",부서매핑!$A$5:$A$504,0)),"미매핑"))</f>
        <v/>
      </c>
      <c r="K186" s="63">
        <f>IF($A186="","",IFERROR(INDEX(계정매핑!$C$5:$C$504,MATCH($F186&amp;"",계정매핑!$A$5:$A$504,0)),"미매핑"))</f>
        <v/>
      </c>
      <c r="L186" s="4">
        <f>IF($A186="","",VALUE($A186&amp;""))</f>
        <v/>
      </c>
      <c r="M186" s="4">
        <f>IF($A186="","",VALUE($B186&amp;""))</f>
        <v/>
      </c>
      <c r="N186" s="64">
        <f>IF($A186="","",$H186*설정!$C$15)</f>
        <v/>
      </c>
      <c r="O186" s="4">
        <f>IF($A186="","",J186&amp;"|"&amp;K186)</f>
        <v/>
      </c>
      <c r="P186" s="63">
        <f>IF($A186="","",IF(COUNTIFS(예산_원본!$T$5:$T$3004,O186,예산_원본!$B$5:$B$3004,설정!$C$8,예산_원본!$U$5:$U$3004,L186)&gt;0,"Y","N"))</f>
        <v/>
      </c>
      <c r="Q186" s="63">
        <f>IF($A186="","",IF(COUNTIF(집계!$E$7:$E$506,O186)&gt;0,"Y","N"))</f>
        <v/>
      </c>
    </row>
    <row r="187">
      <c r="A187" s="60" t="n">
        <v>2025</v>
      </c>
      <c r="B187" s="60" t="n">
        <v>3</v>
      </c>
      <c r="C187" s="60" t="inlineStr">
        <is>
          <t>1000</t>
        </is>
      </c>
      <c r="D187" s="60" t="n">
        <v>1401</v>
      </c>
      <c r="E187" s="60" t="inlineStr">
        <is>
          <t>상품개발</t>
        </is>
      </c>
      <c r="F187" s="60" t="n">
        <v>62301000</v>
      </c>
      <c r="G187" s="60" t="inlineStr">
        <is>
          <t>소모품비</t>
        </is>
      </c>
      <c r="H187" s="61" t="n">
        <v>362720</v>
      </c>
      <c r="J187" s="63">
        <f>IF($A187="","",IFERROR(INDEX(부서매핑!$C$5:$C$504,MATCH($D187&amp;"",부서매핑!$A$5:$A$504,0)),"미매핑"))</f>
        <v/>
      </c>
      <c r="K187" s="63">
        <f>IF($A187="","",IFERROR(INDEX(계정매핑!$C$5:$C$504,MATCH($F187&amp;"",계정매핑!$A$5:$A$504,0)),"미매핑"))</f>
        <v/>
      </c>
      <c r="L187" s="4">
        <f>IF($A187="","",VALUE($A187&amp;""))</f>
        <v/>
      </c>
      <c r="M187" s="4">
        <f>IF($A187="","",VALUE($B187&amp;""))</f>
        <v/>
      </c>
      <c r="N187" s="64">
        <f>IF($A187="","",$H187*설정!$C$15)</f>
        <v/>
      </c>
      <c r="O187" s="4">
        <f>IF($A187="","",J187&amp;"|"&amp;K187)</f>
        <v/>
      </c>
      <c r="P187" s="63">
        <f>IF($A187="","",IF(COUNTIFS(예산_원본!$T$5:$T$3004,O187,예산_원본!$B$5:$B$3004,설정!$C$8,예산_원본!$U$5:$U$3004,L187)&gt;0,"Y","N"))</f>
        <v/>
      </c>
      <c r="Q187" s="63">
        <f>IF($A187="","",IF(COUNTIF(집계!$E$7:$E$506,O187)&gt;0,"Y","N"))</f>
        <v/>
      </c>
    </row>
    <row r="188">
      <c r="A188" s="60" t="n">
        <v>2025</v>
      </c>
      <c r="B188" s="60" t="n">
        <v>3</v>
      </c>
      <c r="C188" s="60" t="inlineStr">
        <is>
          <t>1000</t>
        </is>
      </c>
      <c r="D188" s="60" t="n">
        <v>1401</v>
      </c>
      <c r="E188" s="60" t="inlineStr">
        <is>
          <t>상품개발</t>
        </is>
      </c>
      <c r="F188" s="60" t="n">
        <v>62401000</v>
      </c>
      <c r="G188" s="60" t="inlineStr">
        <is>
          <t>도서인쇄비</t>
        </is>
      </c>
      <c r="H188" s="61" t="n">
        <v>893610</v>
      </c>
      <c r="J188" s="63">
        <f>IF($A188="","",IFERROR(INDEX(부서매핑!$C$5:$C$504,MATCH($D188&amp;"",부서매핑!$A$5:$A$504,0)),"미매핑"))</f>
        <v/>
      </c>
      <c r="K188" s="63">
        <f>IF($A188="","",IFERROR(INDEX(계정매핑!$C$5:$C$504,MATCH($F188&amp;"",계정매핑!$A$5:$A$504,0)),"미매핑"))</f>
        <v/>
      </c>
      <c r="L188" s="4">
        <f>IF($A188="","",VALUE($A188&amp;""))</f>
        <v/>
      </c>
      <c r="M188" s="4">
        <f>IF($A188="","",VALUE($B188&amp;""))</f>
        <v/>
      </c>
      <c r="N188" s="64">
        <f>IF($A188="","",$H188*설정!$C$15)</f>
        <v/>
      </c>
      <c r="O188" s="4">
        <f>IF($A188="","",J188&amp;"|"&amp;K188)</f>
        <v/>
      </c>
      <c r="P188" s="63">
        <f>IF($A188="","",IF(COUNTIFS(예산_원본!$T$5:$T$3004,O188,예산_원본!$B$5:$B$3004,설정!$C$8,예산_원본!$U$5:$U$3004,L188)&gt;0,"Y","N"))</f>
        <v/>
      </c>
      <c r="Q188" s="63">
        <f>IF($A188="","",IF(COUNTIF(집계!$E$7:$E$506,O188)&gt;0,"Y","N"))</f>
        <v/>
      </c>
    </row>
    <row r="189">
      <c r="A189" s="60" t="n">
        <v>2025</v>
      </c>
      <c r="B189" s="60" t="n">
        <v>3</v>
      </c>
      <c r="C189" s="60" t="inlineStr">
        <is>
          <t>1000</t>
        </is>
      </c>
      <c r="D189" s="60" t="n">
        <v>1401</v>
      </c>
      <c r="E189" s="60" t="inlineStr">
        <is>
          <t>상품개발</t>
        </is>
      </c>
      <c r="F189" s="60" t="n">
        <v>62501000</v>
      </c>
      <c r="G189" s="60" t="inlineStr">
        <is>
          <t>회의비</t>
        </is>
      </c>
      <c r="H189" s="61" t="n">
        <v>459880</v>
      </c>
      <c r="J189" s="63">
        <f>IF($A189="","",IFERROR(INDEX(부서매핑!$C$5:$C$504,MATCH($D189&amp;"",부서매핑!$A$5:$A$504,0)),"미매핑"))</f>
        <v/>
      </c>
      <c r="K189" s="63">
        <f>IF($A189="","",IFERROR(INDEX(계정매핑!$C$5:$C$504,MATCH($F189&amp;"",계정매핑!$A$5:$A$504,0)),"미매핑"))</f>
        <v/>
      </c>
      <c r="L189" s="4">
        <f>IF($A189="","",VALUE($A189&amp;""))</f>
        <v/>
      </c>
      <c r="M189" s="4">
        <f>IF($A189="","",VALUE($B189&amp;""))</f>
        <v/>
      </c>
      <c r="N189" s="64">
        <f>IF($A189="","",$H189*설정!$C$15)</f>
        <v/>
      </c>
      <c r="O189" s="4">
        <f>IF($A189="","",J189&amp;"|"&amp;K189)</f>
        <v/>
      </c>
      <c r="P189" s="63">
        <f>IF($A189="","",IF(COUNTIFS(예산_원본!$T$5:$T$3004,O189,예산_원본!$B$5:$B$3004,설정!$C$8,예산_원본!$U$5:$U$3004,L189)&gt;0,"Y","N"))</f>
        <v/>
      </c>
      <c r="Q189" s="63">
        <f>IF($A189="","",IF(COUNTIF(집계!$E$7:$E$506,O189)&gt;0,"Y","N"))</f>
        <v/>
      </c>
    </row>
    <row r="190">
      <c r="A190" s="60" t="n">
        <v>2025</v>
      </c>
      <c r="B190" s="60" t="n">
        <v>3</v>
      </c>
      <c r="C190" s="60" t="inlineStr">
        <is>
          <t>1000</t>
        </is>
      </c>
      <c r="D190" s="60" t="n">
        <v>1401</v>
      </c>
      <c r="E190" s="60" t="inlineStr">
        <is>
          <t>상품개발</t>
        </is>
      </c>
      <c r="F190" s="60" t="n">
        <v>62901000</v>
      </c>
      <c r="G190" s="60" t="inlineStr">
        <is>
          <t>지급수수료-컨설팅</t>
        </is>
      </c>
      <c r="H190" s="61" t="n">
        <v>15802590</v>
      </c>
      <c r="J190" s="63">
        <f>IF($A190="","",IFERROR(INDEX(부서매핑!$C$5:$C$504,MATCH($D190&amp;"",부서매핑!$A$5:$A$504,0)),"미매핑"))</f>
        <v/>
      </c>
      <c r="K190" s="63">
        <f>IF($A190="","",IFERROR(INDEX(계정매핑!$C$5:$C$504,MATCH($F190&amp;"",계정매핑!$A$5:$A$504,0)),"미매핑"))</f>
        <v/>
      </c>
      <c r="L190" s="4">
        <f>IF($A190="","",VALUE($A190&amp;""))</f>
        <v/>
      </c>
      <c r="M190" s="4">
        <f>IF($A190="","",VALUE($B190&amp;""))</f>
        <v/>
      </c>
      <c r="N190" s="64">
        <f>IF($A190="","",$H190*설정!$C$15)</f>
        <v/>
      </c>
      <c r="O190" s="4">
        <f>IF($A190="","",J190&amp;"|"&amp;K190)</f>
        <v/>
      </c>
      <c r="P190" s="63">
        <f>IF($A190="","",IF(COUNTIFS(예산_원본!$T$5:$T$3004,O190,예산_원본!$B$5:$B$3004,설정!$C$8,예산_원본!$U$5:$U$3004,L190)&gt;0,"Y","N"))</f>
        <v/>
      </c>
      <c r="Q190" s="63">
        <f>IF($A190="","",IF(COUNTIF(집계!$E$7:$E$506,O190)&gt;0,"Y","N"))</f>
        <v/>
      </c>
    </row>
    <row r="191">
      <c r="A191" s="60" t="n">
        <v>2025</v>
      </c>
      <c r="B191" s="60" t="n">
        <v>3</v>
      </c>
      <c r="C191" s="60" t="inlineStr">
        <is>
          <t>1000</t>
        </is>
      </c>
      <c r="D191" s="60" t="n">
        <v>1401</v>
      </c>
      <c r="E191" s="60" t="inlineStr">
        <is>
          <t>상품개발</t>
        </is>
      </c>
      <c r="F191" s="60" t="n">
        <v>62902000</v>
      </c>
      <c r="G191" s="60" t="inlineStr">
        <is>
          <t>지급수수료-기타</t>
        </is>
      </c>
      <c r="H191" s="61" t="n">
        <v>8024550</v>
      </c>
      <c r="J191" s="63">
        <f>IF($A191="","",IFERROR(INDEX(부서매핑!$C$5:$C$504,MATCH($D191&amp;"",부서매핑!$A$5:$A$504,0)),"미매핑"))</f>
        <v/>
      </c>
      <c r="K191" s="63">
        <f>IF($A191="","",IFERROR(INDEX(계정매핑!$C$5:$C$504,MATCH($F191&amp;"",계정매핑!$A$5:$A$504,0)),"미매핑"))</f>
        <v/>
      </c>
      <c r="L191" s="4">
        <f>IF($A191="","",VALUE($A191&amp;""))</f>
        <v/>
      </c>
      <c r="M191" s="4">
        <f>IF($A191="","",VALUE($B191&amp;""))</f>
        <v/>
      </c>
      <c r="N191" s="64">
        <f>IF($A191="","",$H191*설정!$C$15)</f>
        <v/>
      </c>
      <c r="O191" s="4">
        <f>IF($A191="","",J191&amp;"|"&amp;K191)</f>
        <v/>
      </c>
      <c r="P191" s="63">
        <f>IF($A191="","",IF(COUNTIFS(예산_원본!$T$5:$T$3004,O191,예산_원본!$B$5:$B$3004,설정!$C$8,예산_원본!$U$5:$U$3004,L191)&gt;0,"Y","N"))</f>
        <v/>
      </c>
      <c r="Q191" s="63">
        <f>IF($A191="","",IF(COUNTIF(집계!$E$7:$E$506,O191)&gt;0,"Y","N"))</f>
        <v/>
      </c>
    </row>
    <row r="192">
      <c r="A192" s="60" t="n">
        <v>2025</v>
      </c>
      <c r="B192" s="60" t="n">
        <v>3</v>
      </c>
      <c r="C192" s="60" t="inlineStr">
        <is>
          <t>1000</t>
        </is>
      </c>
      <c r="D192" s="60" t="n">
        <v>1501</v>
      </c>
      <c r="E192" s="60" t="inlineStr">
        <is>
          <t>마케팅전략</t>
        </is>
      </c>
      <c r="F192" s="60" t="n">
        <v>62101000</v>
      </c>
      <c r="G192" s="60" t="inlineStr">
        <is>
          <t>여비교통비-국내</t>
        </is>
      </c>
      <c r="H192" s="61" t="n">
        <v>1349850</v>
      </c>
      <c r="J192" s="63">
        <f>IF($A192="","",IFERROR(INDEX(부서매핑!$C$5:$C$504,MATCH($D192&amp;"",부서매핑!$A$5:$A$504,0)),"미매핑"))</f>
        <v/>
      </c>
      <c r="K192" s="63">
        <f>IF($A192="","",IFERROR(INDEX(계정매핑!$C$5:$C$504,MATCH($F192&amp;"",계정매핑!$A$5:$A$504,0)),"미매핑"))</f>
        <v/>
      </c>
      <c r="L192" s="4">
        <f>IF($A192="","",VALUE($A192&amp;""))</f>
        <v/>
      </c>
      <c r="M192" s="4">
        <f>IF($A192="","",VALUE($B192&amp;""))</f>
        <v/>
      </c>
      <c r="N192" s="64">
        <f>IF($A192="","",$H192*설정!$C$15)</f>
        <v/>
      </c>
      <c r="O192" s="4">
        <f>IF($A192="","",J192&amp;"|"&amp;K192)</f>
        <v/>
      </c>
      <c r="P192" s="63">
        <f>IF($A192="","",IF(COUNTIFS(예산_원본!$T$5:$T$3004,O192,예산_원본!$B$5:$B$3004,설정!$C$8,예산_원본!$U$5:$U$3004,L192)&gt;0,"Y","N"))</f>
        <v/>
      </c>
      <c r="Q192" s="63">
        <f>IF($A192="","",IF(COUNTIF(집계!$E$7:$E$506,O192)&gt;0,"Y","N"))</f>
        <v/>
      </c>
    </row>
    <row r="193">
      <c r="A193" s="60" t="n">
        <v>2025</v>
      </c>
      <c r="B193" s="60" t="n">
        <v>3</v>
      </c>
      <c r="C193" s="60" t="inlineStr">
        <is>
          <t>1000</t>
        </is>
      </c>
      <c r="D193" s="60" t="n">
        <v>1501</v>
      </c>
      <c r="E193" s="60" t="inlineStr">
        <is>
          <t>마케팅전략</t>
        </is>
      </c>
      <c r="F193" s="60" t="n">
        <v>62102000</v>
      </c>
      <c r="G193" s="60" t="inlineStr">
        <is>
          <t>여비교통비-해외</t>
        </is>
      </c>
      <c r="H193" s="61" t="n">
        <v>227580</v>
      </c>
      <c r="J193" s="63">
        <f>IF($A193="","",IFERROR(INDEX(부서매핑!$C$5:$C$504,MATCH($D193&amp;"",부서매핑!$A$5:$A$504,0)),"미매핑"))</f>
        <v/>
      </c>
      <c r="K193" s="63">
        <f>IF($A193="","",IFERROR(INDEX(계정매핑!$C$5:$C$504,MATCH($F193&amp;"",계정매핑!$A$5:$A$504,0)),"미매핑"))</f>
        <v/>
      </c>
      <c r="L193" s="4">
        <f>IF($A193="","",VALUE($A193&amp;""))</f>
        <v/>
      </c>
      <c r="M193" s="4">
        <f>IF($A193="","",VALUE($B193&amp;""))</f>
        <v/>
      </c>
      <c r="N193" s="64">
        <f>IF($A193="","",$H193*설정!$C$15)</f>
        <v/>
      </c>
      <c r="O193" s="4">
        <f>IF($A193="","",J193&amp;"|"&amp;K193)</f>
        <v/>
      </c>
      <c r="P193" s="63">
        <f>IF($A193="","",IF(COUNTIFS(예산_원본!$T$5:$T$3004,O193,예산_원본!$B$5:$B$3004,설정!$C$8,예산_원본!$U$5:$U$3004,L193)&gt;0,"Y","N"))</f>
        <v/>
      </c>
      <c r="Q193" s="63">
        <f>IF($A193="","",IF(COUNTIF(집계!$E$7:$E$506,O193)&gt;0,"Y","N"))</f>
        <v/>
      </c>
    </row>
    <row r="194">
      <c r="A194" s="60" t="n">
        <v>2025</v>
      </c>
      <c r="B194" s="60" t="n">
        <v>3</v>
      </c>
      <c r="C194" s="60" t="inlineStr">
        <is>
          <t>1000</t>
        </is>
      </c>
      <c r="D194" s="60" t="n">
        <v>1501</v>
      </c>
      <c r="E194" s="60" t="inlineStr">
        <is>
          <t>마케팅전략</t>
        </is>
      </c>
      <c r="F194" s="60" t="n">
        <v>62201000</v>
      </c>
      <c r="G194" s="60" t="inlineStr">
        <is>
          <t>통신비</t>
        </is>
      </c>
      <c r="H194" s="61" t="n">
        <v>606470</v>
      </c>
      <c r="J194" s="63">
        <f>IF($A194="","",IFERROR(INDEX(부서매핑!$C$5:$C$504,MATCH($D194&amp;"",부서매핑!$A$5:$A$504,0)),"미매핑"))</f>
        <v/>
      </c>
      <c r="K194" s="63">
        <f>IF($A194="","",IFERROR(INDEX(계정매핑!$C$5:$C$504,MATCH($F194&amp;"",계정매핑!$A$5:$A$504,0)),"미매핑"))</f>
        <v/>
      </c>
      <c r="L194" s="4">
        <f>IF($A194="","",VALUE($A194&amp;""))</f>
        <v/>
      </c>
      <c r="M194" s="4">
        <f>IF($A194="","",VALUE($B194&amp;""))</f>
        <v/>
      </c>
      <c r="N194" s="64">
        <f>IF($A194="","",$H194*설정!$C$15)</f>
        <v/>
      </c>
      <c r="O194" s="4">
        <f>IF($A194="","",J194&amp;"|"&amp;K194)</f>
        <v/>
      </c>
      <c r="P194" s="63">
        <f>IF($A194="","",IF(COUNTIFS(예산_원본!$T$5:$T$3004,O194,예산_원본!$B$5:$B$3004,설정!$C$8,예산_원본!$U$5:$U$3004,L194)&gt;0,"Y","N"))</f>
        <v/>
      </c>
      <c r="Q194" s="63">
        <f>IF($A194="","",IF(COUNTIF(집계!$E$7:$E$506,O194)&gt;0,"Y","N"))</f>
        <v/>
      </c>
    </row>
    <row r="195">
      <c r="A195" s="60" t="n">
        <v>2025</v>
      </c>
      <c r="B195" s="60" t="n">
        <v>3</v>
      </c>
      <c r="C195" s="60" t="inlineStr">
        <is>
          <t>1000</t>
        </is>
      </c>
      <c r="D195" s="60" t="n">
        <v>1501</v>
      </c>
      <c r="E195" s="60" t="inlineStr">
        <is>
          <t>마케팅전략</t>
        </is>
      </c>
      <c r="F195" s="60" t="n">
        <v>62301000</v>
      </c>
      <c r="G195" s="60" t="inlineStr">
        <is>
          <t>소모품비</t>
        </is>
      </c>
      <c r="H195" s="61" t="n">
        <v>445960</v>
      </c>
      <c r="J195" s="63">
        <f>IF($A195="","",IFERROR(INDEX(부서매핑!$C$5:$C$504,MATCH($D195&amp;"",부서매핑!$A$5:$A$504,0)),"미매핑"))</f>
        <v/>
      </c>
      <c r="K195" s="63">
        <f>IF($A195="","",IFERROR(INDEX(계정매핑!$C$5:$C$504,MATCH($F195&amp;"",계정매핑!$A$5:$A$504,0)),"미매핑"))</f>
        <v/>
      </c>
      <c r="L195" s="4">
        <f>IF($A195="","",VALUE($A195&amp;""))</f>
        <v/>
      </c>
      <c r="M195" s="4">
        <f>IF($A195="","",VALUE($B195&amp;""))</f>
        <v/>
      </c>
      <c r="N195" s="64">
        <f>IF($A195="","",$H195*설정!$C$15)</f>
        <v/>
      </c>
      <c r="O195" s="4">
        <f>IF($A195="","",J195&amp;"|"&amp;K195)</f>
        <v/>
      </c>
      <c r="P195" s="63">
        <f>IF($A195="","",IF(COUNTIFS(예산_원본!$T$5:$T$3004,O195,예산_원본!$B$5:$B$3004,설정!$C$8,예산_원본!$U$5:$U$3004,L195)&gt;0,"Y","N"))</f>
        <v/>
      </c>
      <c r="Q195" s="63">
        <f>IF($A195="","",IF(COUNTIF(집계!$E$7:$E$506,O195)&gt;0,"Y","N"))</f>
        <v/>
      </c>
    </row>
    <row r="196">
      <c r="A196" s="60" t="n">
        <v>2025</v>
      </c>
      <c r="B196" s="60" t="n">
        <v>3</v>
      </c>
      <c r="C196" s="60" t="inlineStr">
        <is>
          <t>1000</t>
        </is>
      </c>
      <c r="D196" s="60" t="n">
        <v>1501</v>
      </c>
      <c r="E196" s="60" t="inlineStr">
        <is>
          <t>마케팅전략</t>
        </is>
      </c>
      <c r="F196" s="60" t="n">
        <v>62401000</v>
      </c>
      <c r="G196" s="60" t="inlineStr">
        <is>
          <t>도서인쇄비</t>
        </is>
      </c>
      <c r="H196" s="61" t="n">
        <v>3590690</v>
      </c>
      <c r="J196" s="63">
        <f>IF($A196="","",IFERROR(INDEX(부서매핑!$C$5:$C$504,MATCH($D196&amp;"",부서매핑!$A$5:$A$504,0)),"미매핑"))</f>
        <v/>
      </c>
      <c r="K196" s="63">
        <f>IF($A196="","",IFERROR(INDEX(계정매핑!$C$5:$C$504,MATCH($F196&amp;"",계정매핑!$A$5:$A$504,0)),"미매핑"))</f>
        <v/>
      </c>
      <c r="L196" s="4">
        <f>IF($A196="","",VALUE($A196&amp;""))</f>
        <v/>
      </c>
      <c r="M196" s="4">
        <f>IF($A196="","",VALUE($B196&amp;""))</f>
        <v/>
      </c>
      <c r="N196" s="64">
        <f>IF($A196="","",$H196*설정!$C$15)</f>
        <v/>
      </c>
      <c r="O196" s="4">
        <f>IF($A196="","",J196&amp;"|"&amp;K196)</f>
        <v/>
      </c>
      <c r="P196" s="63">
        <f>IF($A196="","",IF(COUNTIFS(예산_원본!$T$5:$T$3004,O196,예산_원본!$B$5:$B$3004,설정!$C$8,예산_원본!$U$5:$U$3004,L196)&gt;0,"Y","N"))</f>
        <v/>
      </c>
      <c r="Q196" s="63">
        <f>IF($A196="","",IF(COUNTIF(집계!$E$7:$E$506,O196)&gt;0,"Y","N"))</f>
        <v/>
      </c>
    </row>
    <row r="197">
      <c r="A197" s="60" t="n">
        <v>2025</v>
      </c>
      <c r="B197" s="60" t="n">
        <v>3</v>
      </c>
      <c r="C197" s="60" t="inlineStr">
        <is>
          <t>1000</t>
        </is>
      </c>
      <c r="D197" s="60" t="n">
        <v>1501</v>
      </c>
      <c r="E197" s="60" t="inlineStr">
        <is>
          <t>마케팅전략</t>
        </is>
      </c>
      <c r="F197" s="60" t="n">
        <v>62501000</v>
      </c>
      <c r="G197" s="60" t="inlineStr">
        <is>
          <t>회의비</t>
        </is>
      </c>
      <c r="H197" s="61" t="n">
        <v>680540</v>
      </c>
      <c r="J197" s="63">
        <f>IF($A197="","",IFERROR(INDEX(부서매핑!$C$5:$C$504,MATCH($D197&amp;"",부서매핑!$A$5:$A$504,0)),"미매핑"))</f>
        <v/>
      </c>
      <c r="K197" s="63">
        <f>IF($A197="","",IFERROR(INDEX(계정매핑!$C$5:$C$504,MATCH($F197&amp;"",계정매핑!$A$5:$A$504,0)),"미매핑"))</f>
        <v/>
      </c>
      <c r="L197" s="4">
        <f>IF($A197="","",VALUE($A197&amp;""))</f>
        <v/>
      </c>
      <c r="M197" s="4">
        <f>IF($A197="","",VALUE($B197&amp;""))</f>
        <v/>
      </c>
      <c r="N197" s="64">
        <f>IF($A197="","",$H197*설정!$C$15)</f>
        <v/>
      </c>
      <c r="O197" s="4">
        <f>IF($A197="","",J197&amp;"|"&amp;K197)</f>
        <v/>
      </c>
      <c r="P197" s="63">
        <f>IF($A197="","",IF(COUNTIFS(예산_원본!$T$5:$T$3004,O197,예산_원본!$B$5:$B$3004,설정!$C$8,예산_원본!$U$5:$U$3004,L197)&gt;0,"Y","N"))</f>
        <v/>
      </c>
      <c r="Q197" s="63">
        <f>IF($A197="","",IF(COUNTIF(집계!$E$7:$E$506,O197)&gt;0,"Y","N"))</f>
        <v/>
      </c>
    </row>
    <row r="198">
      <c r="A198" s="60" t="n">
        <v>2025</v>
      </c>
      <c r="B198" s="60" t="n">
        <v>3</v>
      </c>
      <c r="C198" s="60" t="inlineStr">
        <is>
          <t>1000</t>
        </is>
      </c>
      <c r="D198" s="60" t="n">
        <v>1501</v>
      </c>
      <c r="E198" s="60" t="inlineStr">
        <is>
          <t>마케팅전략</t>
        </is>
      </c>
      <c r="F198" s="60" t="n">
        <v>62601000</v>
      </c>
      <c r="G198" s="60" t="inlineStr">
        <is>
          <t>업무추진비</t>
        </is>
      </c>
      <c r="H198" s="61" t="n">
        <v>1619970</v>
      </c>
      <c r="J198" s="63">
        <f>IF($A198="","",IFERROR(INDEX(부서매핑!$C$5:$C$504,MATCH($D198&amp;"",부서매핑!$A$5:$A$504,0)),"미매핑"))</f>
        <v/>
      </c>
      <c r="K198" s="63">
        <f>IF($A198="","",IFERROR(INDEX(계정매핑!$C$5:$C$504,MATCH($F198&amp;"",계정매핑!$A$5:$A$504,0)),"미매핑"))</f>
        <v/>
      </c>
      <c r="L198" s="4">
        <f>IF($A198="","",VALUE($A198&amp;""))</f>
        <v/>
      </c>
      <c r="M198" s="4">
        <f>IF($A198="","",VALUE($B198&amp;""))</f>
        <v/>
      </c>
      <c r="N198" s="64">
        <f>IF($A198="","",$H198*설정!$C$15)</f>
        <v/>
      </c>
      <c r="O198" s="4">
        <f>IF($A198="","",J198&amp;"|"&amp;K198)</f>
        <v/>
      </c>
      <c r="P198" s="63">
        <f>IF($A198="","",IF(COUNTIFS(예산_원본!$T$5:$T$3004,O198,예산_원본!$B$5:$B$3004,설정!$C$8,예산_원본!$U$5:$U$3004,L198)&gt;0,"Y","N"))</f>
        <v/>
      </c>
      <c r="Q198" s="63">
        <f>IF($A198="","",IF(COUNTIF(집계!$E$7:$E$506,O198)&gt;0,"Y","N"))</f>
        <v/>
      </c>
    </row>
    <row r="199">
      <c r="A199" s="60" t="n">
        <v>2025</v>
      </c>
      <c r="B199" s="60" t="n">
        <v>3</v>
      </c>
      <c r="C199" s="60" t="inlineStr">
        <is>
          <t>1000</t>
        </is>
      </c>
      <c r="D199" s="60" t="n">
        <v>1501</v>
      </c>
      <c r="E199" s="60" t="inlineStr">
        <is>
          <t>마케팅전략</t>
        </is>
      </c>
      <c r="F199" s="60" t="n">
        <v>62701000</v>
      </c>
      <c r="G199" s="60" t="inlineStr">
        <is>
          <t>광고선전비</t>
        </is>
      </c>
      <c r="H199" s="61" t="n">
        <v>119720090</v>
      </c>
      <c r="J199" s="63">
        <f>IF($A199="","",IFERROR(INDEX(부서매핑!$C$5:$C$504,MATCH($D199&amp;"",부서매핑!$A$5:$A$504,0)),"미매핑"))</f>
        <v/>
      </c>
      <c r="K199" s="63">
        <f>IF($A199="","",IFERROR(INDEX(계정매핑!$C$5:$C$504,MATCH($F199&amp;"",계정매핑!$A$5:$A$504,0)),"미매핑"))</f>
        <v/>
      </c>
      <c r="L199" s="4">
        <f>IF($A199="","",VALUE($A199&amp;""))</f>
        <v/>
      </c>
      <c r="M199" s="4">
        <f>IF($A199="","",VALUE($B199&amp;""))</f>
        <v/>
      </c>
      <c r="N199" s="64">
        <f>IF($A199="","",$H199*설정!$C$15)</f>
        <v/>
      </c>
      <c r="O199" s="4">
        <f>IF($A199="","",J199&amp;"|"&amp;K199)</f>
        <v/>
      </c>
      <c r="P199" s="63">
        <f>IF($A199="","",IF(COUNTIFS(예산_원본!$T$5:$T$3004,O199,예산_원본!$B$5:$B$3004,설정!$C$8,예산_원본!$U$5:$U$3004,L199)&gt;0,"Y","N"))</f>
        <v/>
      </c>
      <c r="Q199" s="63">
        <f>IF($A199="","",IF(COUNTIF(집계!$E$7:$E$506,O199)&gt;0,"Y","N"))</f>
        <v/>
      </c>
    </row>
    <row r="200">
      <c r="A200" s="60" t="n">
        <v>2025</v>
      </c>
      <c r="B200" s="60" t="n">
        <v>3</v>
      </c>
      <c r="C200" s="60" t="inlineStr">
        <is>
          <t>1000</t>
        </is>
      </c>
      <c r="D200" s="60" t="n">
        <v>1502</v>
      </c>
      <c r="E200" s="60" t="inlineStr">
        <is>
          <t>디지털마케팅</t>
        </is>
      </c>
      <c r="F200" s="60" t="n">
        <v>62101000</v>
      </c>
      <c r="G200" s="60" t="inlineStr">
        <is>
          <t>여비교통비-국내</t>
        </is>
      </c>
      <c r="H200" s="61" t="n">
        <v>940050</v>
      </c>
      <c r="J200" s="63">
        <f>IF($A200="","",IFERROR(INDEX(부서매핑!$C$5:$C$504,MATCH($D200&amp;"",부서매핑!$A$5:$A$504,0)),"미매핑"))</f>
        <v/>
      </c>
      <c r="K200" s="63">
        <f>IF($A200="","",IFERROR(INDEX(계정매핑!$C$5:$C$504,MATCH($F200&amp;"",계정매핑!$A$5:$A$504,0)),"미매핑"))</f>
        <v/>
      </c>
      <c r="L200" s="4">
        <f>IF($A200="","",VALUE($A200&amp;""))</f>
        <v/>
      </c>
      <c r="M200" s="4">
        <f>IF($A200="","",VALUE($B200&amp;""))</f>
        <v/>
      </c>
      <c r="N200" s="64">
        <f>IF($A200="","",$H200*설정!$C$15)</f>
        <v/>
      </c>
      <c r="O200" s="4">
        <f>IF($A200="","",J200&amp;"|"&amp;K200)</f>
        <v/>
      </c>
      <c r="P200" s="63">
        <f>IF($A200="","",IF(COUNTIFS(예산_원본!$T$5:$T$3004,O200,예산_원본!$B$5:$B$3004,설정!$C$8,예산_원본!$U$5:$U$3004,L200)&gt;0,"Y","N"))</f>
        <v/>
      </c>
      <c r="Q200" s="63">
        <f>IF($A200="","",IF(COUNTIF(집계!$E$7:$E$506,O200)&gt;0,"Y","N"))</f>
        <v/>
      </c>
    </row>
    <row r="201">
      <c r="A201" s="60" t="n">
        <v>2025</v>
      </c>
      <c r="B201" s="60" t="n">
        <v>3</v>
      </c>
      <c r="C201" s="60" t="inlineStr">
        <is>
          <t>1000</t>
        </is>
      </c>
      <c r="D201" s="60" t="n">
        <v>1502</v>
      </c>
      <c r="E201" s="60" t="inlineStr">
        <is>
          <t>디지털마케팅</t>
        </is>
      </c>
      <c r="F201" s="60" t="n">
        <v>62102000</v>
      </c>
      <c r="G201" s="60" t="inlineStr">
        <is>
          <t>여비교통비-해외</t>
        </is>
      </c>
      <c r="H201" s="61" t="n">
        <v>165950</v>
      </c>
      <c r="J201" s="63">
        <f>IF($A201="","",IFERROR(INDEX(부서매핑!$C$5:$C$504,MATCH($D201&amp;"",부서매핑!$A$5:$A$504,0)),"미매핑"))</f>
        <v/>
      </c>
      <c r="K201" s="63">
        <f>IF($A201="","",IFERROR(INDEX(계정매핑!$C$5:$C$504,MATCH($F201&amp;"",계정매핑!$A$5:$A$504,0)),"미매핑"))</f>
        <v/>
      </c>
      <c r="L201" s="4">
        <f>IF($A201="","",VALUE($A201&amp;""))</f>
        <v/>
      </c>
      <c r="M201" s="4">
        <f>IF($A201="","",VALUE($B201&amp;""))</f>
        <v/>
      </c>
      <c r="N201" s="64">
        <f>IF($A201="","",$H201*설정!$C$15)</f>
        <v/>
      </c>
      <c r="O201" s="4">
        <f>IF($A201="","",J201&amp;"|"&amp;K201)</f>
        <v/>
      </c>
      <c r="P201" s="63">
        <f>IF($A201="","",IF(COUNTIFS(예산_원본!$T$5:$T$3004,O201,예산_원본!$B$5:$B$3004,설정!$C$8,예산_원본!$U$5:$U$3004,L201)&gt;0,"Y","N"))</f>
        <v/>
      </c>
      <c r="Q201" s="63">
        <f>IF($A201="","",IF(COUNTIF(집계!$E$7:$E$506,O201)&gt;0,"Y","N"))</f>
        <v/>
      </c>
    </row>
    <row r="202">
      <c r="A202" s="60" t="n">
        <v>2025</v>
      </c>
      <c r="B202" s="60" t="n">
        <v>3</v>
      </c>
      <c r="C202" s="60" t="inlineStr">
        <is>
          <t>1000</t>
        </is>
      </c>
      <c r="D202" s="60" t="n">
        <v>1502</v>
      </c>
      <c r="E202" s="60" t="inlineStr">
        <is>
          <t>디지털마케팅</t>
        </is>
      </c>
      <c r="F202" s="60" t="n">
        <v>62201000</v>
      </c>
      <c r="G202" s="60" t="inlineStr">
        <is>
          <t>통신비</t>
        </is>
      </c>
      <c r="H202" s="61" t="n">
        <v>355720</v>
      </c>
      <c r="J202" s="63">
        <f>IF($A202="","",IFERROR(INDEX(부서매핑!$C$5:$C$504,MATCH($D202&amp;"",부서매핑!$A$5:$A$504,0)),"미매핑"))</f>
        <v/>
      </c>
      <c r="K202" s="63">
        <f>IF($A202="","",IFERROR(INDEX(계정매핑!$C$5:$C$504,MATCH($F202&amp;"",계정매핑!$A$5:$A$504,0)),"미매핑"))</f>
        <v/>
      </c>
      <c r="L202" s="4">
        <f>IF($A202="","",VALUE($A202&amp;""))</f>
        <v/>
      </c>
      <c r="M202" s="4">
        <f>IF($A202="","",VALUE($B202&amp;""))</f>
        <v/>
      </c>
      <c r="N202" s="64">
        <f>IF($A202="","",$H202*설정!$C$15)</f>
        <v/>
      </c>
      <c r="O202" s="4">
        <f>IF($A202="","",J202&amp;"|"&amp;K202)</f>
        <v/>
      </c>
      <c r="P202" s="63">
        <f>IF($A202="","",IF(COUNTIFS(예산_원본!$T$5:$T$3004,O202,예산_원본!$B$5:$B$3004,설정!$C$8,예산_원본!$U$5:$U$3004,L202)&gt;0,"Y","N"))</f>
        <v/>
      </c>
      <c r="Q202" s="63">
        <f>IF($A202="","",IF(COUNTIF(집계!$E$7:$E$506,O202)&gt;0,"Y","N"))</f>
        <v/>
      </c>
    </row>
    <row r="203">
      <c r="A203" s="60" t="n">
        <v>2025</v>
      </c>
      <c r="B203" s="60" t="n">
        <v>3</v>
      </c>
      <c r="C203" s="60" t="inlineStr">
        <is>
          <t>1000</t>
        </is>
      </c>
      <c r="D203" s="60" t="n">
        <v>1502</v>
      </c>
      <c r="E203" s="60" t="inlineStr">
        <is>
          <t>디지털마케팅</t>
        </is>
      </c>
      <c r="F203" s="60" t="n">
        <v>62301000</v>
      </c>
      <c r="G203" s="60" t="inlineStr">
        <is>
          <t>소모품비</t>
        </is>
      </c>
      <c r="H203" s="61" t="n">
        <v>313410</v>
      </c>
      <c r="J203" s="63">
        <f>IF($A203="","",IFERROR(INDEX(부서매핑!$C$5:$C$504,MATCH($D203&amp;"",부서매핑!$A$5:$A$504,0)),"미매핑"))</f>
        <v/>
      </c>
      <c r="K203" s="63">
        <f>IF($A203="","",IFERROR(INDEX(계정매핑!$C$5:$C$504,MATCH($F203&amp;"",계정매핑!$A$5:$A$504,0)),"미매핑"))</f>
        <v/>
      </c>
      <c r="L203" s="4">
        <f>IF($A203="","",VALUE($A203&amp;""))</f>
        <v/>
      </c>
      <c r="M203" s="4">
        <f>IF($A203="","",VALUE($B203&amp;""))</f>
        <v/>
      </c>
      <c r="N203" s="64">
        <f>IF($A203="","",$H203*설정!$C$15)</f>
        <v/>
      </c>
      <c r="O203" s="4">
        <f>IF($A203="","",J203&amp;"|"&amp;K203)</f>
        <v/>
      </c>
      <c r="P203" s="63">
        <f>IF($A203="","",IF(COUNTIFS(예산_원본!$T$5:$T$3004,O203,예산_원본!$B$5:$B$3004,설정!$C$8,예산_원본!$U$5:$U$3004,L203)&gt;0,"Y","N"))</f>
        <v/>
      </c>
      <c r="Q203" s="63">
        <f>IF($A203="","",IF(COUNTIF(집계!$E$7:$E$506,O203)&gt;0,"Y","N"))</f>
        <v/>
      </c>
    </row>
    <row r="204">
      <c r="A204" s="60" t="n">
        <v>2025</v>
      </c>
      <c r="B204" s="60" t="n">
        <v>3</v>
      </c>
      <c r="C204" s="60" t="inlineStr">
        <is>
          <t>1000</t>
        </is>
      </c>
      <c r="D204" s="60" t="n">
        <v>1502</v>
      </c>
      <c r="E204" s="60" t="inlineStr">
        <is>
          <t>디지털마케팅</t>
        </is>
      </c>
      <c r="F204" s="60" t="n">
        <v>62401000</v>
      </c>
      <c r="G204" s="60" t="inlineStr">
        <is>
          <t>도서인쇄비</t>
        </is>
      </c>
      <c r="H204" s="61" t="n">
        <v>2178820</v>
      </c>
      <c r="J204" s="63">
        <f>IF($A204="","",IFERROR(INDEX(부서매핑!$C$5:$C$504,MATCH($D204&amp;"",부서매핑!$A$5:$A$504,0)),"미매핑"))</f>
        <v/>
      </c>
      <c r="K204" s="63">
        <f>IF($A204="","",IFERROR(INDEX(계정매핑!$C$5:$C$504,MATCH($F204&amp;"",계정매핑!$A$5:$A$504,0)),"미매핑"))</f>
        <v/>
      </c>
      <c r="L204" s="4">
        <f>IF($A204="","",VALUE($A204&amp;""))</f>
        <v/>
      </c>
      <c r="M204" s="4">
        <f>IF($A204="","",VALUE($B204&amp;""))</f>
        <v/>
      </c>
      <c r="N204" s="64">
        <f>IF($A204="","",$H204*설정!$C$15)</f>
        <v/>
      </c>
      <c r="O204" s="4">
        <f>IF($A204="","",J204&amp;"|"&amp;K204)</f>
        <v/>
      </c>
      <c r="P204" s="63">
        <f>IF($A204="","",IF(COUNTIFS(예산_원본!$T$5:$T$3004,O204,예산_원본!$B$5:$B$3004,설정!$C$8,예산_원본!$U$5:$U$3004,L204)&gt;0,"Y","N"))</f>
        <v/>
      </c>
      <c r="Q204" s="63">
        <f>IF($A204="","",IF(COUNTIF(집계!$E$7:$E$506,O204)&gt;0,"Y","N"))</f>
        <v/>
      </c>
    </row>
    <row r="205">
      <c r="A205" s="60" t="n">
        <v>2025</v>
      </c>
      <c r="B205" s="60" t="n">
        <v>3</v>
      </c>
      <c r="C205" s="60" t="inlineStr">
        <is>
          <t>1000</t>
        </is>
      </c>
      <c r="D205" s="60" t="n">
        <v>1502</v>
      </c>
      <c r="E205" s="60" t="inlineStr">
        <is>
          <t>디지털마케팅</t>
        </is>
      </c>
      <c r="F205" s="60" t="n">
        <v>62501000</v>
      </c>
      <c r="G205" s="60" t="inlineStr">
        <is>
          <t>회의비</t>
        </is>
      </c>
      <c r="H205" s="61" t="n">
        <v>381250</v>
      </c>
      <c r="J205" s="63">
        <f>IF($A205="","",IFERROR(INDEX(부서매핑!$C$5:$C$504,MATCH($D205&amp;"",부서매핑!$A$5:$A$504,0)),"미매핑"))</f>
        <v/>
      </c>
      <c r="K205" s="63">
        <f>IF($A205="","",IFERROR(INDEX(계정매핑!$C$5:$C$504,MATCH($F205&amp;"",계정매핑!$A$5:$A$504,0)),"미매핑"))</f>
        <v/>
      </c>
      <c r="L205" s="4">
        <f>IF($A205="","",VALUE($A205&amp;""))</f>
        <v/>
      </c>
      <c r="M205" s="4">
        <f>IF($A205="","",VALUE($B205&amp;""))</f>
        <v/>
      </c>
      <c r="N205" s="64">
        <f>IF($A205="","",$H205*설정!$C$15)</f>
        <v/>
      </c>
      <c r="O205" s="4">
        <f>IF($A205="","",J205&amp;"|"&amp;K205)</f>
        <v/>
      </c>
      <c r="P205" s="63">
        <f>IF($A205="","",IF(COUNTIFS(예산_원본!$T$5:$T$3004,O205,예산_원본!$B$5:$B$3004,설정!$C$8,예산_원본!$U$5:$U$3004,L205)&gt;0,"Y","N"))</f>
        <v/>
      </c>
      <c r="Q205" s="63">
        <f>IF($A205="","",IF(COUNTIF(집계!$E$7:$E$506,O205)&gt;0,"Y","N"))</f>
        <v/>
      </c>
    </row>
    <row r="206">
      <c r="A206" s="60" t="n">
        <v>2025</v>
      </c>
      <c r="B206" s="60" t="n">
        <v>3</v>
      </c>
      <c r="C206" s="60" t="inlineStr">
        <is>
          <t>1000</t>
        </is>
      </c>
      <c r="D206" s="60" t="n">
        <v>1502</v>
      </c>
      <c r="E206" s="60" t="inlineStr">
        <is>
          <t>디지털마케팅</t>
        </is>
      </c>
      <c r="F206" s="60" t="n">
        <v>62601000</v>
      </c>
      <c r="G206" s="60" t="inlineStr">
        <is>
          <t>업무추진비</t>
        </is>
      </c>
      <c r="H206" s="61" t="n">
        <v>1082110</v>
      </c>
      <c r="J206" s="63">
        <f>IF($A206="","",IFERROR(INDEX(부서매핑!$C$5:$C$504,MATCH($D206&amp;"",부서매핑!$A$5:$A$504,0)),"미매핑"))</f>
        <v/>
      </c>
      <c r="K206" s="63">
        <f>IF($A206="","",IFERROR(INDEX(계정매핑!$C$5:$C$504,MATCH($F206&amp;"",계정매핑!$A$5:$A$504,0)),"미매핑"))</f>
        <v/>
      </c>
      <c r="L206" s="4">
        <f>IF($A206="","",VALUE($A206&amp;""))</f>
        <v/>
      </c>
      <c r="M206" s="4">
        <f>IF($A206="","",VALUE($B206&amp;""))</f>
        <v/>
      </c>
      <c r="N206" s="64">
        <f>IF($A206="","",$H206*설정!$C$15)</f>
        <v/>
      </c>
      <c r="O206" s="4">
        <f>IF($A206="","",J206&amp;"|"&amp;K206)</f>
        <v/>
      </c>
      <c r="P206" s="63">
        <f>IF($A206="","",IF(COUNTIFS(예산_원본!$T$5:$T$3004,O206,예산_원본!$B$5:$B$3004,설정!$C$8,예산_원본!$U$5:$U$3004,L206)&gt;0,"Y","N"))</f>
        <v/>
      </c>
      <c r="Q206" s="63">
        <f>IF($A206="","",IF(COUNTIF(집계!$E$7:$E$506,O206)&gt;0,"Y","N"))</f>
        <v/>
      </c>
    </row>
    <row r="207">
      <c r="A207" s="60" t="n">
        <v>2025</v>
      </c>
      <c r="B207" s="60" t="n">
        <v>3</v>
      </c>
      <c r="C207" s="60" t="inlineStr">
        <is>
          <t>1000</t>
        </is>
      </c>
      <c r="D207" s="60" t="n">
        <v>1502</v>
      </c>
      <c r="E207" s="60" t="inlineStr">
        <is>
          <t>디지털마케팅</t>
        </is>
      </c>
      <c r="F207" s="60" t="n">
        <v>62701000</v>
      </c>
      <c r="G207" s="60" t="inlineStr">
        <is>
          <t>광고선전비</t>
        </is>
      </c>
      <c r="H207" s="61" t="n">
        <v>76003620</v>
      </c>
      <c r="J207" s="63">
        <f>IF($A207="","",IFERROR(INDEX(부서매핑!$C$5:$C$504,MATCH($D207&amp;"",부서매핑!$A$5:$A$504,0)),"미매핑"))</f>
        <v/>
      </c>
      <c r="K207" s="63">
        <f>IF($A207="","",IFERROR(INDEX(계정매핑!$C$5:$C$504,MATCH($F207&amp;"",계정매핑!$A$5:$A$504,0)),"미매핑"))</f>
        <v/>
      </c>
      <c r="L207" s="4">
        <f>IF($A207="","",VALUE($A207&amp;""))</f>
        <v/>
      </c>
      <c r="M207" s="4">
        <f>IF($A207="","",VALUE($B207&amp;""))</f>
        <v/>
      </c>
      <c r="N207" s="64">
        <f>IF($A207="","",$H207*설정!$C$15)</f>
        <v/>
      </c>
      <c r="O207" s="4">
        <f>IF($A207="","",J207&amp;"|"&amp;K207)</f>
        <v/>
      </c>
      <c r="P207" s="63">
        <f>IF($A207="","",IF(COUNTIFS(예산_원본!$T$5:$T$3004,O207,예산_원본!$B$5:$B$3004,설정!$C$8,예산_원본!$U$5:$U$3004,L207)&gt;0,"Y","N"))</f>
        <v/>
      </c>
      <c r="Q207" s="63">
        <f>IF($A207="","",IF(COUNTIF(집계!$E$7:$E$506,O207)&gt;0,"Y","N"))</f>
        <v/>
      </c>
    </row>
    <row r="208">
      <c r="A208" s="60" t="n">
        <v>2025</v>
      </c>
      <c r="B208" s="60" t="n">
        <v>3</v>
      </c>
      <c r="C208" s="60" t="inlineStr">
        <is>
          <t>1000</t>
        </is>
      </c>
      <c r="D208" s="60" t="n">
        <v>1601</v>
      </c>
      <c r="E208" s="60" t="inlineStr">
        <is>
          <t>영업지원-본사</t>
        </is>
      </c>
      <c r="F208" s="60" t="n">
        <v>62101000</v>
      </c>
      <c r="G208" s="60" t="inlineStr">
        <is>
          <t>여비교통비-국내</t>
        </is>
      </c>
      <c r="H208" s="61" t="n">
        <v>2834150</v>
      </c>
      <c r="J208" s="63">
        <f>IF($A208="","",IFERROR(INDEX(부서매핑!$C$5:$C$504,MATCH($D208&amp;"",부서매핑!$A$5:$A$504,0)),"미매핑"))</f>
        <v/>
      </c>
      <c r="K208" s="63">
        <f>IF($A208="","",IFERROR(INDEX(계정매핑!$C$5:$C$504,MATCH($F208&amp;"",계정매핑!$A$5:$A$504,0)),"미매핑"))</f>
        <v/>
      </c>
      <c r="L208" s="4">
        <f>IF($A208="","",VALUE($A208&amp;""))</f>
        <v/>
      </c>
      <c r="M208" s="4">
        <f>IF($A208="","",VALUE($B208&amp;""))</f>
        <v/>
      </c>
      <c r="N208" s="64">
        <f>IF($A208="","",$H208*설정!$C$15)</f>
        <v/>
      </c>
      <c r="O208" s="4">
        <f>IF($A208="","",J208&amp;"|"&amp;K208)</f>
        <v/>
      </c>
      <c r="P208" s="63">
        <f>IF($A208="","",IF(COUNTIFS(예산_원본!$T$5:$T$3004,O208,예산_원본!$B$5:$B$3004,설정!$C$8,예산_원본!$U$5:$U$3004,L208)&gt;0,"Y","N"))</f>
        <v/>
      </c>
      <c r="Q208" s="63">
        <f>IF($A208="","",IF(COUNTIF(집계!$E$7:$E$506,O208)&gt;0,"Y","N"))</f>
        <v/>
      </c>
    </row>
    <row r="209">
      <c r="A209" s="60" t="n">
        <v>2025</v>
      </c>
      <c r="B209" s="60" t="n">
        <v>3</v>
      </c>
      <c r="C209" s="60" t="inlineStr">
        <is>
          <t>1000</t>
        </is>
      </c>
      <c r="D209" s="60" t="n">
        <v>1601</v>
      </c>
      <c r="E209" s="60" t="inlineStr">
        <is>
          <t>영업지원-본사</t>
        </is>
      </c>
      <c r="F209" s="60" t="n">
        <v>62102000</v>
      </c>
      <c r="G209" s="60" t="inlineStr">
        <is>
          <t>여비교통비-해외</t>
        </is>
      </c>
      <c r="H209" s="61" t="n">
        <v>524260</v>
      </c>
      <c r="J209" s="63">
        <f>IF($A209="","",IFERROR(INDEX(부서매핑!$C$5:$C$504,MATCH($D209&amp;"",부서매핑!$A$5:$A$504,0)),"미매핑"))</f>
        <v/>
      </c>
      <c r="K209" s="63">
        <f>IF($A209="","",IFERROR(INDEX(계정매핑!$C$5:$C$504,MATCH($F209&amp;"",계정매핑!$A$5:$A$504,0)),"미매핑"))</f>
        <v/>
      </c>
      <c r="L209" s="4">
        <f>IF($A209="","",VALUE($A209&amp;""))</f>
        <v/>
      </c>
      <c r="M209" s="4">
        <f>IF($A209="","",VALUE($B209&amp;""))</f>
        <v/>
      </c>
      <c r="N209" s="64">
        <f>IF($A209="","",$H209*설정!$C$15)</f>
        <v/>
      </c>
      <c r="O209" s="4">
        <f>IF($A209="","",J209&amp;"|"&amp;K209)</f>
        <v/>
      </c>
      <c r="P209" s="63">
        <f>IF($A209="","",IF(COUNTIFS(예산_원본!$T$5:$T$3004,O209,예산_원본!$B$5:$B$3004,설정!$C$8,예산_원본!$U$5:$U$3004,L209)&gt;0,"Y","N"))</f>
        <v/>
      </c>
      <c r="Q209" s="63">
        <f>IF($A209="","",IF(COUNTIF(집계!$E$7:$E$506,O209)&gt;0,"Y","N"))</f>
        <v/>
      </c>
    </row>
    <row r="210">
      <c r="A210" s="60" t="n">
        <v>2025</v>
      </c>
      <c r="B210" s="60" t="n">
        <v>3</v>
      </c>
      <c r="C210" s="60" t="inlineStr">
        <is>
          <t>1000</t>
        </is>
      </c>
      <c r="D210" s="60" t="n">
        <v>1601</v>
      </c>
      <c r="E210" s="60" t="inlineStr">
        <is>
          <t>영업지원-본사</t>
        </is>
      </c>
      <c r="F210" s="60" t="n">
        <v>62201000</v>
      </c>
      <c r="G210" s="60" t="inlineStr">
        <is>
          <t>통신비</t>
        </is>
      </c>
      <c r="H210" s="61" t="n">
        <v>897170</v>
      </c>
      <c r="J210" s="63">
        <f>IF($A210="","",IFERROR(INDEX(부서매핑!$C$5:$C$504,MATCH($D210&amp;"",부서매핑!$A$5:$A$504,0)),"미매핑"))</f>
        <v/>
      </c>
      <c r="K210" s="63">
        <f>IF($A210="","",IFERROR(INDEX(계정매핑!$C$5:$C$504,MATCH($F210&amp;"",계정매핑!$A$5:$A$504,0)),"미매핑"))</f>
        <v/>
      </c>
      <c r="L210" s="4">
        <f>IF($A210="","",VALUE($A210&amp;""))</f>
        <v/>
      </c>
      <c r="M210" s="4">
        <f>IF($A210="","",VALUE($B210&amp;""))</f>
        <v/>
      </c>
      <c r="N210" s="64">
        <f>IF($A210="","",$H210*설정!$C$15)</f>
        <v/>
      </c>
      <c r="O210" s="4">
        <f>IF($A210="","",J210&amp;"|"&amp;K210)</f>
        <v/>
      </c>
      <c r="P210" s="63">
        <f>IF($A210="","",IF(COUNTIFS(예산_원본!$T$5:$T$3004,O210,예산_원본!$B$5:$B$3004,설정!$C$8,예산_원본!$U$5:$U$3004,L210)&gt;0,"Y","N"))</f>
        <v/>
      </c>
      <c r="Q210" s="63">
        <f>IF($A210="","",IF(COUNTIF(집계!$E$7:$E$506,O210)&gt;0,"Y","N"))</f>
        <v/>
      </c>
    </row>
    <row r="211">
      <c r="A211" s="60" t="n">
        <v>2025</v>
      </c>
      <c r="B211" s="60" t="n">
        <v>3</v>
      </c>
      <c r="C211" s="60" t="inlineStr">
        <is>
          <t>1000</t>
        </is>
      </c>
      <c r="D211" s="60" t="n">
        <v>1601</v>
      </c>
      <c r="E211" s="60" t="inlineStr">
        <is>
          <t>영업지원-본사</t>
        </is>
      </c>
      <c r="F211" s="60" t="n">
        <v>62301000</v>
      </c>
      <c r="G211" s="60" t="inlineStr">
        <is>
          <t>소모품비</t>
        </is>
      </c>
      <c r="H211" s="61" t="n">
        <v>678190</v>
      </c>
      <c r="J211" s="63">
        <f>IF($A211="","",IFERROR(INDEX(부서매핑!$C$5:$C$504,MATCH($D211&amp;"",부서매핑!$A$5:$A$504,0)),"미매핑"))</f>
        <v/>
      </c>
      <c r="K211" s="63">
        <f>IF($A211="","",IFERROR(INDEX(계정매핑!$C$5:$C$504,MATCH($F211&amp;"",계정매핑!$A$5:$A$504,0)),"미매핑"))</f>
        <v/>
      </c>
      <c r="L211" s="4">
        <f>IF($A211="","",VALUE($A211&amp;""))</f>
        <v/>
      </c>
      <c r="M211" s="4">
        <f>IF($A211="","",VALUE($B211&amp;""))</f>
        <v/>
      </c>
      <c r="N211" s="64">
        <f>IF($A211="","",$H211*설정!$C$15)</f>
        <v/>
      </c>
      <c r="O211" s="4">
        <f>IF($A211="","",J211&amp;"|"&amp;K211)</f>
        <v/>
      </c>
      <c r="P211" s="63">
        <f>IF($A211="","",IF(COUNTIFS(예산_원본!$T$5:$T$3004,O211,예산_원본!$B$5:$B$3004,설정!$C$8,예산_원본!$U$5:$U$3004,L211)&gt;0,"Y","N"))</f>
        <v/>
      </c>
      <c r="Q211" s="63">
        <f>IF($A211="","",IF(COUNTIF(집계!$E$7:$E$506,O211)&gt;0,"Y","N"))</f>
        <v/>
      </c>
    </row>
    <row r="212">
      <c r="A212" s="60" t="n">
        <v>2025</v>
      </c>
      <c r="B212" s="60" t="n">
        <v>3</v>
      </c>
      <c r="C212" s="60" t="inlineStr">
        <is>
          <t>1000</t>
        </is>
      </c>
      <c r="D212" s="60" t="n">
        <v>1601</v>
      </c>
      <c r="E212" s="60" t="inlineStr">
        <is>
          <t>영업지원-본사</t>
        </is>
      </c>
      <c r="F212" s="60" t="n">
        <v>62501000</v>
      </c>
      <c r="G212" s="60" t="inlineStr">
        <is>
          <t>회의비</t>
        </is>
      </c>
      <c r="H212" s="61" t="n">
        <v>917510</v>
      </c>
      <c r="J212" s="63">
        <f>IF($A212="","",IFERROR(INDEX(부서매핑!$C$5:$C$504,MATCH($D212&amp;"",부서매핑!$A$5:$A$504,0)),"미매핑"))</f>
        <v/>
      </c>
      <c r="K212" s="63">
        <f>IF($A212="","",IFERROR(INDEX(계정매핑!$C$5:$C$504,MATCH($F212&amp;"",계정매핑!$A$5:$A$504,0)),"미매핑"))</f>
        <v/>
      </c>
      <c r="L212" s="4">
        <f>IF($A212="","",VALUE($A212&amp;""))</f>
        <v/>
      </c>
      <c r="M212" s="4">
        <f>IF($A212="","",VALUE($B212&amp;""))</f>
        <v/>
      </c>
      <c r="N212" s="64">
        <f>IF($A212="","",$H212*설정!$C$15)</f>
        <v/>
      </c>
      <c r="O212" s="4">
        <f>IF($A212="","",J212&amp;"|"&amp;K212)</f>
        <v/>
      </c>
      <c r="P212" s="63">
        <f>IF($A212="","",IF(COUNTIFS(예산_원본!$T$5:$T$3004,O212,예산_원본!$B$5:$B$3004,설정!$C$8,예산_원본!$U$5:$U$3004,L212)&gt;0,"Y","N"))</f>
        <v/>
      </c>
      <c r="Q212" s="63">
        <f>IF($A212="","",IF(COUNTIF(집계!$E$7:$E$506,O212)&gt;0,"Y","N"))</f>
        <v/>
      </c>
    </row>
    <row r="213">
      <c r="A213" s="60" t="n">
        <v>2025</v>
      </c>
      <c r="B213" s="60" t="n">
        <v>3</v>
      </c>
      <c r="C213" s="60" t="inlineStr">
        <is>
          <t>1000</t>
        </is>
      </c>
      <c r="D213" s="60" t="n">
        <v>1601</v>
      </c>
      <c r="E213" s="60" t="inlineStr">
        <is>
          <t>영업지원-본사</t>
        </is>
      </c>
      <c r="F213" s="60" t="n">
        <v>62601000</v>
      </c>
      <c r="G213" s="60" t="inlineStr">
        <is>
          <t>업무추진비</t>
        </is>
      </c>
      <c r="H213" s="61" t="n">
        <v>1643350</v>
      </c>
      <c r="J213" s="63">
        <f>IF($A213="","",IFERROR(INDEX(부서매핑!$C$5:$C$504,MATCH($D213&amp;"",부서매핑!$A$5:$A$504,0)),"미매핑"))</f>
        <v/>
      </c>
      <c r="K213" s="63">
        <f>IF($A213="","",IFERROR(INDEX(계정매핑!$C$5:$C$504,MATCH($F213&amp;"",계정매핑!$A$5:$A$504,0)),"미매핑"))</f>
        <v/>
      </c>
      <c r="L213" s="4">
        <f>IF($A213="","",VALUE($A213&amp;""))</f>
        <v/>
      </c>
      <c r="M213" s="4">
        <f>IF($A213="","",VALUE($B213&amp;""))</f>
        <v/>
      </c>
      <c r="N213" s="64">
        <f>IF($A213="","",$H213*설정!$C$15)</f>
        <v/>
      </c>
      <c r="O213" s="4">
        <f>IF($A213="","",J213&amp;"|"&amp;K213)</f>
        <v/>
      </c>
      <c r="P213" s="63">
        <f>IF($A213="","",IF(COUNTIFS(예산_원본!$T$5:$T$3004,O213,예산_원본!$B$5:$B$3004,설정!$C$8,예산_원본!$U$5:$U$3004,L213)&gt;0,"Y","N"))</f>
        <v/>
      </c>
      <c r="Q213" s="63">
        <f>IF($A213="","",IF(COUNTIF(집계!$E$7:$E$506,O213)&gt;0,"Y","N"))</f>
        <v/>
      </c>
    </row>
    <row r="214">
      <c r="A214" s="60" t="n">
        <v>2025</v>
      </c>
      <c r="B214" s="60" t="n">
        <v>3</v>
      </c>
      <c r="C214" s="60" t="inlineStr">
        <is>
          <t>1000</t>
        </is>
      </c>
      <c r="D214" s="60" t="n">
        <v>1601</v>
      </c>
      <c r="E214" s="60" t="inlineStr">
        <is>
          <t>영업지원-본사</t>
        </is>
      </c>
      <c r="F214" s="60" t="n">
        <v>63101000</v>
      </c>
      <c r="G214" s="60" t="inlineStr">
        <is>
          <t>임차료</t>
        </is>
      </c>
      <c r="H214" s="61" t="n">
        <v>9532210</v>
      </c>
      <c r="J214" s="63">
        <f>IF($A214="","",IFERROR(INDEX(부서매핑!$C$5:$C$504,MATCH($D214&amp;"",부서매핑!$A$5:$A$504,0)),"미매핑"))</f>
        <v/>
      </c>
      <c r="K214" s="63">
        <f>IF($A214="","",IFERROR(INDEX(계정매핑!$C$5:$C$504,MATCH($F214&amp;"",계정매핑!$A$5:$A$504,0)),"미매핑"))</f>
        <v/>
      </c>
      <c r="L214" s="4">
        <f>IF($A214="","",VALUE($A214&amp;""))</f>
        <v/>
      </c>
      <c r="M214" s="4">
        <f>IF($A214="","",VALUE($B214&amp;""))</f>
        <v/>
      </c>
      <c r="N214" s="64">
        <f>IF($A214="","",$H214*설정!$C$15)</f>
        <v/>
      </c>
      <c r="O214" s="4">
        <f>IF($A214="","",J214&amp;"|"&amp;K214)</f>
        <v/>
      </c>
      <c r="P214" s="63">
        <f>IF($A214="","",IF(COUNTIFS(예산_원본!$T$5:$T$3004,O214,예산_원본!$B$5:$B$3004,설정!$C$8,예산_원본!$U$5:$U$3004,L214)&gt;0,"Y","N"))</f>
        <v/>
      </c>
      <c r="Q214" s="63">
        <f>IF($A214="","",IF(COUNTIF(집계!$E$7:$E$506,O214)&gt;0,"Y","N"))</f>
        <v/>
      </c>
    </row>
    <row r="215">
      <c r="A215" s="60" t="n">
        <v>2025</v>
      </c>
      <c r="B215" s="60" t="n">
        <v>3</v>
      </c>
      <c r="C215" s="60" t="inlineStr">
        <is>
          <t>1000</t>
        </is>
      </c>
      <c r="D215" s="60" t="n">
        <v>1601</v>
      </c>
      <c r="E215" s="60" t="inlineStr">
        <is>
          <t>영업지원-본사</t>
        </is>
      </c>
      <c r="F215" s="60" t="n">
        <v>63201000</v>
      </c>
      <c r="G215" s="60" t="inlineStr">
        <is>
          <t>차량유지비</t>
        </is>
      </c>
      <c r="H215" s="61" t="n">
        <v>4612450</v>
      </c>
      <c r="J215" s="63">
        <f>IF($A215="","",IFERROR(INDEX(부서매핑!$C$5:$C$504,MATCH($D215&amp;"",부서매핑!$A$5:$A$504,0)),"미매핑"))</f>
        <v/>
      </c>
      <c r="K215" s="63">
        <f>IF($A215="","",IFERROR(INDEX(계정매핑!$C$5:$C$504,MATCH($F215&amp;"",계정매핑!$A$5:$A$504,0)),"미매핑"))</f>
        <v/>
      </c>
      <c r="L215" s="4">
        <f>IF($A215="","",VALUE($A215&amp;""))</f>
        <v/>
      </c>
      <c r="M215" s="4">
        <f>IF($A215="","",VALUE($B215&amp;""))</f>
        <v/>
      </c>
      <c r="N215" s="64">
        <f>IF($A215="","",$H215*설정!$C$15)</f>
        <v/>
      </c>
      <c r="O215" s="4">
        <f>IF($A215="","",J215&amp;"|"&amp;K215)</f>
        <v/>
      </c>
      <c r="P215" s="63">
        <f>IF($A215="","",IF(COUNTIFS(예산_원본!$T$5:$T$3004,O215,예산_원본!$B$5:$B$3004,설정!$C$8,예산_원본!$U$5:$U$3004,L215)&gt;0,"Y","N"))</f>
        <v/>
      </c>
      <c r="Q215" s="63">
        <f>IF($A215="","",IF(COUNTIF(집계!$E$7:$E$506,O215)&gt;0,"Y","N"))</f>
        <v/>
      </c>
    </row>
    <row r="216">
      <c r="A216" s="60" t="n">
        <v>2025</v>
      </c>
      <c r="B216" s="60" t="n">
        <v>3</v>
      </c>
      <c r="C216" s="60" t="inlineStr">
        <is>
          <t>1000</t>
        </is>
      </c>
      <c r="D216" s="60" t="n">
        <v>1602</v>
      </c>
      <c r="E216" s="60" t="inlineStr">
        <is>
          <t>영업지원-지역본부</t>
        </is>
      </c>
      <c r="F216" s="60" t="n">
        <v>62101000</v>
      </c>
      <c r="G216" s="60" t="inlineStr">
        <is>
          <t>여비교통비-국내</t>
        </is>
      </c>
      <c r="H216" s="61" t="n">
        <v>2156770</v>
      </c>
      <c r="J216" s="63">
        <f>IF($A216="","",IFERROR(INDEX(부서매핑!$C$5:$C$504,MATCH($D216&amp;"",부서매핑!$A$5:$A$504,0)),"미매핑"))</f>
        <v/>
      </c>
      <c r="K216" s="63">
        <f>IF($A216="","",IFERROR(INDEX(계정매핑!$C$5:$C$504,MATCH($F216&amp;"",계정매핑!$A$5:$A$504,0)),"미매핑"))</f>
        <v/>
      </c>
      <c r="L216" s="4">
        <f>IF($A216="","",VALUE($A216&amp;""))</f>
        <v/>
      </c>
      <c r="M216" s="4">
        <f>IF($A216="","",VALUE($B216&amp;""))</f>
        <v/>
      </c>
      <c r="N216" s="64">
        <f>IF($A216="","",$H216*설정!$C$15)</f>
        <v/>
      </c>
      <c r="O216" s="4">
        <f>IF($A216="","",J216&amp;"|"&amp;K216)</f>
        <v/>
      </c>
      <c r="P216" s="63">
        <f>IF($A216="","",IF(COUNTIFS(예산_원본!$T$5:$T$3004,O216,예산_원본!$B$5:$B$3004,설정!$C$8,예산_원본!$U$5:$U$3004,L216)&gt;0,"Y","N"))</f>
        <v/>
      </c>
      <c r="Q216" s="63">
        <f>IF($A216="","",IF(COUNTIF(집계!$E$7:$E$506,O216)&gt;0,"Y","N"))</f>
        <v/>
      </c>
    </row>
    <row r="217">
      <c r="A217" s="60" t="n">
        <v>2025</v>
      </c>
      <c r="B217" s="60" t="n">
        <v>3</v>
      </c>
      <c r="C217" s="60" t="inlineStr">
        <is>
          <t>1000</t>
        </is>
      </c>
      <c r="D217" s="60" t="n">
        <v>1602</v>
      </c>
      <c r="E217" s="60" t="inlineStr">
        <is>
          <t>영업지원-지역본부</t>
        </is>
      </c>
      <c r="F217" s="60" t="n">
        <v>62102000</v>
      </c>
      <c r="G217" s="60" t="inlineStr">
        <is>
          <t>여비교통비-해외</t>
        </is>
      </c>
      <c r="H217" s="61" t="n">
        <v>425120</v>
      </c>
      <c r="J217" s="63">
        <f>IF($A217="","",IFERROR(INDEX(부서매핑!$C$5:$C$504,MATCH($D217&amp;"",부서매핑!$A$5:$A$504,0)),"미매핑"))</f>
        <v/>
      </c>
      <c r="K217" s="63">
        <f>IF($A217="","",IFERROR(INDEX(계정매핑!$C$5:$C$504,MATCH($F217&amp;"",계정매핑!$A$5:$A$504,0)),"미매핑"))</f>
        <v/>
      </c>
      <c r="L217" s="4">
        <f>IF($A217="","",VALUE($A217&amp;""))</f>
        <v/>
      </c>
      <c r="M217" s="4">
        <f>IF($A217="","",VALUE($B217&amp;""))</f>
        <v/>
      </c>
      <c r="N217" s="64">
        <f>IF($A217="","",$H217*설정!$C$15)</f>
        <v/>
      </c>
      <c r="O217" s="4">
        <f>IF($A217="","",J217&amp;"|"&amp;K217)</f>
        <v/>
      </c>
      <c r="P217" s="63">
        <f>IF($A217="","",IF(COUNTIFS(예산_원본!$T$5:$T$3004,O217,예산_원본!$B$5:$B$3004,설정!$C$8,예산_원본!$U$5:$U$3004,L217)&gt;0,"Y","N"))</f>
        <v/>
      </c>
      <c r="Q217" s="63">
        <f>IF($A217="","",IF(COUNTIF(집계!$E$7:$E$506,O217)&gt;0,"Y","N"))</f>
        <v/>
      </c>
    </row>
    <row r="218">
      <c r="A218" s="60" t="n">
        <v>2025</v>
      </c>
      <c r="B218" s="60" t="n">
        <v>3</v>
      </c>
      <c r="C218" s="60" t="inlineStr">
        <is>
          <t>1000</t>
        </is>
      </c>
      <c r="D218" s="60" t="n">
        <v>1602</v>
      </c>
      <c r="E218" s="60" t="inlineStr">
        <is>
          <t>영업지원-지역본부</t>
        </is>
      </c>
      <c r="F218" s="60" t="n">
        <v>62201000</v>
      </c>
      <c r="G218" s="60" t="inlineStr">
        <is>
          <t>통신비</t>
        </is>
      </c>
      <c r="H218" s="61" t="n">
        <v>723870</v>
      </c>
      <c r="J218" s="63">
        <f>IF($A218="","",IFERROR(INDEX(부서매핑!$C$5:$C$504,MATCH($D218&amp;"",부서매핑!$A$5:$A$504,0)),"미매핑"))</f>
        <v/>
      </c>
      <c r="K218" s="63">
        <f>IF($A218="","",IFERROR(INDEX(계정매핑!$C$5:$C$504,MATCH($F218&amp;"",계정매핑!$A$5:$A$504,0)),"미매핑"))</f>
        <v/>
      </c>
      <c r="L218" s="4">
        <f>IF($A218="","",VALUE($A218&amp;""))</f>
        <v/>
      </c>
      <c r="M218" s="4">
        <f>IF($A218="","",VALUE($B218&amp;""))</f>
        <v/>
      </c>
      <c r="N218" s="64">
        <f>IF($A218="","",$H218*설정!$C$15)</f>
        <v/>
      </c>
      <c r="O218" s="4">
        <f>IF($A218="","",J218&amp;"|"&amp;K218)</f>
        <v/>
      </c>
      <c r="P218" s="63">
        <f>IF($A218="","",IF(COUNTIFS(예산_원본!$T$5:$T$3004,O218,예산_원본!$B$5:$B$3004,설정!$C$8,예산_원본!$U$5:$U$3004,L218)&gt;0,"Y","N"))</f>
        <v/>
      </c>
      <c r="Q218" s="63">
        <f>IF($A218="","",IF(COUNTIF(집계!$E$7:$E$506,O218)&gt;0,"Y","N"))</f>
        <v/>
      </c>
    </row>
    <row r="219">
      <c r="A219" s="60" t="n">
        <v>2025</v>
      </c>
      <c r="B219" s="60" t="n">
        <v>3</v>
      </c>
      <c r="C219" s="60" t="inlineStr">
        <is>
          <t>1000</t>
        </is>
      </c>
      <c r="D219" s="60" t="n">
        <v>1602</v>
      </c>
      <c r="E219" s="60" t="inlineStr">
        <is>
          <t>영업지원-지역본부</t>
        </is>
      </c>
      <c r="F219" s="60" t="n">
        <v>62301000</v>
      </c>
      <c r="G219" s="60" t="inlineStr">
        <is>
          <t>소모품비</t>
        </is>
      </c>
      <c r="H219" s="61" t="n">
        <v>457390</v>
      </c>
      <c r="J219" s="63">
        <f>IF($A219="","",IFERROR(INDEX(부서매핑!$C$5:$C$504,MATCH($D219&amp;"",부서매핑!$A$5:$A$504,0)),"미매핑"))</f>
        <v/>
      </c>
      <c r="K219" s="63">
        <f>IF($A219="","",IFERROR(INDEX(계정매핑!$C$5:$C$504,MATCH($F219&amp;"",계정매핑!$A$5:$A$504,0)),"미매핑"))</f>
        <v/>
      </c>
      <c r="L219" s="4">
        <f>IF($A219="","",VALUE($A219&amp;""))</f>
        <v/>
      </c>
      <c r="M219" s="4">
        <f>IF($A219="","",VALUE($B219&amp;""))</f>
        <v/>
      </c>
      <c r="N219" s="64">
        <f>IF($A219="","",$H219*설정!$C$15)</f>
        <v/>
      </c>
      <c r="O219" s="4">
        <f>IF($A219="","",J219&amp;"|"&amp;K219)</f>
        <v/>
      </c>
      <c r="P219" s="63">
        <f>IF($A219="","",IF(COUNTIFS(예산_원본!$T$5:$T$3004,O219,예산_원본!$B$5:$B$3004,설정!$C$8,예산_원본!$U$5:$U$3004,L219)&gt;0,"Y","N"))</f>
        <v/>
      </c>
      <c r="Q219" s="63">
        <f>IF($A219="","",IF(COUNTIF(집계!$E$7:$E$506,O219)&gt;0,"Y","N"))</f>
        <v/>
      </c>
    </row>
    <row r="220">
      <c r="A220" s="60" t="n">
        <v>2025</v>
      </c>
      <c r="B220" s="60" t="n">
        <v>3</v>
      </c>
      <c r="C220" s="60" t="inlineStr">
        <is>
          <t>1000</t>
        </is>
      </c>
      <c r="D220" s="60" t="n">
        <v>1602</v>
      </c>
      <c r="E220" s="60" t="inlineStr">
        <is>
          <t>영업지원-지역본부</t>
        </is>
      </c>
      <c r="F220" s="60" t="n">
        <v>62501000</v>
      </c>
      <c r="G220" s="60" t="inlineStr">
        <is>
          <t>회의비</t>
        </is>
      </c>
      <c r="H220" s="61" t="n">
        <v>753470</v>
      </c>
      <c r="J220" s="63">
        <f>IF($A220="","",IFERROR(INDEX(부서매핑!$C$5:$C$504,MATCH($D220&amp;"",부서매핑!$A$5:$A$504,0)),"미매핑"))</f>
        <v/>
      </c>
      <c r="K220" s="63">
        <f>IF($A220="","",IFERROR(INDEX(계정매핑!$C$5:$C$504,MATCH($F220&amp;"",계정매핑!$A$5:$A$504,0)),"미매핑"))</f>
        <v/>
      </c>
      <c r="L220" s="4">
        <f>IF($A220="","",VALUE($A220&amp;""))</f>
        <v/>
      </c>
      <c r="M220" s="4">
        <f>IF($A220="","",VALUE($B220&amp;""))</f>
        <v/>
      </c>
      <c r="N220" s="64">
        <f>IF($A220="","",$H220*설정!$C$15)</f>
        <v/>
      </c>
      <c r="O220" s="4">
        <f>IF($A220="","",J220&amp;"|"&amp;K220)</f>
        <v/>
      </c>
      <c r="P220" s="63">
        <f>IF($A220="","",IF(COUNTIFS(예산_원본!$T$5:$T$3004,O220,예산_원본!$B$5:$B$3004,설정!$C$8,예산_원본!$U$5:$U$3004,L220)&gt;0,"Y","N"))</f>
        <v/>
      </c>
      <c r="Q220" s="63">
        <f>IF($A220="","",IF(COUNTIF(집계!$E$7:$E$506,O220)&gt;0,"Y","N"))</f>
        <v/>
      </c>
    </row>
    <row r="221">
      <c r="A221" s="60" t="n">
        <v>2025</v>
      </c>
      <c r="B221" s="60" t="n">
        <v>3</v>
      </c>
      <c r="C221" s="60" t="inlineStr">
        <is>
          <t>1000</t>
        </is>
      </c>
      <c r="D221" s="60" t="n">
        <v>1602</v>
      </c>
      <c r="E221" s="60" t="inlineStr">
        <is>
          <t>영업지원-지역본부</t>
        </is>
      </c>
      <c r="F221" s="60" t="n">
        <v>62601000</v>
      </c>
      <c r="G221" s="60" t="inlineStr">
        <is>
          <t>업무추진비</t>
        </is>
      </c>
      <c r="H221" s="61" t="n">
        <v>1364110</v>
      </c>
      <c r="J221" s="63">
        <f>IF($A221="","",IFERROR(INDEX(부서매핑!$C$5:$C$504,MATCH($D221&amp;"",부서매핑!$A$5:$A$504,0)),"미매핑"))</f>
        <v/>
      </c>
      <c r="K221" s="63">
        <f>IF($A221="","",IFERROR(INDEX(계정매핑!$C$5:$C$504,MATCH($F221&amp;"",계정매핑!$A$5:$A$504,0)),"미매핑"))</f>
        <v/>
      </c>
      <c r="L221" s="4">
        <f>IF($A221="","",VALUE($A221&amp;""))</f>
        <v/>
      </c>
      <c r="M221" s="4">
        <f>IF($A221="","",VALUE($B221&amp;""))</f>
        <v/>
      </c>
      <c r="N221" s="64">
        <f>IF($A221="","",$H221*설정!$C$15)</f>
        <v/>
      </c>
      <c r="O221" s="4">
        <f>IF($A221="","",J221&amp;"|"&amp;K221)</f>
        <v/>
      </c>
      <c r="P221" s="63">
        <f>IF($A221="","",IF(COUNTIFS(예산_원본!$T$5:$T$3004,O221,예산_원본!$B$5:$B$3004,설정!$C$8,예산_원본!$U$5:$U$3004,L221)&gt;0,"Y","N"))</f>
        <v/>
      </c>
      <c r="Q221" s="63">
        <f>IF($A221="","",IF(COUNTIF(집계!$E$7:$E$506,O221)&gt;0,"Y","N"))</f>
        <v/>
      </c>
    </row>
    <row r="222">
      <c r="A222" s="60" t="n">
        <v>2025</v>
      </c>
      <c r="B222" s="60" t="n">
        <v>3</v>
      </c>
      <c r="C222" s="60" t="inlineStr">
        <is>
          <t>1000</t>
        </is>
      </c>
      <c r="D222" s="60" t="n">
        <v>1602</v>
      </c>
      <c r="E222" s="60" t="inlineStr">
        <is>
          <t>영업지원-지역본부</t>
        </is>
      </c>
      <c r="F222" s="60" t="n">
        <v>63101000</v>
      </c>
      <c r="G222" s="60" t="inlineStr">
        <is>
          <t>임차료</t>
        </is>
      </c>
      <c r="H222" s="61" t="n">
        <v>6815580</v>
      </c>
      <c r="J222" s="63">
        <f>IF($A222="","",IFERROR(INDEX(부서매핑!$C$5:$C$504,MATCH($D222&amp;"",부서매핑!$A$5:$A$504,0)),"미매핑"))</f>
        <v/>
      </c>
      <c r="K222" s="63">
        <f>IF($A222="","",IFERROR(INDEX(계정매핑!$C$5:$C$504,MATCH($F222&amp;"",계정매핑!$A$5:$A$504,0)),"미매핑"))</f>
        <v/>
      </c>
      <c r="L222" s="4">
        <f>IF($A222="","",VALUE($A222&amp;""))</f>
        <v/>
      </c>
      <c r="M222" s="4">
        <f>IF($A222="","",VALUE($B222&amp;""))</f>
        <v/>
      </c>
      <c r="N222" s="64">
        <f>IF($A222="","",$H222*설정!$C$15)</f>
        <v/>
      </c>
      <c r="O222" s="4">
        <f>IF($A222="","",J222&amp;"|"&amp;K222)</f>
        <v/>
      </c>
      <c r="P222" s="63">
        <f>IF($A222="","",IF(COUNTIFS(예산_원본!$T$5:$T$3004,O222,예산_원본!$B$5:$B$3004,설정!$C$8,예산_원본!$U$5:$U$3004,L222)&gt;0,"Y","N"))</f>
        <v/>
      </c>
      <c r="Q222" s="63">
        <f>IF($A222="","",IF(COUNTIF(집계!$E$7:$E$506,O222)&gt;0,"Y","N"))</f>
        <v/>
      </c>
    </row>
    <row r="223">
      <c r="A223" s="60" t="n">
        <v>2025</v>
      </c>
      <c r="B223" s="60" t="n">
        <v>3</v>
      </c>
      <c r="C223" s="60" t="inlineStr">
        <is>
          <t>1000</t>
        </is>
      </c>
      <c r="D223" s="60" t="n">
        <v>1602</v>
      </c>
      <c r="E223" s="60" t="inlineStr">
        <is>
          <t>영업지원-지역본부</t>
        </is>
      </c>
      <c r="F223" s="60" t="n">
        <v>63201000</v>
      </c>
      <c r="G223" s="60" t="inlineStr">
        <is>
          <t>차량유지비</t>
        </is>
      </c>
      <c r="H223" s="61" t="n">
        <v>3252240</v>
      </c>
      <c r="J223" s="63">
        <f>IF($A223="","",IFERROR(INDEX(부서매핑!$C$5:$C$504,MATCH($D223&amp;"",부서매핑!$A$5:$A$504,0)),"미매핑"))</f>
        <v/>
      </c>
      <c r="K223" s="63">
        <f>IF($A223="","",IFERROR(INDEX(계정매핑!$C$5:$C$504,MATCH($F223&amp;"",계정매핑!$A$5:$A$504,0)),"미매핑"))</f>
        <v/>
      </c>
      <c r="L223" s="4">
        <f>IF($A223="","",VALUE($A223&amp;""))</f>
        <v/>
      </c>
      <c r="M223" s="4">
        <f>IF($A223="","",VALUE($B223&amp;""))</f>
        <v/>
      </c>
      <c r="N223" s="64">
        <f>IF($A223="","",$H223*설정!$C$15)</f>
        <v/>
      </c>
      <c r="O223" s="4">
        <f>IF($A223="","",J223&amp;"|"&amp;K223)</f>
        <v/>
      </c>
      <c r="P223" s="63">
        <f>IF($A223="","",IF(COUNTIFS(예산_원본!$T$5:$T$3004,O223,예산_원본!$B$5:$B$3004,설정!$C$8,예산_원본!$U$5:$U$3004,L223)&gt;0,"Y","N"))</f>
        <v/>
      </c>
      <c r="Q223" s="63">
        <f>IF($A223="","",IF(COUNTIF(집계!$E$7:$E$506,O223)&gt;0,"Y","N"))</f>
        <v/>
      </c>
    </row>
    <row r="224">
      <c r="A224" s="60" t="n">
        <v>2025</v>
      </c>
      <c r="B224" s="60" t="n">
        <v>3</v>
      </c>
      <c r="C224" s="60" t="inlineStr">
        <is>
          <t>1000</t>
        </is>
      </c>
      <c r="D224" s="60" t="n">
        <v>1701</v>
      </c>
      <c r="E224" s="60" t="inlineStr">
        <is>
          <t>IT운영</t>
        </is>
      </c>
      <c r="F224" s="60" t="n">
        <v>62101000</v>
      </c>
      <c r="G224" s="60" t="inlineStr">
        <is>
          <t>여비교통비-국내</t>
        </is>
      </c>
      <c r="H224" s="61" t="n">
        <v>833460</v>
      </c>
      <c r="J224" s="63">
        <f>IF($A224="","",IFERROR(INDEX(부서매핑!$C$5:$C$504,MATCH($D224&amp;"",부서매핑!$A$5:$A$504,0)),"미매핑"))</f>
        <v/>
      </c>
      <c r="K224" s="63">
        <f>IF($A224="","",IFERROR(INDEX(계정매핑!$C$5:$C$504,MATCH($F224&amp;"",계정매핑!$A$5:$A$504,0)),"미매핑"))</f>
        <v/>
      </c>
      <c r="L224" s="4">
        <f>IF($A224="","",VALUE($A224&amp;""))</f>
        <v/>
      </c>
      <c r="M224" s="4">
        <f>IF($A224="","",VALUE($B224&amp;""))</f>
        <v/>
      </c>
      <c r="N224" s="64">
        <f>IF($A224="","",$H224*설정!$C$15)</f>
        <v/>
      </c>
      <c r="O224" s="4">
        <f>IF($A224="","",J224&amp;"|"&amp;K224)</f>
        <v/>
      </c>
      <c r="P224" s="63">
        <f>IF($A224="","",IF(COUNTIFS(예산_원본!$T$5:$T$3004,O224,예산_원본!$B$5:$B$3004,설정!$C$8,예산_원본!$U$5:$U$3004,L224)&gt;0,"Y","N"))</f>
        <v/>
      </c>
      <c r="Q224" s="63">
        <f>IF($A224="","",IF(COUNTIF(집계!$E$7:$E$506,O224)&gt;0,"Y","N"))</f>
        <v/>
      </c>
    </row>
    <row r="225">
      <c r="A225" s="60" t="n">
        <v>2025</v>
      </c>
      <c r="B225" s="60" t="n">
        <v>3</v>
      </c>
      <c r="C225" s="60" t="inlineStr">
        <is>
          <t>1000</t>
        </is>
      </c>
      <c r="D225" s="60" t="n">
        <v>1701</v>
      </c>
      <c r="E225" s="60" t="inlineStr">
        <is>
          <t>IT운영</t>
        </is>
      </c>
      <c r="F225" s="60" t="n">
        <v>62102000</v>
      </c>
      <c r="G225" s="60" t="inlineStr">
        <is>
          <t>여비교통비-해외</t>
        </is>
      </c>
      <c r="H225" s="61" t="n">
        <v>163540</v>
      </c>
      <c r="J225" s="63">
        <f>IF($A225="","",IFERROR(INDEX(부서매핑!$C$5:$C$504,MATCH($D225&amp;"",부서매핑!$A$5:$A$504,0)),"미매핑"))</f>
        <v/>
      </c>
      <c r="K225" s="63">
        <f>IF($A225="","",IFERROR(INDEX(계정매핑!$C$5:$C$504,MATCH($F225&amp;"",계정매핑!$A$5:$A$504,0)),"미매핑"))</f>
        <v/>
      </c>
      <c r="L225" s="4">
        <f>IF($A225="","",VALUE($A225&amp;""))</f>
        <v/>
      </c>
      <c r="M225" s="4">
        <f>IF($A225="","",VALUE($B225&amp;""))</f>
        <v/>
      </c>
      <c r="N225" s="64">
        <f>IF($A225="","",$H225*설정!$C$15)</f>
        <v/>
      </c>
      <c r="O225" s="4">
        <f>IF($A225="","",J225&amp;"|"&amp;K225)</f>
        <v/>
      </c>
      <c r="P225" s="63">
        <f>IF($A225="","",IF(COUNTIFS(예산_원본!$T$5:$T$3004,O225,예산_원본!$B$5:$B$3004,설정!$C$8,예산_원본!$U$5:$U$3004,L225)&gt;0,"Y","N"))</f>
        <v/>
      </c>
      <c r="Q225" s="63">
        <f>IF($A225="","",IF(COUNTIF(집계!$E$7:$E$506,O225)&gt;0,"Y","N"))</f>
        <v/>
      </c>
    </row>
    <row r="226">
      <c r="A226" s="60" t="n">
        <v>2025</v>
      </c>
      <c r="B226" s="60" t="n">
        <v>3</v>
      </c>
      <c r="C226" s="60" t="inlineStr">
        <is>
          <t>1000</t>
        </is>
      </c>
      <c r="D226" s="60" t="n">
        <v>1701</v>
      </c>
      <c r="E226" s="60" t="inlineStr">
        <is>
          <t>IT운영</t>
        </is>
      </c>
      <c r="F226" s="60" t="n">
        <v>62201000</v>
      </c>
      <c r="G226" s="60" t="inlineStr">
        <is>
          <t>통신비</t>
        </is>
      </c>
      <c r="H226" s="61" t="n">
        <v>14826240</v>
      </c>
      <c r="J226" s="63">
        <f>IF($A226="","",IFERROR(INDEX(부서매핑!$C$5:$C$504,MATCH($D226&amp;"",부서매핑!$A$5:$A$504,0)),"미매핑"))</f>
        <v/>
      </c>
      <c r="K226" s="63">
        <f>IF($A226="","",IFERROR(INDEX(계정매핑!$C$5:$C$504,MATCH($F226&amp;"",계정매핑!$A$5:$A$504,0)),"미매핑"))</f>
        <v/>
      </c>
      <c r="L226" s="4">
        <f>IF($A226="","",VALUE($A226&amp;""))</f>
        <v/>
      </c>
      <c r="M226" s="4">
        <f>IF($A226="","",VALUE($B226&amp;""))</f>
        <v/>
      </c>
      <c r="N226" s="64">
        <f>IF($A226="","",$H226*설정!$C$15)</f>
        <v/>
      </c>
      <c r="O226" s="4">
        <f>IF($A226="","",J226&amp;"|"&amp;K226)</f>
        <v/>
      </c>
      <c r="P226" s="63">
        <f>IF($A226="","",IF(COUNTIFS(예산_원본!$T$5:$T$3004,O226,예산_원본!$B$5:$B$3004,설정!$C$8,예산_원본!$U$5:$U$3004,L226)&gt;0,"Y","N"))</f>
        <v/>
      </c>
      <c r="Q226" s="63">
        <f>IF($A226="","",IF(COUNTIF(집계!$E$7:$E$506,O226)&gt;0,"Y","N"))</f>
        <v/>
      </c>
    </row>
    <row r="227">
      <c r="A227" s="60" t="n">
        <v>2025</v>
      </c>
      <c r="B227" s="60" t="n">
        <v>3</v>
      </c>
      <c r="C227" s="60" t="inlineStr">
        <is>
          <t>1000</t>
        </is>
      </c>
      <c r="D227" s="60" t="n">
        <v>1701</v>
      </c>
      <c r="E227" s="60" t="inlineStr">
        <is>
          <t>IT운영</t>
        </is>
      </c>
      <c r="F227" s="60" t="n">
        <v>62301000</v>
      </c>
      <c r="G227" s="60" t="inlineStr">
        <is>
          <t>소모품비</t>
        </is>
      </c>
      <c r="H227" s="61" t="n">
        <v>927960</v>
      </c>
      <c r="J227" s="63">
        <f>IF($A227="","",IFERROR(INDEX(부서매핑!$C$5:$C$504,MATCH($D227&amp;"",부서매핑!$A$5:$A$504,0)),"미매핑"))</f>
        <v/>
      </c>
      <c r="K227" s="63">
        <f>IF($A227="","",IFERROR(INDEX(계정매핑!$C$5:$C$504,MATCH($F227&amp;"",계정매핑!$A$5:$A$504,0)),"미매핑"))</f>
        <v/>
      </c>
      <c r="L227" s="4">
        <f>IF($A227="","",VALUE($A227&amp;""))</f>
        <v/>
      </c>
      <c r="M227" s="4">
        <f>IF($A227="","",VALUE($B227&amp;""))</f>
        <v/>
      </c>
      <c r="N227" s="64">
        <f>IF($A227="","",$H227*설정!$C$15)</f>
        <v/>
      </c>
      <c r="O227" s="4">
        <f>IF($A227="","",J227&amp;"|"&amp;K227)</f>
        <v/>
      </c>
      <c r="P227" s="63">
        <f>IF($A227="","",IF(COUNTIFS(예산_원본!$T$5:$T$3004,O227,예산_원본!$B$5:$B$3004,설정!$C$8,예산_원본!$U$5:$U$3004,L227)&gt;0,"Y","N"))</f>
        <v/>
      </c>
      <c r="Q227" s="63">
        <f>IF($A227="","",IF(COUNTIF(집계!$E$7:$E$506,O227)&gt;0,"Y","N"))</f>
        <v/>
      </c>
    </row>
    <row r="228">
      <c r="A228" s="60" t="n">
        <v>2025</v>
      </c>
      <c r="B228" s="60" t="n">
        <v>3</v>
      </c>
      <c r="C228" s="60" t="inlineStr">
        <is>
          <t>1000</t>
        </is>
      </c>
      <c r="D228" s="60" t="n">
        <v>1701</v>
      </c>
      <c r="E228" s="60" t="inlineStr">
        <is>
          <t>IT운영</t>
        </is>
      </c>
      <c r="F228" s="60" t="n">
        <v>62501000</v>
      </c>
      <c r="G228" s="60" t="inlineStr">
        <is>
          <t>회의비</t>
        </is>
      </c>
      <c r="H228" s="61" t="n">
        <v>326610</v>
      </c>
      <c r="J228" s="63">
        <f>IF($A228="","",IFERROR(INDEX(부서매핑!$C$5:$C$504,MATCH($D228&amp;"",부서매핑!$A$5:$A$504,0)),"미매핑"))</f>
        <v/>
      </c>
      <c r="K228" s="63">
        <f>IF($A228="","",IFERROR(INDEX(계정매핑!$C$5:$C$504,MATCH($F228&amp;"",계정매핑!$A$5:$A$504,0)),"미매핑"))</f>
        <v/>
      </c>
      <c r="L228" s="4">
        <f>IF($A228="","",VALUE($A228&amp;""))</f>
        <v/>
      </c>
      <c r="M228" s="4">
        <f>IF($A228="","",VALUE($B228&amp;""))</f>
        <v/>
      </c>
      <c r="N228" s="64">
        <f>IF($A228="","",$H228*설정!$C$15)</f>
        <v/>
      </c>
      <c r="O228" s="4">
        <f>IF($A228="","",J228&amp;"|"&amp;K228)</f>
        <v/>
      </c>
      <c r="P228" s="63">
        <f>IF($A228="","",IF(COUNTIFS(예산_원본!$T$5:$T$3004,O228,예산_원본!$B$5:$B$3004,설정!$C$8,예산_원본!$U$5:$U$3004,L228)&gt;0,"Y","N"))</f>
        <v/>
      </c>
      <c r="Q228" s="63">
        <f>IF($A228="","",IF(COUNTIF(집계!$E$7:$E$506,O228)&gt;0,"Y","N"))</f>
        <v/>
      </c>
    </row>
    <row r="229">
      <c r="A229" s="60" t="n">
        <v>2025</v>
      </c>
      <c r="B229" s="60" t="n">
        <v>3</v>
      </c>
      <c r="C229" s="60" t="inlineStr">
        <is>
          <t>1000</t>
        </is>
      </c>
      <c r="D229" s="60" t="n">
        <v>1701</v>
      </c>
      <c r="E229" s="60" t="inlineStr">
        <is>
          <t>IT운영</t>
        </is>
      </c>
      <c r="F229" s="60" t="n">
        <v>63001000</v>
      </c>
      <c r="G229" s="60" t="inlineStr">
        <is>
          <t>전산운영비-SW유지보수</t>
        </is>
      </c>
      <c r="H229" s="61" t="n">
        <v>96862150</v>
      </c>
      <c r="J229" s="63">
        <f>IF($A229="","",IFERROR(INDEX(부서매핑!$C$5:$C$504,MATCH($D229&amp;"",부서매핑!$A$5:$A$504,0)),"미매핑"))</f>
        <v/>
      </c>
      <c r="K229" s="63">
        <f>IF($A229="","",IFERROR(INDEX(계정매핑!$C$5:$C$504,MATCH($F229&amp;"",계정매핑!$A$5:$A$504,0)),"미매핑"))</f>
        <v/>
      </c>
      <c r="L229" s="4">
        <f>IF($A229="","",VALUE($A229&amp;""))</f>
        <v/>
      </c>
      <c r="M229" s="4">
        <f>IF($A229="","",VALUE($B229&amp;""))</f>
        <v/>
      </c>
      <c r="N229" s="64">
        <f>IF($A229="","",$H229*설정!$C$15)</f>
        <v/>
      </c>
      <c r="O229" s="4">
        <f>IF($A229="","",J229&amp;"|"&amp;K229)</f>
        <v/>
      </c>
      <c r="P229" s="63">
        <f>IF($A229="","",IF(COUNTIFS(예산_원본!$T$5:$T$3004,O229,예산_원본!$B$5:$B$3004,설정!$C$8,예산_원본!$U$5:$U$3004,L229)&gt;0,"Y","N"))</f>
        <v/>
      </c>
      <c r="Q229" s="63">
        <f>IF($A229="","",IF(COUNTIF(집계!$E$7:$E$506,O229)&gt;0,"Y","N"))</f>
        <v/>
      </c>
    </row>
    <row r="230">
      <c r="A230" s="60" t="n">
        <v>2025</v>
      </c>
      <c r="B230" s="60" t="n">
        <v>3</v>
      </c>
      <c r="C230" s="60" t="inlineStr">
        <is>
          <t>1000</t>
        </is>
      </c>
      <c r="D230" s="60" t="n">
        <v>1701</v>
      </c>
      <c r="E230" s="60" t="inlineStr">
        <is>
          <t>IT운영</t>
        </is>
      </c>
      <c r="F230" s="60" t="n">
        <v>63002000</v>
      </c>
      <c r="G230" s="60" t="inlineStr">
        <is>
          <t>전산운영비-클라우드</t>
        </is>
      </c>
      <c r="H230" s="61" t="n">
        <v>80476870</v>
      </c>
      <c r="J230" s="63">
        <f>IF($A230="","",IFERROR(INDEX(부서매핑!$C$5:$C$504,MATCH($D230&amp;"",부서매핑!$A$5:$A$504,0)),"미매핑"))</f>
        <v/>
      </c>
      <c r="K230" s="63">
        <f>IF($A230="","",IFERROR(INDEX(계정매핑!$C$5:$C$504,MATCH($F230&amp;"",계정매핑!$A$5:$A$504,0)),"미매핑"))</f>
        <v/>
      </c>
      <c r="L230" s="4">
        <f>IF($A230="","",VALUE($A230&amp;""))</f>
        <v/>
      </c>
      <c r="M230" s="4">
        <f>IF($A230="","",VALUE($B230&amp;""))</f>
        <v/>
      </c>
      <c r="N230" s="64">
        <f>IF($A230="","",$H230*설정!$C$15)</f>
        <v/>
      </c>
      <c r="O230" s="4">
        <f>IF($A230="","",J230&amp;"|"&amp;K230)</f>
        <v/>
      </c>
      <c r="P230" s="63">
        <f>IF($A230="","",IF(COUNTIFS(예산_원본!$T$5:$T$3004,O230,예산_원본!$B$5:$B$3004,설정!$C$8,예산_원본!$U$5:$U$3004,L230)&gt;0,"Y","N"))</f>
        <v/>
      </c>
      <c r="Q230" s="63">
        <f>IF($A230="","",IF(COUNTIF(집계!$E$7:$E$506,O230)&gt;0,"Y","N"))</f>
        <v/>
      </c>
    </row>
    <row r="231">
      <c r="A231" s="60" t="n">
        <v>2025</v>
      </c>
      <c r="B231" s="60" t="n">
        <v>3</v>
      </c>
      <c r="C231" s="60" t="inlineStr">
        <is>
          <t>1000</t>
        </is>
      </c>
      <c r="D231" s="60" t="n">
        <v>1801</v>
      </c>
      <c r="E231" s="60" t="inlineStr">
        <is>
          <t>고객서비스</t>
        </is>
      </c>
      <c r="F231" s="60" t="n">
        <v>62101000</v>
      </c>
      <c r="G231" s="60" t="inlineStr">
        <is>
          <t>여비교통비-국내</t>
        </is>
      </c>
      <c r="H231" s="61" t="n">
        <v>689690</v>
      </c>
      <c r="J231" s="63">
        <f>IF($A231="","",IFERROR(INDEX(부서매핑!$C$5:$C$504,MATCH($D231&amp;"",부서매핑!$A$5:$A$504,0)),"미매핑"))</f>
        <v/>
      </c>
      <c r="K231" s="63">
        <f>IF($A231="","",IFERROR(INDEX(계정매핑!$C$5:$C$504,MATCH($F231&amp;"",계정매핑!$A$5:$A$504,0)),"미매핑"))</f>
        <v/>
      </c>
      <c r="L231" s="4">
        <f>IF($A231="","",VALUE($A231&amp;""))</f>
        <v/>
      </c>
      <c r="M231" s="4">
        <f>IF($A231="","",VALUE($B231&amp;""))</f>
        <v/>
      </c>
      <c r="N231" s="64">
        <f>IF($A231="","",$H231*설정!$C$15)</f>
        <v/>
      </c>
      <c r="O231" s="4">
        <f>IF($A231="","",J231&amp;"|"&amp;K231)</f>
        <v/>
      </c>
      <c r="P231" s="63">
        <f>IF($A231="","",IF(COUNTIFS(예산_원본!$T$5:$T$3004,O231,예산_원본!$B$5:$B$3004,설정!$C$8,예산_원본!$U$5:$U$3004,L231)&gt;0,"Y","N"))</f>
        <v/>
      </c>
      <c r="Q231" s="63">
        <f>IF($A231="","",IF(COUNTIF(집계!$E$7:$E$506,O231)&gt;0,"Y","N"))</f>
        <v/>
      </c>
    </row>
    <row r="232">
      <c r="A232" s="60" t="n">
        <v>2025</v>
      </c>
      <c r="B232" s="60" t="n">
        <v>3</v>
      </c>
      <c r="C232" s="60" t="inlineStr">
        <is>
          <t>1000</t>
        </is>
      </c>
      <c r="D232" s="60" t="n">
        <v>1801</v>
      </c>
      <c r="E232" s="60" t="inlineStr">
        <is>
          <t>고객서비스</t>
        </is>
      </c>
      <c r="F232" s="60" t="n">
        <v>62102000</v>
      </c>
      <c r="G232" s="60" t="inlineStr">
        <is>
          <t>여비교통비-해외</t>
        </is>
      </c>
      <c r="H232" s="61" t="n">
        <v>127290</v>
      </c>
      <c r="J232" s="63">
        <f>IF($A232="","",IFERROR(INDEX(부서매핑!$C$5:$C$504,MATCH($D232&amp;"",부서매핑!$A$5:$A$504,0)),"미매핑"))</f>
        <v/>
      </c>
      <c r="K232" s="63">
        <f>IF($A232="","",IFERROR(INDEX(계정매핑!$C$5:$C$504,MATCH($F232&amp;"",계정매핑!$A$5:$A$504,0)),"미매핑"))</f>
        <v/>
      </c>
      <c r="L232" s="4">
        <f>IF($A232="","",VALUE($A232&amp;""))</f>
        <v/>
      </c>
      <c r="M232" s="4">
        <f>IF($A232="","",VALUE($B232&amp;""))</f>
        <v/>
      </c>
      <c r="N232" s="64">
        <f>IF($A232="","",$H232*설정!$C$15)</f>
        <v/>
      </c>
      <c r="O232" s="4">
        <f>IF($A232="","",J232&amp;"|"&amp;K232)</f>
        <v/>
      </c>
      <c r="P232" s="63">
        <f>IF($A232="","",IF(COUNTIFS(예산_원본!$T$5:$T$3004,O232,예산_원본!$B$5:$B$3004,설정!$C$8,예산_원본!$U$5:$U$3004,L232)&gt;0,"Y","N"))</f>
        <v/>
      </c>
      <c r="Q232" s="63">
        <f>IF($A232="","",IF(COUNTIF(집계!$E$7:$E$506,O232)&gt;0,"Y","N"))</f>
        <v/>
      </c>
    </row>
    <row r="233">
      <c r="A233" s="60" t="n">
        <v>2025</v>
      </c>
      <c r="B233" s="60" t="n">
        <v>3</v>
      </c>
      <c r="C233" s="60" t="inlineStr">
        <is>
          <t>1000</t>
        </is>
      </c>
      <c r="D233" s="60" t="n">
        <v>1801</v>
      </c>
      <c r="E233" s="60" t="inlineStr">
        <is>
          <t>고객서비스</t>
        </is>
      </c>
      <c r="F233" s="60" t="n">
        <v>62201000</v>
      </c>
      <c r="G233" s="60" t="inlineStr">
        <is>
          <t>통신비</t>
        </is>
      </c>
      <c r="H233" s="61" t="n">
        <v>15530830</v>
      </c>
      <c r="J233" s="63">
        <f>IF($A233="","",IFERROR(INDEX(부서매핑!$C$5:$C$504,MATCH($D233&amp;"",부서매핑!$A$5:$A$504,0)),"미매핑"))</f>
        <v/>
      </c>
      <c r="K233" s="63">
        <f>IF($A233="","",IFERROR(INDEX(계정매핑!$C$5:$C$504,MATCH($F233&amp;"",계정매핑!$A$5:$A$504,0)),"미매핑"))</f>
        <v/>
      </c>
      <c r="L233" s="4">
        <f>IF($A233="","",VALUE($A233&amp;""))</f>
        <v/>
      </c>
      <c r="M233" s="4">
        <f>IF($A233="","",VALUE($B233&amp;""))</f>
        <v/>
      </c>
      <c r="N233" s="64">
        <f>IF($A233="","",$H233*설정!$C$15)</f>
        <v/>
      </c>
      <c r="O233" s="4">
        <f>IF($A233="","",J233&amp;"|"&amp;K233)</f>
        <v/>
      </c>
      <c r="P233" s="63">
        <f>IF($A233="","",IF(COUNTIFS(예산_원본!$T$5:$T$3004,O233,예산_원본!$B$5:$B$3004,설정!$C$8,예산_원본!$U$5:$U$3004,L233)&gt;0,"Y","N"))</f>
        <v/>
      </c>
      <c r="Q233" s="63">
        <f>IF($A233="","",IF(COUNTIF(집계!$E$7:$E$506,O233)&gt;0,"Y","N"))</f>
        <v/>
      </c>
    </row>
    <row r="234">
      <c r="A234" s="60" t="n">
        <v>2025</v>
      </c>
      <c r="B234" s="60" t="n">
        <v>3</v>
      </c>
      <c r="C234" s="60" t="inlineStr">
        <is>
          <t>1000</t>
        </is>
      </c>
      <c r="D234" s="60" t="n">
        <v>1801</v>
      </c>
      <c r="E234" s="60" t="inlineStr">
        <is>
          <t>고객서비스</t>
        </is>
      </c>
      <c r="F234" s="60" t="n">
        <v>62301000</v>
      </c>
      <c r="G234" s="60" t="inlineStr">
        <is>
          <t>소모품비</t>
        </is>
      </c>
      <c r="H234" s="61" t="n">
        <v>1460770</v>
      </c>
      <c r="J234" s="63">
        <f>IF($A234="","",IFERROR(INDEX(부서매핑!$C$5:$C$504,MATCH($D234&amp;"",부서매핑!$A$5:$A$504,0)),"미매핑"))</f>
        <v/>
      </c>
      <c r="K234" s="63">
        <f>IF($A234="","",IFERROR(INDEX(계정매핑!$C$5:$C$504,MATCH($F234&amp;"",계정매핑!$A$5:$A$504,0)),"미매핑"))</f>
        <v/>
      </c>
      <c r="L234" s="4">
        <f>IF($A234="","",VALUE($A234&amp;""))</f>
        <v/>
      </c>
      <c r="M234" s="4">
        <f>IF($A234="","",VALUE($B234&amp;""))</f>
        <v/>
      </c>
      <c r="N234" s="64">
        <f>IF($A234="","",$H234*설정!$C$15)</f>
        <v/>
      </c>
      <c r="O234" s="4">
        <f>IF($A234="","",J234&amp;"|"&amp;K234)</f>
        <v/>
      </c>
      <c r="P234" s="63">
        <f>IF($A234="","",IF(COUNTIFS(예산_원본!$T$5:$T$3004,O234,예산_원본!$B$5:$B$3004,설정!$C$8,예산_원본!$U$5:$U$3004,L234)&gt;0,"Y","N"))</f>
        <v/>
      </c>
      <c r="Q234" s="63">
        <f>IF($A234="","",IF(COUNTIF(집계!$E$7:$E$506,O234)&gt;0,"Y","N"))</f>
        <v/>
      </c>
    </row>
    <row r="235">
      <c r="A235" s="60" t="n">
        <v>2025</v>
      </c>
      <c r="B235" s="60" t="n">
        <v>3</v>
      </c>
      <c r="C235" s="60" t="inlineStr">
        <is>
          <t>1000</t>
        </is>
      </c>
      <c r="D235" s="60" t="n">
        <v>1801</v>
      </c>
      <c r="E235" s="60" t="inlineStr">
        <is>
          <t>고객서비스</t>
        </is>
      </c>
      <c r="F235" s="60" t="n">
        <v>62401000</v>
      </c>
      <c r="G235" s="60" t="inlineStr">
        <is>
          <t>도서인쇄비</t>
        </is>
      </c>
      <c r="H235" s="61" t="n">
        <v>7323460</v>
      </c>
      <c r="J235" s="63">
        <f>IF($A235="","",IFERROR(INDEX(부서매핑!$C$5:$C$504,MATCH($D235&amp;"",부서매핑!$A$5:$A$504,0)),"미매핑"))</f>
        <v/>
      </c>
      <c r="K235" s="63">
        <f>IF($A235="","",IFERROR(INDEX(계정매핑!$C$5:$C$504,MATCH($F235&amp;"",계정매핑!$A$5:$A$504,0)),"미매핑"))</f>
        <v/>
      </c>
      <c r="L235" s="4">
        <f>IF($A235="","",VALUE($A235&amp;""))</f>
        <v/>
      </c>
      <c r="M235" s="4">
        <f>IF($A235="","",VALUE($B235&amp;""))</f>
        <v/>
      </c>
      <c r="N235" s="64">
        <f>IF($A235="","",$H235*설정!$C$15)</f>
        <v/>
      </c>
      <c r="O235" s="4">
        <f>IF($A235="","",J235&amp;"|"&amp;K235)</f>
        <v/>
      </c>
      <c r="P235" s="63">
        <f>IF($A235="","",IF(COUNTIFS(예산_원본!$T$5:$T$3004,O235,예산_원본!$B$5:$B$3004,설정!$C$8,예산_원본!$U$5:$U$3004,L235)&gt;0,"Y","N"))</f>
        <v/>
      </c>
      <c r="Q235" s="63">
        <f>IF($A235="","",IF(COUNTIF(집계!$E$7:$E$506,O235)&gt;0,"Y","N"))</f>
        <v/>
      </c>
    </row>
    <row r="236">
      <c r="A236" s="60" t="n">
        <v>2025</v>
      </c>
      <c r="B236" s="60" t="n">
        <v>3</v>
      </c>
      <c r="C236" s="60" t="inlineStr">
        <is>
          <t>1000</t>
        </is>
      </c>
      <c r="D236" s="60" t="n">
        <v>1801</v>
      </c>
      <c r="E236" s="60" t="inlineStr">
        <is>
          <t>고객서비스</t>
        </is>
      </c>
      <c r="F236" s="60" t="n">
        <v>62501000</v>
      </c>
      <c r="G236" s="60" t="inlineStr">
        <is>
          <t>회의비</t>
        </is>
      </c>
      <c r="H236" s="61" t="n">
        <v>405340</v>
      </c>
      <c r="J236" s="63">
        <f>IF($A236="","",IFERROR(INDEX(부서매핑!$C$5:$C$504,MATCH($D236&amp;"",부서매핑!$A$5:$A$504,0)),"미매핑"))</f>
        <v/>
      </c>
      <c r="K236" s="63">
        <f>IF($A236="","",IFERROR(INDEX(계정매핑!$C$5:$C$504,MATCH($F236&amp;"",계정매핑!$A$5:$A$504,0)),"미매핑"))</f>
        <v/>
      </c>
      <c r="L236" s="4">
        <f>IF($A236="","",VALUE($A236&amp;""))</f>
        <v/>
      </c>
      <c r="M236" s="4">
        <f>IF($A236="","",VALUE($B236&amp;""))</f>
        <v/>
      </c>
      <c r="N236" s="64">
        <f>IF($A236="","",$H236*설정!$C$15)</f>
        <v/>
      </c>
      <c r="O236" s="4">
        <f>IF($A236="","",J236&amp;"|"&amp;K236)</f>
        <v/>
      </c>
      <c r="P236" s="63">
        <f>IF($A236="","",IF(COUNTIFS(예산_원본!$T$5:$T$3004,O236,예산_원본!$B$5:$B$3004,설정!$C$8,예산_원본!$U$5:$U$3004,L236)&gt;0,"Y","N"))</f>
        <v/>
      </c>
      <c r="Q236" s="63">
        <f>IF($A236="","",IF(COUNTIF(집계!$E$7:$E$506,O236)&gt;0,"Y","N"))</f>
        <v/>
      </c>
    </row>
    <row r="237">
      <c r="A237" s="60" t="n">
        <v>2025</v>
      </c>
      <c r="B237" s="60" t="n">
        <v>3</v>
      </c>
      <c r="C237" s="60" t="inlineStr">
        <is>
          <t>1000</t>
        </is>
      </c>
      <c r="D237" s="60" t="n">
        <v>1801</v>
      </c>
      <c r="E237" s="60" t="inlineStr">
        <is>
          <t>고객서비스</t>
        </is>
      </c>
      <c r="F237" s="60" t="n">
        <v>62901000</v>
      </c>
      <c r="G237" s="60" t="inlineStr">
        <is>
          <t>지급수수료-컨설팅</t>
        </is>
      </c>
      <c r="H237" s="61" t="n">
        <v>30890920</v>
      </c>
      <c r="J237" s="63">
        <f>IF($A237="","",IFERROR(INDEX(부서매핑!$C$5:$C$504,MATCH($D237&amp;"",부서매핑!$A$5:$A$504,0)),"미매핑"))</f>
        <v/>
      </c>
      <c r="K237" s="63">
        <f>IF($A237="","",IFERROR(INDEX(계정매핑!$C$5:$C$504,MATCH($F237&amp;"",계정매핑!$A$5:$A$504,0)),"미매핑"))</f>
        <v/>
      </c>
      <c r="L237" s="4">
        <f>IF($A237="","",VALUE($A237&amp;""))</f>
        <v/>
      </c>
      <c r="M237" s="4">
        <f>IF($A237="","",VALUE($B237&amp;""))</f>
        <v/>
      </c>
      <c r="N237" s="64">
        <f>IF($A237="","",$H237*설정!$C$15)</f>
        <v/>
      </c>
      <c r="O237" s="4">
        <f>IF($A237="","",J237&amp;"|"&amp;K237)</f>
        <v/>
      </c>
      <c r="P237" s="63">
        <f>IF($A237="","",IF(COUNTIFS(예산_원본!$T$5:$T$3004,O237,예산_원본!$B$5:$B$3004,설정!$C$8,예산_원본!$U$5:$U$3004,L237)&gt;0,"Y","N"))</f>
        <v/>
      </c>
      <c r="Q237" s="63">
        <f>IF($A237="","",IF(COUNTIF(집계!$E$7:$E$506,O237)&gt;0,"Y","N"))</f>
        <v/>
      </c>
    </row>
    <row r="238">
      <c r="A238" s="60" t="n">
        <v>2025</v>
      </c>
      <c r="B238" s="60" t="n">
        <v>3</v>
      </c>
      <c r="C238" s="60" t="inlineStr">
        <is>
          <t>1000</t>
        </is>
      </c>
      <c r="D238" s="60" t="n">
        <v>1801</v>
      </c>
      <c r="E238" s="60" t="inlineStr">
        <is>
          <t>고객서비스</t>
        </is>
      </c>
      <c r="F238" s="60" t="n">
        <v>62902000</v>
      </c>
      <c r="G238" s="60" t="inlineStr">
        <is>
          <t>지급수수료-기타</t>
        </is>
      </c>
      <c r="H238" s="61" t="n">
        <v>13146340</v>
      </c>
      <c r="J238" s="63">
        <f>IF($A238="","",IFERROR(INDEX(부서매핑!$C$5:$C$504,MATCH($D238&amp;"",부서매핑!$A$5:$A$504,0)),"미매핑"))</f>
        <v/>
      </c>
      <c r="K238" s="63">
        <f>IF($A238="","",IFERROR(INDEX(계정매핑!$C$5:$C$504,MATCH($F238&amp;"",계정매핑!$A$5:$A$504,0)),"미매핑"))</f>
        <v/>
      </c>
      <c r="L238" s="4">
        <f>IF($A238="","",VALUE($A238&amp;""))</f>
        <v/>
      </c>
      <c r="M238" s="4">
        <f>IF($A238="","",VALUE($B238&amp;""))</f>
        <v/>
      </c>
      <c r="N238" s="64">
        <f>IF($A238="","",$H238*설정!$C$15)</f>
        <v/>
      </c>
      <c r="O238" s="4">
        <f>IF($A238="","",J238&amp;"|"&amp;K238)</f>
        <v/>
      </c>
      <c r="P238" s="63">
        <f>IF($A238="","",IF(COUNTIFS(예산_원본!$T$5:$T$3004,O238,예산_원본!$B$5:$B$3004,설정!$C$8,예산_원본!$U$5:$U$3004,L238)&gt;0,"Y","N"))</f>
        <v/>
      </c>
      <c r="Q238" s="63">
        <f>IF($A238="","",IF(COUNTIF(집계!$E$7:$E$506,O238)&gt;0,"Y","N"))</f>
        <v/>
      </c>
    </row>
    <row r="239">
      <c r="A239" s="60" t="n">
        <v>2025</v>
      </c>
      <c r="B239" s="60" t="n">
        <v>4</v>
      </c>
      <c r="C239" s="60" t="inlineStr">
        <is>
          <t>1000</t>
        </is>
      </c>
      <c r="D239" s="60" t="n">
        <v>1101</v>
      </c>
      <c r="E239" s="60" t="inlineStr">
        <is>
          <t>경영기획</t>
        </is>
      </c>
      <c r="F239" s="60" t="n">
        <v>62101000</v>
      </c>
      <c r="G239" s="60" t="inlineStr">
        <is>
          <t>여비교통비-국내</t>
        </is>
      </c>
      <c r="H239" s="61" t="n">
        <v>1922510</v>
      </c>
      <c r="J239" s="63">
        <f>IF($A239="","",IFERROR(INDEX(부서매핑!$C$5:$C$504,MATCH($D239&amp;"",부서매핑!$A$5:$A$504,0)),"미매핑"))</f>
        <v/>
      </c>
      <c r="K239" s="63">
        <f>IF($A239="","",IFERROR(INDEX(계정매핑!$C$5:$C$504,MATCH($F239&amp;"",계정매핑!$A$5:$A$504,0)),"미매핑"))</f>
        <v/>
      </c>
      <c r="L239" s="4">
        <f>IF($A239="","",VALUE($A239&amp;""))</f>
        <v/>
      </c>
      <c r="M239" s="4">
        <f>IF($A239="","",VALUE($B239&amp;""))</f>
        <v/>
      </c>
      <c r="N239" s="64">
        <f>IF($A239="","",$H239*설정!$C$15)</f>
        <v/>
      </c>
      <c r="O239" s="4">
        <f>IF($A239="","",J239&amp;"|"&amp;K239)</f>
        <v/>
      </c>
      <c r="P239" s="63">
        <f>IF($A239="","",IF(COUNTIFS(예산_원본!$T$5:$T$3004,O239,예산_원본!$B$5:$B$3004,설정!$C$8,예산_원본!$U$5:$U$3004,L239)&gt;0,"Y","N"))</f>
        <v/>
      </c>
      <c r="Q239" s="63">
        <f>IF($A239="","",IF(COUNTIF(집계!$E$7:$E$506,O239)&gt;0,"Y","N"))</f>
        <v/>
      </c>
    </row>
    <row r="240">
      <c r="A240" s="60" t="n">
        <v>2025</v>
      </c>
      <c r="B240" s="60" t="n">
        <v>4</v>
      </c>
      <c r="C240" s="60" t="inlineStr">
        <is>
          <t>1000</t>
        </is>
      </c>
      <c r="D240" s="60" t="n">
        <v>1101</v>
      </c>
      <c r="E240" s="60" t="inlineStr">
        <is>
          <t>경영기획</t>
        </is>
      </c>
      <c r="F240" s="60" t="n">
        <v>62102000</v>
      </c>
      <c r="G240" s="60" t="inlineStr">
        <is>
          <t>여비교통비-해외</t>
        </is>
      </c>
      <c r="H240" s="61" t="n">
        <v>366980</v>
      </c>
      <c r="J240" s="63">
        <f>IF($A240="","",IFERROR(INDEX(부서매핑!$C$5:$C$504,MATCH($D240&amp;"",부서매핑!$A$5:$A$504,0)),"미매핑"))</f>
        <v/>
      </c>
      <c r="K240" s="63">
        <f>IF($A240="","",IFERROR(INDEX(계정매핑!$C$5:$C$504,MATCH($F240&amp;"",계정매핑!$A$5:$A$504,0)),"미매핑"))</f>
        <v/>
      </c>
      <c r="L240" s="4">
        <f>IF($A240="","",VALUE($A240&amp;""))</f>
        <v/>
      </c>
      <c r="M240" s="4">
        <f>IF($A240="","",VALUE($B240&amp;""))</f>
        <v/>
      </c>
      <c r="N240" s="64">
        <f>IF($A240="","",$H240*설정!$C$15)</f>
        <v/>
      </c>
      <c r="O240" s="4">
        <f>IF($A240="","",J240&amp;"|"&amp;K240)</f>
        <v/>
      </c>
      <c r="P240" s="63">
        <f>IF($A240="","",IF(COUNTIFS(예산_원본!$T$5:$T$3004,O240,예산_원본!$B$5:$B$3004,설정!$C$8,예산_원본!$U$5:$U$3004,L240)&gt;0,"Y","N"))</f>
        <v/>
      </c>
      <c r="Q240" s="63">
        <f>IF($A240="","",IF(COUNTIF(집계!$E$7:$E$506,O240)&gt;0,"Y","N"))</f>
        <v/>
      </c>
    </row>
    <row r="241">
      <c r="A241" s="60" t="n">
        <v>2025</v>
      </c>
      <c r="B241" s="60" t="n">
        <v>4</v>
      </c>
      <c r="C241" s="60" t="inlineStr">
        <is>
          <t>1000</t>
        </is>
      </c>
      <c r="D241" s="60" t="n">
        <v>1101</v>
      </c>
      <c r="E241" s="60" t="inlineStr">
        <is>
          <t>경영기획</t>
        </is>
      </c>
      <c r="F241" s="60" t="n">
        <v>62201000</v>
      </c>
      <c r="G241" s="60" t="inlineStr">
        <is>
          <t>통신비</t>
        </is>
      </c>
      <c r="H241" s="61" t="n">
        <v>954010</v>
      </c>
      <c r="J241" s="63">
        <f>IF($A241="","",IFERROR(INDEX(부서매핑!$C$5:$C$504,MATCH($D241&amp;"",부서매핑!$A$5:$A$504,0)),"미매핑"))</f>
        <v/>
      </c>
      <c r="K241" s="63">
        <f>IF($A241="","",IFERROR(INDEX(계정매핑!$C$5:$C$504,MATCH($F241&amp;"",계정매핑!$A$5:$A$504,0)),"미매핑"))</f>
        <v/>
      </c>
      <c r="L241" s="4">
        <f>IF($A241="","",VALUE($A241&amp;""))</f>
        <v/>
      </c>
      <c r="M241" s="4">
        <f>IF($A241="","",VALUE($B241&amp;""))</f>
        <v/>
      </c>
      <c r="N241" s="64">
        <f>IF($A241="","",$H241*설정!$C$15)</f>
        <v/>
      </c>
      <c r="O241" s="4">
        <f>IF($A241="","",J241&amp;"|"&amp;K241)</f>
        <v/>
      </c>
      <c r="P241" s="63">
        <f>IF($A241="","",IF(COUNTIFS(예산_원본!$T$5:$T$3004,O241,예산_원본!$B$5:$B$3004,설정!$C$8,예산_원본!$U$5:$U$3004,L241)&gt;0,"Y","N"))</f>
        <v/>
      </c>
      <c r="Q241" s="63">
        <f>IF($A241="","",IF(COUNTIF(집계!$E$7:$E$506,O241)&gt;0,"Y","N"))</f>
        <v/>
      </c>
    </row>
    <row r="242">
      <c r="A242" s="60" t="n">
        <v>2025</v>
      </c>
      <c r="B242" s="60" t="n">
        <v>4</v>
      </c>
      <c r="C242" s="60" t="inlineStr">
        <is>
          <t>1000</t>
        </is>
      </c>
      <c r="D242" s="60" t="n">
        <v>1101</v>
      </c>
      <c r="E242" s="60" t="inlineStr">
        <is>
          <t>경영기획</t>
        </is>
      </c>
      <c r="F242" s="60" t="n">
        <v>62301000</v>
      </c>
      <c r="G242" s="60" t="inlineStr">
        <is>
          <t>소모품비</t>
        </is>
      </c>
      <c r="H242" s="61" t="n">
        <v>578490</v>
      </c>
      <c r="J242" s="63">
        <f>IF($A242="","",IFERROR(INDEX(부서매핑!$C$5:$C$504,MATCH($D242&amp;"",부서매핑!$A$5:$A$504,0)),"미매핑"))</f>
        <v/>
      </c>
      <c r="K242" s="63">
        <f>IF($A242="","",IFERROR(INDEX(계정매핑!$C$5:$C$504,MATCH($F242&amp;"",계정매핑!$A$5:$A$504,0)),"미매핑"))</f>
        <v/>
      </c>
      <c r="L242" s="4">
        <f>IF($A242="","",VALUE($A242&amp;""))</f>
        <v/>
      </c>
      <c r="M242" s="4">
        <f>IF($A242="","",VALUE($B242&amp;""))</f>
        <v/>
      </c>
      <c r="N242" s="64">
        <f>IF($A242="","",$H242*설정!$C$15)</f>
        <v/>
      </c>
      <c r="O242" s="4">
        <f>IF($A242="","",J242&amp;"|"&amp;K242)</f>
        <v/>
      </c>
      <c r="P242" s="63">
        <f>IF($A242="","",IF(COUNTIFS(예산_원본!$T$5:$T$3004,O242,예산_원본!$B$5:$B$3004,설정!$C$8,예산_원본!$U$5:$U$3004,L242)&gt;0,"Y","N"))</f>
        <v/>
      </c>
      <c r="Q242" s="63">
        <f>IF($A242="","",IF(COUNTIF(집계!$E$7:$E$506,O242)&gt;0,"Y","N"))</f>
        <v/>
      </c>
    </row>
    <row r="243">
      <c r="A243" s="60" t="n">
        <v>2025</v>
      </c>
      <c r="B243" s="60" t="n">
        <v>4</v>
      </c>
      <c r="C243" s="60" t="inlineStr">
        <is>
          <t>1000</t>
        </is>
      </c>
      <c r="D243" s="60" t="n">
        <v>1101</v>
      </c>
      <c r="E243" s="60" t="inlineStr">
        <is>
          <t>경영기획</t>
        </is>
      </c>
      <c r="F243" s="60" t="n">
        <v>62501000</v>
      </c>
      <c r="G243" s="60" t="inlineStr">
        <is>
          <t>회의비</t>
        </is>
      </c>
      <c r="H243" s="61" t="n">
        <v>936920</v>
      </c>
      <c r="J243" s="63">
        <f>IF($A243="","",IFERROR(INDEX(부서매핑!$C$5:$C$504,MATCH($D243&amp;"",부서매핑!$A$5:$A$504,0)),"미매핑"))</f>
        <v/>
      </c>
      <c r="K243" s="63">
        <f>IF($A243="","",IFERROR(INDEX(계정매핑!$C$5:$C$504,MATCH($F243&amp;"",계정매핑!$A$5:$A$504,0)),"미매핑"))</f>
        <v/>
      </c>
      <c r="L243" s="4">
        <f>IF($A243="","",VALUE($A243&amp;""))</f>
        <v/>
      </c>
      <c r="M243" s="4">
        <f>IF($A243="","",VALUE($B243&amp;""))</f>
        <v/>
      </c>
      <c r="N243" s="64">
        <f>IF($A243="","",$H243*설정!$C$15)</f>
        <v/>
      </c>
      <c r="O243" s="4">
        <f>IF($A243="","",J243&amp;"|"&amp;K243)</f>
        <v/>
      </c>
      <c r="P243" s="63">
        <f>IF($A243="","",IF(COUNTIFS(예산_원본!$T$5:$T$3004,O243,예산_원본!$B$5:$B$3004,설정!$C$8,예산_원본!$U$5:$U$3004,L243)&gt;0,"Y","N"))</f>
        <v/>
      </c>
      <c r="Q243" s="63">
        <f>IF($A243="","",IF(COUNTIF(집계!$E$7:$E$506,O243)&gt;0,"Y","N"))</f>
        <v/>
      </c>
    </row>
    <row r="244">
      <c r="A244" s="60" t="n">
        <v>2025</v>
      </c>
      <c r="B244" s="60" t="n">
        <v>4</v>
      </c>
      <c r="C244" s="60" t="inlineStr">
        <is>
          <t>1000</t>
        </is>
      </c>
      <c r="D244" s="60" t="n">
        <v>1101</v>
      </c>
      <c r="E244" s="60" t="inlineStr">
        <is>
          <t>경영기획</t>
        </is>
      </c>
      <c r="F244" s="60" t="n">
        <v>62601000</v>
      </c>
      <c r="G244" s="60" t="inlineStr">
        <is>
          <t>업무추진비</t>
        </is>
      </c>
      <c r="H244" s="61" t="n">
        <v>3524610</v>
      </c>
      <c r="J244" s="63">
        <f>IF($A244="","",IFERROR(INDEX(부서매핑!$C$5:$C$504,MATCH($D244&amp;"",부서매핑!$A$5:$A$504,0)),"미매핑"))</f>
        <v/>
      </c>
      <c r="K244" s="63">
        <f>IF($A244="","",IFERROR(INDEX(계정매핑!$C$5:$C$504,MATCH($F244&amp;"",계정매핑!$A$5:$A$504,0)),"미매핑"))</f>
        <v/>
      </c>
      <c r="L244" s="4">
        <f>IF($A244="","",VALUE($A244&amp;""))</f>
        <v/>
      </c>
      <c r="M244" s="4">
        <f>IF($A244="","",VALUE($B244&amp;""))</f>
        <v/>
      </c>
      <c r="N244" s="64">
        <f>IF($A244="","",$H244*설정!$C$15)</f>
        <v/>
      </c>
      <c r="O244" s="4">
        <f>IF($A244="","",J244&amp;"|"&amp;K244)</f>
        <v/>
      </c>
      <c r="P244" s="63">
        <f>IF($A244="","",IF(COUNTIFS(예산_원본!$T$5:$T$3004,O244,예산_원본!$B$5:$B$3004,설정!$C$8,예산_원본!$U$5:$U$3004,L244)&gt;0,"Y","N"))</f>
        <v/>
      </c>
      <c r="Q244" s="63">
        <f>IF($A244="","",IF(COUNTIF(집계!$E$7:$E$506,O244)&gt;0,"Y","N"))</f>
        <v/>
      </c>
    </row>
    <row r="245">
      <c r="A245" s="60" t="n">
        <v>2025</v>
      </c>
      <c r="B245" s="60" t="n">
        <v>4</v>
      </c>
      <c r="C245" s="60" t="inlineStr">
        <is>
          <t>1000</t>
        </is>
      </c>
      <c r="D245" s="60" t="n">
        <v>1101</v>
      </c>
      <c r="E245" s="60" t="inlineStr">
        <is>
          <t>경영기획</t>
        </is>
      </c>
      <c r="F245" s="60" t="n">
        <v>62901000</v>
      </c>
      <c r="G245" s="60" t="inlineStr">
        <is>
          <t>지급수수료-컨설팅</t>
        </is>
      </c>
      <c r="H245" s="61" t="n">
        <v>11080870</v>
      </c>
      <c r="J245" s="63">
        <f>IF($A245="","",IFERROR(INDEX(부서매핑!$C$5:$C$504,MATCH($D245&amp;"",부서매핑!$A$5:$A$504,0)),"미매핑"))</f>
        <v/>
      </c>
      <c r="K245" s="63">
        <f>IF($A245="","",IFERROR(INDEX(계정매핑!$C$5:$C$504,MATCH($F245&amp;"",계정매핑!$A$5:$A$504,0)),"미매핑"))</f>
        <v/>
      </c>
      <c r="L245" s="4">
        <f>IF($A245="","",VALUE($A245&amp;""))</f>
        <v/>
      </c>
      <c r="M245" s="4">
        <f>IF($A245="","",VALUE($B245&amp;""))</f>
        <v/>
      </c>
      <c r="N245" s="64">
        <f>IF($A245="","",$H245*설정!$C$15)</f>
        <v/>
      </c>
      <c r="O245" s="4">
        <f>IF($A245="","",J245&amp;"|"&amp;K245)</f>
        <v/>
      </c>
      <c r="P245" s="63">
        <f>IF($A245="","",IF(COUNTIFS(예산_원본!$T$5:$T$3004,O245,예산_원본!$B$5:$B$3004,설정!$C$8,예산_원본!$U$5:$U$3004,L245)&gt;0,"Y","N"))</f>
        <v/>
      </c>
      <c r="Q245" s="63">
        <f>IF($A245="","",IF(COUNTIF(집계!$E$7:$E$506,O245)&gt;0,"Y","N"))</f>
        <v/>
      </c>
    </row>
    <row r="246">
      <c r="A246" s="60" t="n">
        <v>2025</v>
      </c>
      <c r="B246" s="60" t="n">
        <v>4</v>
      </c>
      <c r="C246" s="60" t="inlineStr">
        <is>
          <t>1000</t>
        </is>
      </c>
      <c r="D246" s="60" t="n">
        <v>1101</v>
      </c>
      <c r="E246" s="60" t="inlineStr">
        <is>
          <t>경영기획</t>
        </is>
      </c>
      <c r="F246" s="60" t="n">
        <v>62902000</v>
      </c>
      <c r="G246" s="60" t="inlineStr">
        <is>
          <t>지급수수료-기타</t>
        </is>
      </c>
      <c r="H246" s="61" t="n">
        <v>5191840</v>
      </c>
      <c r="J246" s="63">
        <f>IF($A246="","",IFERROR(INDEX(부서매핑!$C$5:$C$504,MATCH($D246&amp;"",부서매핑!$A$5:$A$504,0)),"미매핑"))</f>
        <v/>
      </c>
      <c r="K246" s="63">
        <f>IF($A246="","",IFERROR(INDEX(계정매핑!$C$5:$C$504,MATCH($F246&amp;"",계정매핑!$A$5:$A$504,0)),"미매핑"))</f>
        <v/>
      </c>
      <c r="L246" s="4">
        <f>IF($A246="","",VALUE($A246&amp;""))</f>
        <v/>
      </c>
      <c r="M246" s="4">
        <f>IF($A246="","",VALUE($B246&amp;""))</f>
        <v/>
      </c>
      <c r="N246" s="64">
        <f>IF($A246="","",$H246*설정!$C$15)</f>
        <v/>
      </c>
      <c r="O246" s="4">
        <f>IF($A246="","",J246&amp;"|"&amp;K246)</f>
        <v/>
      </c>
      <c r="P246" s="63">
        <f>IF($A246="","",IF(COUNTIFS(예산_원본!$T$5:$T$3004,O246,예산_원본!$B$5:$B$3004,설정!$C$8,예산_원본!$U$5:$U$3004,L246)&gt;0,"Y","N"))</f>
        <v/>
      </c>
      <c r="Q246" s="63">
        <f>IF($A246="","",IF(COUNTIF(집계!$E$7:$E$506,O246)&gt;0,"Y","N"))</f>
        <v/>
      </c>
    </row>
    <row r="247">
      <c r="A247" s="60" t="n">
        <v>2025</v>
      </c>
      <c r="B247" s="60" t="n">
        <v>4</v>
      </c>
      <c r="C247" s="60" t="inlineStr">
        <is>
          <t>1000</t>
        </is>
      </c>
      <c r="D247" s="60" t="n">
        <v>1201</v>
      </c>
      <c r="E247" s="60" t="inlineStr">
        <is>
          <t>재무회계</t>
        </is>
      </c>
      <c r="F247" s="60" t="n">
        <v>62101000</v>
      </c>
      <c r="G247" s="60" t="inlineStr">
        <is>
          <t>여비교통비-국내</t>
        </is>
      </c>
      <c r="H247" s="61" t="n">
        <v>1250180</v>
      </c>
      <c r="J247" s="63">
        <f>IF($A247="","",IFERROR(INDEX(부서매핑!$C$5:$C$504,MATCH($D247&amp;"",부서매핑!$A$5:$A$504,0)),"미매핑"))</f>
        <v/>
      </c>
      <c r="K247" s="63">
        <f>IF($A247="","",IFERROR(INDEX(계정매핑!$C$5:$C$504,MATCH($F247&amp;"",계정매핑!$A$5:$A$504,0)),"미매핑"))</f>
        <v/>
      </c>
      <c r="L247" s="4">
        <f>IF($A247="","",VALUE($A247&amp;""))</f>
        <v/>
      </c>
      <c r="M247" s="4">
        <f>IF($A247="","",VALUE($B247&amp;""))</f>
        <v/>
      </c>
      <c r="N247" s="64">
        <f>IF($A247="","",$H247*설정!$C$15)</f>
        <v/>
      </c>
      <c r="O247" s="4">
        <f>IF($A247="","",J247&amp;"|"&amp;K247)</f>
        <v/>
      </c>
      <c r="P247" s="63">
        <f>IF($A247="","",IF(COUNTIFS(예산_원본!$T$5:$T$3004,O247,예산_원본!$B$5:$B$3004,설정!$C$8,예산_원본!$U$5:$U$3004,L247)&gt;0,"Y","N"))</f>
        <v/>
      </c>
      <c r="Q247" s="63">
        <f>IF($A247="","",IF(COUNTIF(집계!$E$7:$E$506,O247)&gt;0,"Y","N"))</f>
        <v/>
      </c>
    </row>
    <row r="248">
      <c r="A248" s="60" t="n">
        <v>2025</v>
      </c>
      <c r="B248" s="60" t="n">
        <v>4</v>
      </c>
      <c r="C248" s="60" t="inlineStr">
        <is>
          <t>1000</t>
        </is>
      </c>
      <c r="D248" s="60" t="n">
        <v>1201</v>
      </c>
      <c r="E248" s="60" t="inlineStr">
        <is>
          <t>재무회계</t>
        </is>
      </c>
      <c r="F248" s="60" t="n">
        <v>62102000</v>
      </c>
      <c r="G248" s="60" t="inlineStr">
        <is>
          <t>여비교통비-해외</t>
        </is>
      </c>
      <c r="H248" s="61" t="n">
        <v>190930</v>
      </c>
      <c r="J248" s="63">
        <f>IF($A248="","",IFERROR(INDEX(부서매핑!$C$5:$C$504,MATCH($D248&amp;"",부서매핑!$A$5:$A$504,0)),"미매핑"))</f>
        <v/>
      </c>
      <c r="K248" s="63">
        <f>IF($A248="","",IFERROR(INDEX(계정매핑!$C$5:$C$504,MATCH($F248&amp;"",계정매핑!$A$5:$A$504,0)),"미매핑"))</f>
        <v/>
      </c>
      <c r="L248" s="4">
        <f>IF($A248="","",VALUE($A248&amp;""))</f>
        <v/>
      </c>
      <c r="M248" s="4">
        <f>IF($A248="","",VALUE($B248&amp;""))</f>
        <v/>
      </c>
      <c r="N248" s="64">
        <f>IF($A248="","",$H248*설정!$C$15)</f>
        <v/>
      </c>
      <c r="O248" s="4">
        <f>IF($A248="","",J248&amp;"|"&amp;K248)</f>
        <v/>
      </c>
      <c r="P248" s="63">
        <f>IF($A248="","",IF(COUNTIFS(예산_원본!$T$5:$T$3004,O248,예산_원본!$B$5:$B$3004,설정!$C$8,예산_원본!$U$5:$U$3004,L248)&gt;0,"Y","N"))</f>
        <v/>
      </c>
      <c r="Q248" s="63">
        <f>IF($A248="","",IF(COUNTIF(집계!$E$7:$E$506,O248)&gt;0,"Y","N"))</f>
        <v/>
      </c>
    </row>
    <row r="249">
      <c r="A249" s="60" t="n">
        <v>2025</v>
      </c>
      <c r="B249" s="60" t="n">
        <v>4</v>
      </c>
      <c r="C249" s="60" t="inlineStr">
        <is>
          <t>1000</t>
        </is>
      </c>
      <c r="D249" s="60" t="n">
        <v>1201</v>
      </c>
      <c r="E249" s="60" t="inlineStr">
        <is>
          <t>재무회계</t>
        </is>
      </c>
      <c r="F249" s="60" t="n">
        <v>62201000</v>
      </c>
      <c r="G249" s="60" t="inlineStr">
        <is>
          <t>통신비</t>
        </is>
      </c>
      <c r="H249" s="61" t="n">
        <v>528510</v>
      </c>
      <c r="J249" s="63">
        <f>IF($A249="","",IFERROR(INDEX(부서매핑!$C$5:$C$504,MATCH($D249&amp;"",부서매핑!$A$5:$A$504,0)),"미매핑"))</f>
        <v/>
      </c>
      <c r="K249" s="63">
        <f>IF($A249="","",IFERROR(INDEX(계정매핑!$C$5:$C$504,MATCH($F249&amp;"",계정매핑!$A$5:$A$504,0)),"미매핑"))</f>
        <v/>
      </c>
      <c r="L249" s="4">
        <f>IF($A249="","",VALUE($A249&amp;""))</f>
        <v/>
      </c>
      <c r="M249" s="4">
        <f>IF($A249="","",VALUE($B249&amp;""))</f>
        <v/>
      </c>
      <c r="N249" s="64">
        <f>IF($A249="","",$H249*설정!$C$15)</f>
        <v/>
      </c>
      <c r="O249" s="4">
        <f>IF($A249="","",J249&amp;"|"&amp;K249)</f>
        <v/>
      </c>
      <c r="P249" s="63">
        <f>IF($A249="","",IF(COUNTIFS(예산_원본!$T$5:$T$3004,O249,예산_원본!$B$5:$B$3004,설정!$C$8,예산_원본!$U$5:$U$3004,L249)&gt;0,"Y","N"))</f>
        <v/>
      </c>
      <c r="Q249" s="63">
        <f>IF($A249="","",IF(COUNTIF(집계!$E$7:$E$506,O249)&gt;0,"Y","N"))</f>
        <v/>
      </c>
    </row>
    <row r="250">
      <c r="A250" s="60" t="n">
        <v>2025</v>
      </c>
      <c r="B250" s="60" t="n">
        <v>4</v>
      </c>
      <c r="C250" s="60" t="inlineStr">
        <is>
          <t>1000</t>
        </is>
      </c>
      <c r="D250" s="60" t="n">
        <v>1201</v>
      </c>
      <c r="E250" s="60" t="inlineStr">
        <is>
          <t>재무회계</t>
        </is>
      </c>
      <c r="F250" s="60" t="n">
        <v>62301000</v>
      </c>
      <c r="G250" s="60" t="inlineStr">
        <is>
          <t>소모품비</t>
        </is>
      </c>
      <c r="H250" s="61" t="n">
        <v>573390</v>
      </c>
      <c r="J250" s="63">
        <f>IF($A250="","",IFERROR(INDEX(부서매핑!$C$5:$C$504,MATCH($D250&amp;"",부서매핑!$A$5:$A$504,0)),"미매핑"))</f>
        <v/>
      </c>
      <c r="K250" s="63">
        <f>IF($A250="","",IFERROR(INDEX(계정매핑!$C$5:$C$504,MATCH($F250&amp;"",계정매핑!$A$5:$A$504,0)),"미매핑"))</f>
        <v/>
      </c>
      <c r="L250" s="4">
        <f>IF($A250="","",VALUE($A250&amp;""))</f>
        <v/>
      </c>
      <c r="M250" s="4">
        <f>IF($A250="","",VALUE($B250&amp;""))</f>
        <v/>
      </c>
      <c r="N250" s="64">
        <f>IF($A250="","",$H250*설정!$C$15)</f>
        <v/>
      </c>
      <c r="O250" s="4">
        <f>IF($A250="","",J250&amp;"|"&amp;K250)</f>
        <v/>
      </c>
      <c r="P250" s="63">
        <f>IF($A250="","",IF(COUNTIFS(예산_원본!$T$5:$T$3004,O250,예산_원본!$B$5:$B$3004,설정!$C$8,예산_원본!$U$5:$U$3004,L250)&gt;0,"Y","N"))</f>
        <v/>
      </c>
      <c r="Q250" s="63">
        <f>IF($A250="","",IF(COUNTIF(집계!$E$7:$E$506,O250)&gt;0,"Y","N"))</f>
        <v/>
      </c>
    </row>
    <row r="251">
      <c r="A251" s="60" t="n">
        <v>2025</v>
      </c>
      <c r="B251" s="60" t="n">
        <v>4</v>
      </c>
      <c r="C251" s="60" t="inlineStr">
        <is>
          <t>1000</t>
        </is>
      </c>
      <c r="D251" s="60" t="n">
        <v>1201</v>
      </c>
      <c r="E251" s="60" t="inlineStr">
        <is>
          <t>재무회계</t>
        </is>
      </c>
      <c r="F251" s="60" t="n">
        <v>62501000</v>
      </c>
      <c r="G251" s="60" t="inlineStr">
        <is>
          <t>회의비</t>
        </is>
      </c>
      <c r="H251" s="61" t="n">
        <v>413720</v>
      </c>
      <c r="J251" s="63">
        <f>IF($A251="","",IFERROR(INDEX(부서매핑!$C$5:$C$504,MATCH($D251&amp;"",부서매핑!$A$5:$A$504,0)),"미매핑"))</f>
        <v/>
      </c>
      <c r="K251" s="63">
        <f>IF($A251="","",IFERROR(INDEX(계정매핑!$C$5:$C$504,MATCH($F251&amp;"",계정매핑!$A$5:$A$504,0)),"미매핑"))</f>
        <v/>
      </c>
      <c r="L251" s="4">
        <f>IF($A251="","",VALUE($A251&amp;""))</f>
        <v/>
      </c>
      <c r="M251" s="4">
        <f>IF($A251="","",VALUE($B251&amp;""))</f>
        <v/>
      </c>
      <c r="N251" s="64">
        <f>IF($A251="","",$H251*설정!$C$15)</f>
        <v/>
      </c>
      <c r="O251" s="4">
        <f>IF($A251="","",J251&amp;"|"&amp;K251)</f>
        <v/>
      </c>
      <c r="P251" s="63">
        <f>IF($A251="","",IF(COUNTIFS(예산_원본!$T$5:$T$3004,O251,예산_원본!$B$5:$B$3004,설정!$C$8,예산_원본!$U$5:$U$3004,L251)&gt;0,"Y","N"))</f>
        <v/>
      </c>
      <c r="Q251" s="63">
        <f>IF($A251="","",IF(COUNTIF(집계!$E$7:$E$506,O251)&gt;0,"Y","N"))</f>
        <v/>
      </c>
    </row>
    <row r="252">
      <c r="A252" s="60" t="n">
        <v>2025</v>
      </c>
      <c r="B252" s="60" t="n">
        <v>4</v>
      </c>
      <c r="C252" s="60" t="inlineStr">
        <is>
          <t>1000</t>
        </is>
      </c>
      <c r="D252" s="60" t="n">
        <v>1201</v>
      </c>
      <c r="E252" s="60" t="inlineStr">
        <is>
          <t>재무회계</t>
        </is>
      </c>
      <c r="F252" s="60" t="n">
        <v>62901000</v>
      </c>
      <c r="G252" s="60" t="inlineStr">
        <is>
          <t>지급수수료-컨설팅</t>
        </is>
      </c>
      <c r="H252" s="61" t="n">
        <v>22118120</v>
      </c>
      <c r="J252" s="63">
        <f>IF($A252="","",IFERROR(INDEX(부서매핑!$C$5:$C$504,MATCH($D252&amp;"",부서매핑!$A$5:$A$504,0)),"미매핑"))</f>
        <v/>
      </c>
      <c r="K252" s="63">
        <f>IF($A252="","",IFERROR(INDEX(계정매핑!$C$5:$C$504,MATCH($F252&amp;"",계정매핑!$A$5:$A$504,0)),"미매핑"))</f>
        <v/>
      </c>
      <c r="L252" s="4">
        <f>IF($A252="","",VALUE($A252&amp;""))</f>
        <v/>
      </c>
      <c r="M252" s="4">
        <f>IF($A252="","",VALUE($B252&amp;""))</f>
        <v/>
      </c>
      <c r="N252" s="64">
        <f>IF($A252="","",$H252*설정!$C$15)</f>
        <v/>
      </c>
      <c r="O252" s="4">
        <f>IF($A252="","",J252&amp;"|"&amp;K252)</f>
        <v/>
      </c>
      <c r="P252" s="63">
        <f>IF($A252="","",IF(COUNTIFS(예산_원본!$T$5:$T$3004,O252,예산_원본!$B$5:$B$3004,설정!$C$8,예산_원본!$U$5:$U$3004,L252)&gt;0,"Y","N"))</f>
        <v/>
      </c>
      <c r="Q252" s="63">
        <f>IF($A252="","",IF(COUNTIF(집계!$E$7:$E$506,O252)&gt;0,"Y","N"))</f>
        <v/>
      </c>
    </row>
    <row r="253">
      <c r="A253" s="60" t="n">
        <v>2025</v>
      </c>
      <c r="B253" s="60" t="n">
        <v>4</v>
      </c>
      <c r="C253" s="60" t="inlineStr">
        <is>
          <t>1000</t>
        </is>
      </c>
      <c r="D253" s="60" t="n">
        <v>1201</v>
      </c>
      <c r="E253" s="60" t="inlineStr">
        <is>
          <t>재무회계</t>
        </is>
      </c>
      <c r="F253" s="60" t="n">
        <v>62902000</v>
      </c>
      <c r="G253" s="60" t="inlineStr">
        <is>
          <t>지급수수료-기타</t>
        </is>
      </c>
      <c r="H253" s="61" t="n">
        <v>11050320</v>
      </c>
      <c r="J253" s="63">
        <f>IF($A253="","",IFERROR(INDEX(부서매핑!$C$5:$C$504,MATCH($D253&amp;"",부서매핑!$A$5:$A$504,0)),"미매핑"))</f>
        <v/>
      </c>
      <c r="K253" s="63">
        <f>IF($A253="","",IFERROR(INDEX(계정매핑!$C$5:$C$504,MATCH($F253&amp;"",계정매핑!$A$5:$A$504,0)),"미매핑"))</f>
        <v/>
      </c>
      <c r="L253" s="4">
        <f>IF($A253="","",VALUE($A253&amp;""))</f>
        <v/>
      </c>
      <c r="M253" s="4">
        <f>IF($A253="","",VALUE($B253&amp;""))</f>
        <v/>
      </c>
      <c r="N253" s="64">
        <f>IF($A253="","",$H253*설정!$C$15)</f>
        <v/>
      </c>
      <c r="O253" s="4">
        <f>IF($A253="","",J253&amp;"|"&amp;K253)</f>
        <v/>
      </c>
      <c r="P253" s="63">
        <f>IF($A253="","",IF(COUNTIFS(예산_원본!$T$5:$T$3004,O253,예산_원본!$B$5:$B$3004,설정!$C$8,예산_원본!$U$5:$U$3004,L253)&gt;0,"Y","N"))</f>
        <v/>
      </c>
      <c r="Q253" s="63">
        <f>IF($A253="","",IF(COUNTIF(집계!$E$7:$E$506,O253)&gt;0,"Y","N"))</f>
        <v/>
      </c>
    </row>
    <row r="254">
      <c r="A254" s="60" t="n">
        <v>2025</v>
      </c>
      <c r="B254" s="60" t="n">
        <v>4</v>
      </c>
      <c r="C254" s="60" t="inlineStr">
        <is>
          <t>1000</t>
        </is>
      </c>
      <c r="D254" s="60" t="n">
        <v>1301</v>
      </c>
      <c r="E254" s="60" t="inlineStr">
        <is>
          <t>인사</t>
        </is>
      </c>
      <c r="F254" s="60" t="n">
        <v>62101000</v>
      </c>
      <c r="G254" s="60" t="inlineStr">
        <is>
          <t>여비교통비-국내</t>
        </is>
      </c>
      <c r="H254" s="61" t="n">
        <v>1602520</v>
      </c>
      <c r="J254" s="63">
        <f>IF($A254="","",IFERROR(INDEX(부서매핑!$C$5:$C$504,MATCH($D254&amp;"",부서매핑!$A$5:$A$504,0)),"미매핑"))</f>
        <v/>
      </c>
      <c r="K254" s="63">
        <f>IF($A254="","",IFERROR(INDEX(계정매핑!$C$5:$C$504,MATCH($F254&amp;"",계정매핑!$A$5:$A$504,0)),"미매핑"))</f>
        <v/>
      </c>
      <c r="L254" s="4">
        <f>IF($A254="","",VALUE($A254&amp;""))</f>
        <v/>
      </c>
      <c r="M254" s="4">
        <f>IF($A254="","",VALUE($B254&amp;""))</f>
        <v/>
      </c>
      <c r="N254" s="64">
        <f>IF($A254="","",$H254*설정!$C$15)</f>
        <v/>
      </c>
      <c r="O254" s="4">
        <f>IF($A254="","",J254&amp;"|"&amp;K254)</f>
        <v/>
      </c>
      <c r="P254" s="63">
        <f>IF($A254="","",IF(COUNTIFS(예산_원본!$T$5:$T$3004,O254,예산_원본!$B$5:$B$3004,설정!$C$8,예산_원본!$U$5:$U$3004,L254)&gt;0,"Y","N"))</f>
        <v/>
      </c>
      <c r="Q254" s="63">
        <f>IF($A254="","",IF(COUNTIF(집계!$E$7:$E$506,O254)&gt;0,"Y","N"))</f>
        <v/>
      </c>
    </row>
    <row r="255">
      <c r="A255" s="60" t="n">
        <v>2025</v>
      </c>
      <c r="B255" s="60" t="n">
        <v>4</v>
      </c>
      <c r="C255" s="60" t="inlineStr">
        <is>
          <t>1000</t>
        </is>
      </c>
      <c r="D255" s="60" t="n">
        <v>1301</v>
      </c>
      <c r="E255" s="60" t="inlineStr">
        <is>
          <t>인사</t>
        </is>
      </c>
      <c r="F255" s="60" t="n">
        <v>62102000</v>
      </c>
      <c r="G255" s="60" t="inlineStr">
        <is>
          <t>여비교통비-해외</t>
        </is>
      </c>
      <c r="H255" s="61" t="n">
        <v>246490</v>
      </c>
      <c r="J255" s="63">
        <f>IF($A255="","",IFERROR(INDEX(부서매핑!$C$5:$C$504,MATCH($D255&amp;"",부서매핑!$A$5:$A$504,0)),"미매핑"))</f>
        <v/>
      </c>
      <c r="K255" s="63">
        <f>IF($A255="","",IFERROR(INDEX(계정매핑!$C$5:$C$504,MATCH($F255&amp;"",계정매핑!$A$5:$A$504,0)),"미매핑"))</f>
        <v/>
      </c>
      <c r="L255" s="4">
        <f>IF($A255="","",VALUE($A255&amp;""))</f>
        <v/>
      </c>
      <c r="M255" s="4">
        <f>IF($A255="","",VALUE($B255&amp;""))</f>
        <v/>
      </c>
      <c r="N255" s="64">
        <f>IF($A255="","",$H255*설정!$C$15)</f>
        <v/>
      </c>
      <c r="O255" s="4">
        <f>IF($A255="","",J255&amp;"|"&amp;K255)</f>
        <v/>
      </c>
      <c r="P255" s="63">
        <f>IF($A255="","",IF(COUNTIFS(예산_원본!$T$5:$T$3004,O255,예산_원본!$B$5:$B$3004,설정!$C$8,예산_원본!$U$5:$U$3004,L255)&gt;0,"Y","N"))</f>
        <v/>
      </c>
      <c r="Q255" s="63">
        <f>IF($A255="","",IF(COUNTIF(집계!$E$7:$E$506,O255)&gt;0,"Y","N"))</f>
        <v/>
      </c>
    </row>
    <row r="256">
      <c r="A256" s="60" t="n">
        <v>2025</v>
      </c>
      <c r="B256" s="60" t="n">
        <v>4</v>
      </c>
      <c r="C256" s="60" t="inlineStr">
        <is>
          <t>1000</t>
        </is>
      </c>
      <c r="D256" s="60" t="n">
        <v>1301</v>
      </c>
      <c r="E256" s="60" t="inlineStr">
        <is>
          <t>인사</t>
        </is>
      </c>
      <c r="F256" s="60" t="n">
        <v>62201000</v>
      </c>
      <c r="G256" s="60" t="inlineStr">
        <is>
          <t>통신비</t>
        </is>
      </c>
      <c r="H256" s="61" t="n">
        <v>730590</v>
      </c>
      <c r="J256" s="63">
        <f>IF($A256="","",IFERROR(INDEX(부서매핑!$C$5:$C$504,MATCH($D256&amp;"",부서매핑!$A$5:$A$504,0)),"미매핑"))</f>
        <v/>
      </c>
      <c r="K256" s="63">
        <f>IF($A256="","",IFERROR(INDEX(계정매핑!$C$5:$C$504,MATCH($F256&amp;"",계정매핑!$A$5:$A$504,0)),"미매핑"))</f>
        <v/>
      </c>
      <c r="L256" s="4">
        <f>IF($A256="","",VALUE($A256&amp;""))</f>
        <v/>
      </c>
      <c r="M256" s="4">
        <f>IF($A256="","",VALUE($B256&amp;""))</f>
        <v/>
      </c>
      <c r="N256" s="64">
        <f>IF($A256="","",$H256*설정!$C$15)</f>
        <v/>
      </c>
      <c r="O256" s="4">
        <f>IF($A256="","",J256&amp;"|"&amp;K256)</f>
        <v/>
      </c>
      <c r="P256" s="63">
        <f>IF($A256="","",IF(COUNTIFS(예산_원본!$T$5:$T$3004,O256,예산_원본!$B$5:$B$3004,설정!$C$8,예산_원본!$U$5:$U$3004,L256)&gt;0,"Y","N"))</f>
        <v/>
      </c>
      <c r="Q256" s="63">
        <f>IF($A256="","",IF(COUNTIF(집계!$E$7:$E$506,O256)&gt;0,"Y","N"))</f>
        <v/>
      </c>
    </row>
    <row r="257">
      <c r="A257" s="60" t="n">
        <v>2025</v>
      </c>
      <c r="B257" s="60" t="n">
        <v>4</v>
      </c>
      <c r="C257" s="60" t="inlineStr">
        <is>
          <t>1000</t>
        </is>
      </c>
      <c r="D257" s="60" t="n">
        <v>1301</v>
      </c>
      <c r="E257" s="60" t="inlineStr">
        <is>
          <t>인사</t>
        </is>
      </c>
      <c r="F257" s="60" t="n">
        <v>62301000</v>
      </c>
      <c r="G257" s="60" t="inlineStr">
        <is>
          <t>소모품비</t>
        </is>
      </c>
      <c r="H257" s="61" t="n">
        <v>706950</v>
      </c>
      <c r="J257" s="63">
        <f>IF($A257="","",IFERROR(INDEX(부서매핑!$C$5:$C$504,MATCH($D257&amp;"",부서매핑!$A$5:$A$504,0)),"미매핑"))</f>
        <v/>
      </c>
      <c r="K257" s="63">
        <f>IF($A257="","",IFERROR(INDEX(계정매핑!$C$5:$C$504,MATCH($F257&amp;"",계정매핑!$A$5:$A$504,0)),"미매핑"))</f>
        <v/>
      </c>
      <c r="L257" s="4">
        <f>IF($A257="","",VALUE($A257&amp;""))</f>
        <v/>
      </c>
      <c r="M257" s="4">
        <f>IF($A257="","",VALUE($B257&amp;""))</f>
        <v/>
      </c>
      <c r="N257" s="64">
        <f>IF($A257="","",$H257*설정!$C$15)</f>
        <v/>
      </c>
      <c r="O257" s="4">
        <f>IF($A257="","",J257&amp;"|"&amp;K257)</f>
        <v/>
      </c>
      <c r="P257" s="63">
        <f>IF($A257="","",IF(COUNTIFS(예산_원본!$T$5:$T$3004,O257,예산_원본!$B$5:$B$3004,설정!$C$8,예산_원본!$U$5:$U$3004,L257)&gt;0,"Y","N"))</f>
        <v/>
      </c>
      <c r="Q257" s="63">
        <f>IF($A257="","",IF(COUNTIF(집계!$E$7:$E$506,O257)&gt;0,"Y","N"))</f>
        <v/>
      </c>
    </row>
    <row r="258">
      <c r="A258" s="60" t="n">
        <v>2025</v>
      </c>
      <c r="B258" s="60" t="n">
        <v>4</v>
      </c>
      <c r="C258" s="60" t="inlineStr">
        <is>
          <t>1000</t>
        </is>
      </c>
      <c r="D258" s="60" t="n">
        <v>1301</v>
      </c>
      <c r="E258" s="60" t="inlineStr">
        <is>
          <t>인사</t>
        </is>
      </c>
      <c r="F258" s="60" t="n">
        <v>62501000</v>
      </c>
      <c r="G258" s="60" t="inlineStr">
        <is>
          <t>회의비</t>
        </is>
      </c>
      <c r="H258" s="61" t="n">
        <v>729010</v>
      </c>
      <c r="J258" s="63">
        <f>IF($A258="","",IFERROR(INDEX(부서매핑!$C$5:$C$504,MATCH($D258&amp;"",부서매핑!$A$5:$A$504,0)),"미매핑"))</f>
        <v/>
      </c>
      <c r="K258" s="63">
        <f>IF($A258="","",IFERROR(INDEX(계정매핑!$C$5:$C$504,MATCH($F258&amp;"",계정매핑!$A$5:$A$504,0)),"미매핑"))</f>
        <v/>
      </c>
      <c r="L258" s="4">
        <f>IF($A258="","",VALUE($A258&amp;""))</f>
        <v/>
      </c>
      <c r="M258" s="4">
        <f>IF($A258="","",VALUE($B258&amp;""))</f>
        <v/>
      </c>
      <c r="N258" s="64">
        <f>IF($A258="","",$H258*설정!$C$15)</f>
        <v/>
      </c>
      <c r="O258" s="4">
        <f>IF($A258="","",J258&amp;"|"&amp;K258)</f>
        <v/>
      </c>
      <c r="P258" s="63">
        <f>IF($A258="","",IF(COUNTIFS(예산_원본!$T$5:$T$3004,O258,예산_원본!$B$5:$B$3004,설정!$C$8,예산_원본!$U$5:$U$3004,L258)&gt;0,"Y","N"))</f>
        <v/>
      </c>
      <c r="Q258" s="63">
        <f>IF($A258="","",IF(COUNTIF(집계!$E$7:$E$506,O258)&gt;0,"Y","N"))</f>
        <v/>
      </c>
    </row>
    <row r="259">
      <c r="A259" s="60" t="n">
        <v>2025</v>
      </c>
      <c r="B259" s="60" t="n">
        <v>4</v>
      </c>
      <c r="C259" s="60" t="inlineStr">
        <is>
          <t>1000</t>
        </is>
      </c>
      <c r="D259" s="60" t="n">
        <v>1301</v>
      </c>
      <c r="E259" s="60" t="inlineStr">
        <is>
          <t>인사</t>
        </is>
      </c>
      <c r="F259" s="60" t="n">
        <v>62601000</v>
      </c>
      <c r="G259" s="60" t="inlineStr">
        <is>
          <t>업무추진비</t>
        </is>
      </c>
      <c r="H259" s="61" t="n">
        <v>2091220</v>
      </c>
      <c r="J259" s="63">
        <f>IF($A259="","",IFERROR(INDEX(부서매핑!$C$5:$C$504,MATCH($D259&amp;"",부서매핑!$A$5:$A$504,0)),"미매핑"))</f>
        <v/>
      </c>
      <c r="K259" s="63">
        <f>IF($A259="","",IFERROR(INDEX(계정매핑!$C$5:$C$504,MATCH($F259&amp;"",계정매핑!$A$5:$A$504,0)),"미매핑"))</f>
        <v/>
      </c>
      <c r="L259" s="4">
        <f>IF($A259="","",VALUE($A259&amp;""))</f>
        <v/>
      </c>
      <c r="M259" s="4">
        <f>IF($A259="","",VALUE($B259&amp;""))</f>
        <v/>
      </c>
      <c r="N259" s="64">
        <f>IF($A259="","",$H259*설정!$C$15)</f>
        <v/>
      </c>
      <c r="O259" s="4">
        <f>IF($A259="","",J259&amp;"|"&amp;K259)</f>
        <v/>
      </c>
      <c r="P259" s="63">
        <f>IF($A259="","",IF(COUNTIFS(예산_원본!$T$5:$T$3004,O259,예산_원본!$B$5:$B$3004,설정!$C$8,예산_원본!$U$5:$U$3004,L259)&gt;0,"Y","N"))</f>
        <v/>
      </c>
      <c r="Q259" s="63">
        <f>IF($A259="","",IF(COUNTIF(집계!$E$7:$E$506,O259)&gt;0,"Y","N"))</f>
        <v/>
      </c>
    </row>
    <row r="260">
      <c r="A260" s="60" t="n">
        <v>2025</v>
      </c>
      <c r="B260" s="60" t="n">
        <v>4</v>
      </c>
      <c r="C260" s="60" t="inlineStr">
        <is>
          <t>1000</t>
        </is>
      </c>
      <c r="D260" s="60" t="n">
        <v>1301</v>
      </c>
      <c r="E260" s="60" t="inlineStr">
        <is>
          <t>인사</t>
        </is>
      </c>
      <c r="F260" s="60" t="n">
        <v>62801000</v>
      </c>
      <c r="G260" s="60" t="inlineStr">
        <is>
          <t>교육훈련비-사내</t>
        </is>
      </c>
      <c r="H260" s="61" t="n">
        <v>14965530</v>
      </c>
      <c r="J260" s="63">
        <f>IF($A260="","",IFERROR(INDEX(부서매핑!$C$5:$C$504,MATCH($D260&amp;"",부서매핑!$A$5:$A$504,0)),"미매핑"))</f>
        <v/>
      </c>
      <c r="K260" s="63">
        <f>IF($A260="","",IFERROR(INDEX(계정매핑!$C$5:$C$504,MATCH($F260&amp;"",계정매핑!$A$5:$A$504,0)),"미매핑"))</f>
        <v/>
      </c>
      <c r="L260" s="4">
        <f>IF($A260="","",VALUE($A260&amp;""))</f>
        <v/>
      </c>
      <c r="M260" s="4">
        <f>IF($A260="","",VALUE($B260&amp;""))</f>
        <v/>
      </c>
      <c r="N260" s="64">
        <f>IF($A260="","",$H260*설정!$C$15)</f>
        <v/>
      </c>
      <c r="O260" s="4">
        <f>IF($A260="","",J260&amp;"|"&amp;K260)</f>
        <v/>
      </c>
      <c r="P260" s="63">
        <f>IF($A260="","",IF(COUNTIFS(예산_원본!$T$5:$T$3004,O260,예산_원본!$B$5:$B$3004,설정!$C$8,예산_원본!$U$5:$U$3004,L260)&gt;0,"Y","N"))</f>
        <v/>
      </c>
      <c r="Q260" s="63">
        <f>IF($A260="","",IF(COUNTIF(집계!$E$7:$E$506,O260)&gt;0,"Y","N"))</f>
        <v/>
      </c>
    </row>
    <row r="261">
      <c r="A261" s="60" t="n">
        <v>2025</v>
      </c>
      <c r="B261" s="60" t="n">
        <v>4</v>
      </c>
      <c r="C261" s="60" t="inlineStr">
        <is>
          <t>1000</t>
        </is>
      </c>
      <c r="D261" s="60" t="n">
        <v>1301</v>
      </c>
      <c r="E261" s="60" t="inlineStr">
        <is>
          <t>인사</t>
        </is>
      </c>
      <c r="F261" s="60" t="n">
        <v>62802000</v>
      </c>
      <c r="G261" s="60" t="inlineStr">
        <is>
          <t>교육훈련비-외부위탁</t>
        </is>
      </c>
      <c r="H261" s="61" t="n">
        <v>23397230</v>
      </c>
      <c r="J261" s="63">
        <f>IF($A261="","",IFERROR(INDEX(부서매핑!$C$5:$C$504,MATCH($D261&amp;"",부서매핑!$A$5:$A$504,0)),"미매핑"))</f>
        <v/>
      </c>
      <c r="K261" s="63">
        <f>IF($A261="","",IFERROR(INDEX(계정매핑!$C$5:$C$504,MATCH($F261&amp;"",계정매핑!$A$5:$A$504,0)),"미매핑"))</f>
        <v/>
      </c>
      <c r="L261" s="4">
        <f>IF($A261="","",VALUE($A261&amp;""))</f>
        <v/>
      </c>
      <c r="M261" s="4">
        <f>IF($A261="","",VALUE($B261&amp;""))</f>
        <v/>
      </c>
      <c r="N261" s="64">
        <f>IF($A261="","",$H261*설정!$C$15)</f>
        <v/>
      </c>
      <c r="O261" s="4">
        <f>IF($A261="","",J261&amp;"|"&amp;K261)</f>
        <v/>
      </c>
      <c r="P261" s="63">
        <f>IF($A261="","",IF(COUNTIFS(예산_원본!$T$5:$T$3004,O261,예산_원본!$B$5:$B$3004,설정!$C$8,예산_원본!$U$5:$U$3004,L261)&gt;0,"Y","N"))</f>
        <v/>
      </c>
      <c r="Q261" s="63">
        <f>IF($A261="","",IF(COUNTIF(집계!$E$7:$E$506,O261)&gt;0,"Y","N"))</f>
        <v/>
      </c>
    </row>
    <row r="262">
      <c r="A262" s="60" t="n">
        <v>2025</v>
      </c>
      <c r="B262" s="60" t="n">
        <v>4</v>
      </c>
      <c r="C262" s="60" t="inlineStr">
        <is>
          <t>1000</t>
        </is>
      </c>
      <c r="D262" s="60" t="n">
        <v>1401</v>
      </c>
      <c r="E262" s="60" t="inlineStr">
        <is>
          <t>상품개발</t>
        </is>
      </c>
      <c r="F262" s="60" t="n">
        <v>62101000</v>
      </c>
      <c r="G262" s="60" t="inlineStr">
        <is>
          <t>여비교통비-국내</t>
        </is>
      </c>
      <c r="H262" s="61" t="n">
        <v>1805440</v>
      </c>
      <c r="J262" s="63">
        <f>IF($A262="","",IFERROR(INDEX(부서매핑!$C$5:$C$504,MATCH($D262&amp;"",부서매핑!$A$5:$A$504,0)),"미매핑"))</f>
        <v/>
      </c>
      <c r="K262" s="63">
        <f>IF($A262="","",IFERROR(INDEX(계정매핑!$C$5:$C$504,MATCH($F262&amp;"",계정매핑!$A$5:$A$504,0)),"미매핑"))</f>
        <v/>
      </c>
      <c r="L262" s="4">
        <f>IF($A262="","",VALUE($A262&amp;""))</f>
        <v/>
      </c>
      <c r="M262" s="4">
        <f>IF($A262="","",VALUE($B262&amp;""))</f>
        <v/>
      </c>
      <c r="N262" s="64">
        <f>IF($A262="","",$H262*설정!$C$15)</f>
        <v/>
      </c>
      <c r="O262" s="4">
        <f>IF($A262="","",J262&amp;"|"&amp;K262)</f>
        <v/>
      </c>
      <c r="P262" s="63">
        <f>IF($A262="","",IF(COUNTIFS(예산_원본!$T$5:$T$3004,O262,예산_원본!$B$5:$B$3004,설정!$C$8,예산_원본!$U$5:$U$3004,L262)&gt;0,"Y","N"))</f>
        <v/>
      </c>
      <c r="Q262" s="63">
        <f>IF($A262="","",IF(COUNTIF(집계!$E$7:$E$506,O262)&gt;0,"Y","N"))</f>
        <v/>
      </c>
    </row>
    <row r="263">
      <c r="A263" s="60" t="n">
        <v>2025</v>
      </c>
      <c r="B263" s="60" t="n">
        <v>4</v>
      </c>
      <c r="C263" s="60" t="inlineStr">
        <is>
          <t>1000</t>
        </is>
      </c>
      <c r="D263" s="60" t="n">
        <v>1401</v>
      </c>
      <c r="E263" s="60" t="inlineStr">
        <is>
          <t>상품개발</t>
        </is>
      </c>
      <c r="F263" s="60" t="n">
        <v>62102000</v>
      </c>
      <c r="G263" s="60" t="inlineStr">
        <is>
          <t>여비교통비-해외</t>
        </is>
      </c>
      <c r="H263" s="61" t="n">
        <v>303730</v>
      </c>
      <c r="J263" s="63">
        <f>IF($A263="","",IFERROR(INDEX(부서매핑!$C$5:$C$504,MATCH($D263&amp;"",부서매핑!$A$5:$A$504,0)),"미매핑"))</f>
        <v/>
      </c>
      <c r="K263" s="63">
        <f>IF($A263="","",IFERROR(INDEX(계정매핑!$C$5:$C$504,MATCH($F263&amp;"",계정매핑!$A$5:$A$504,0)),"미매핑"))</f>
        <v/>
      </c>
      <c r="L263" s="4">
        <f>IF($A263="","",VALUE($A263&amp;""))</f>
        <v/>
      </c>
      <c r="M263" s="4">
        <f>IF($A263="","",VALUE($B263&amp;""))</f>
        <v/>
      </c>
      <c r="N263" s="64">
        <f>IF($A263="","",$H263*설정!$C$15)</f>
        <v/>
      </c>
      <c r="O263" s="4">
        <f>IF($A263="","",J263&amp;"|"&amp;K263)</f>
        <v/>
      </c>
      <c r="P263" s="63">
        <f>IF($A263="","",IF(COUNTIFS(예산_원본!$T$5:$T$3004,O263,예산_원본!$B$5:$B$3004,설정!$C$8,예산_원본!$U$5:$U$3004,L263)&gt;0,"Y","N"))</f>
        <v/>
      </c>
      <c r="Q263" s="63">
        <f>IF($A263="","",IF(COUNTIF(집계!$E$7:$E$506,O263)&gt;0,"Y","N"))</f>
        <v/>
      </c>
    </row>
    <row r="264">
      <c r="A264" s="60" t="n">
        <v>2025</v>
      </c>
      <c r="B264" s="60" t="n">
        <v>4</v>
      </c>
      <c r="C264" s="60" t="inlineStr">
        <is>
          <t>1000</t>
        </is>
      </c>
      <c r="D264" s="60" t="n">
        <v>1401</v>
      </c>
      <c r="E264" s="60" t="inlineStr">
        <is>
          <t>상품개발</t>
        </is>
      </c>
      <c r="F264" s="60" t="n">
        <v>62201000</v>
      </c>
      <c r="G264" s="60" t="inlineStr">
        <is>
          <t>통신비</t>
        </is>
      </c>
      <c r="H264" s="61" t="n">
        <v>533490</v>
      </c>
      <c r="J264" s="63">
        <f>IF($A264="","",IFERROR(INDEX(부서매핑!$C$5:$C$504,MATCH($D264&amp;"",부서매핑!$A$5:$A$504,0)),"미매핑"))</f>
        <v/>
      </c>
      <c r="K264" s="63">
        <f>IF($A264="","",IFERROR(INDEX(계정매핑!$C$5:$C$504,MATCH($F264&amp;"",계정매핑!$A$5:$A$504,0)),"미매핑"))</f>
        <v/>
      </c>
      <c r="L264" s="4">
        <f>IF($A264="","",VALUE($A264&amp;""))</f>
        <v/>
      </c>
      <c r="M264" s="4">
        <f>IF($A264="","",VALUE($B264&amp;""))</f>
        <v/>
      </c>
      <c r="N264" s="64">
        <f>IF($A264="","",$H264*설정!$C$15)</f>
        <v/>
      </c>
      <c r="O264" s="4">
        <f>IF($A264="","",J264&amp;"|"&amp;K264)</f>
        <v/>
      </c>
      <c r="P264" s="63">
        <f>IF($A264="","",IF(COUNTIFS(예산_원본!$T$5:$T$3004,O264,예산_원본!$B$5:$B$3004,설정!$C$8,예산_원본!$U$5:$U$3004,L264)&gt;0,"Y","N"))</f>
        <v/>
      </c>
      <c r="Q264" s="63">
        <f>IF($A264="","",IF(COUNTIF(집계!$E$7:$E$506,O264)&gt;0,"Y","N"))</f>
        <v/>
      </c>
    </row>
    <row r="265">
      <c r="A265" s="60" t="n">
        <v>2025</v>
      </c>
      <c r="B265" s="60" t="n">
        <v>4</v>
      </c>
      <c r="C265" s="60" t="inlineStr">
        <is>
          <t>1000</t>
        </is>
      </c>
      <c r="D265" s="60" t="n">
        <v>1401</v>
      </c>
      <c r="E265" s="60" t="inlineStr">
        <is>
          <t>상품개발</t>
        </is>
      </c>
      <c r="F265" s="60" t="n">
        <v>62301000</v>
      </c>
      <c r="G265" s="60" t="inlineStr">
        <is>
          <t>소모품비</t>
        </is>
      </c>
      <c r="H265" s="61" t="n">
        <v>326310</v>
      </c>
      <c r="J265" s="63">
        <f>IF($A265="","",IFERROR(INDEX(부서매핑!$C$5:$C$504,MATCH($D265&amp;"",부서매핑!$A$5:$A$504,0)),"미매핑"))</f>
        <v/>
      </c>
      <c r="K265" s="63">
        <f>IF($A265="","",IFERROR(INDEX(계정매핑!$C$5:$C$504,MATCH($F265&amp;"",계정매핑!$A$5:$A$504,0)),"미매핑"))</f>
        <v/>
      </c>
      <c r="L265" s="4">
        <f>IF($A265="","",VALUE($A265&amp;""))</f>
        <v/>
      </c>
      <c r="M265" s="4">
        <f>IF($A265="","",VALUE($B265&amp;""))</f>
        <v/>
      </c>
      <c r="N265" s="64">
        <f>IF($A265="","",$H265*설정!$C$15)</f>
        <v/>
      </c>
      <c r="O265" s="4">
        <f>IF($A265="","",J265&amp;"|"&amp;K265)</f>
        <v/>
      </c>
      <c r="P265" s="63">
        <f>IF($A265="","",IF(COUNTIFS(예산_원본!$T$5:$T$3004,O265,예산_원본!$B$5:$B$3004,설정!$C$8,예산_원본!$U$5:$U$3004,L265)&gt;0,"Y","N"))</f>
        <v/>
      </c>
      <c r="Q265" s="63">
        <f>IF($A265="","",IF(COUNTIF(집계!$E$7:$E$506,O265)&gt;0,"Y","N"))</f>
        <v/>
      </c>
    </row>
    <row r="266">
      <c r="A266" s="60" t="n">
        <v>2025</v>
      </c>
      <c r="B266" s="60" t="n">
        <v>4</v>
      </c>
      <c r="C266" s="60" t="inlineStr">
        <is>
          <t>1000</t>
        </is>
      </c>
      <c r="D266" s="60" t="n">
        <v>1401</v>
      </c>
      <c r="E266" s="60" t="inlineStr">
        <is>
          <t>상품개발</t>
        </is>
      </c>
      <c r="F266" s="60" t="n">
        <v>62401000</v>
      </c>
      <c r="G266" s="60" t="inlineStr">
        <is>
          <t>도서인쇄비</t>
        </is>
      </c>
      <c r="H266" s="61" t="n">
        <v>857150</v>
      </c>
      <c r="J266" s="63">
        <f>IF($A266="","",IFERROR(INDEX(부서매핑!$C$5:$C$504,MATCH($D266&amp;"",부서매핑!$A$5:$A$504,0)),"미매핑"))</f>
        <v/>
      </c>
      <c r="K266" s="63">
        <f>IF($A266="","",IFERROR(INDEX(계정매핑!$C$5:$C$504,MATCH($F266&amp;"",계정매핑!$A$5:$A$504,0)),"미매핑"))</f>
        <v/>
      </c>
      <c r="L266" s="4">
        <f>IF($A266="","",VALUE($A266&amp;""))</f>
        <v/>
      </c>
      <c r="M266" s="4">
        <f>IF($A266="","",VALUE($B266&amp;""))</f>
        <v/>
      </c>
      <c r="N266" s="64">
        <f>IF($A266="","",$H266*설정!$C$15)</f>
        <v/>
      </c>
      <c r="O266" s="4">
        <f>IF($A266="","",J266&amp;"|"&amp;K266)</f>
        <v/>
      </c>
      <c r="P266" s="63">
        <f>IF($A266="","",IF(COUNTIFS(예산_원본!$T$5:$T$3004,O266,예산_원본!$B$5:$B$3004,설정!$C$8,예산_원본!$U$5:$U$3004,L266)&gt;0,"Y","N"))</f>
        <v/>
      </c>
      <c r="Q266" s="63">
        <f>IF($A266="","",IF(COUNTIF(집계!$E$7:$E$506,O266)&gt;0,"Y","N"))</f>
        <v/>
      </c>
    </row>
    <row r="267">
      <c r="A267" s="60" t="n">
        <v>2025</v>
      </c>
      <c r="B267" s="60" t="n">
        <v>4</v>
      </c>
      <c r="C267" s="60" t="inlineStr">
        <is>
          <t>1000</t>
        </is>
      </c>
      <c r="D267" s="60" t="n">
        <v>1401</v>
      </c>
      <c r="E267" s="60" t="inlineStr">
        <is>
          <t>상품개발</t>
        </is>
      </c>
      <c r="F267" s="60" t="n">
        <v>62501000</v>
      </c>
      <c r="G267" s="60" t="inlineStr">
        <is>
          <t>회의비</t>
        </is>
      </c>
      <c r="H267" s="61" t="n">
        <v>471970</v>
      </c>
      <c r="J267" s="63">
        <f>IF($A267="","",IFERROR(INDEX(부서매핑!$C$5:$C$504,MATCH($D267&amp;"",부서매핑!$A$5:$A$504,0)),"미매핑"))</f>
        <v/>
      </c>
      <c r="K267" s="63">
        <f>IF($A267="","",IFERROR(INDEX(계정매핑!$C$5:$C$504,MATCH($F267&amp;"",계정매핑!$A$5:$A$504,0)),"미매핑"))</f>
        <v/>
      </c>
      <c r="L267" s="4">
        <f>IF($A267="","",VALUE($A267&amp;""))</f>
        <v/>
      </c>
      <c r="M267" s="4">
        <f>IF($A267="","",VALUE($B267&amp;""))</f>
        <v/>
      </c>
      <c r="N267" s="64">
        <f>IF($A267="","",$H267*설정!$C$15)</f>
        <v/>
      </c>
      <c r="O267" s="4">
        <f>IF($A267="","",J267&amp;"|"&amp;K267)</f>
        <v/>
      </c>
      <c r="P267" s="63">
        <f>IF($A267="","",IF(COUNTIFS(예산_원본!$T$5:$T$3004,O267,예산_원본!$B$5:$B$3004,설정!$C$8,예산_원본!$U$5:$U$3004,L267)&gt;0,"Y","N"))</f>
        <v/>
      </c>
      <c r="Q267" s="63">
        <f>IF($A267="","",IF(COUNTIF(집계!$E$7:$E$506,O267)&gt;0,"Y","N"))</f>
        <v/>
      </c>
    </row>
    <row r="268">
      <c r="A268" s="60" t="n">
        <v>2025</v>
      </c>
      <c r="B268" s="60" t="n">
        <v>4</v>
      </c>
      <c r="C268" s="60" t="inlineStr">
        <is>
          <t>1000</t>
        </is>
      </c>
      <c r="D268" s="60" t="n">
        <v>1401</v>
      </c>
      <c r="E268" s="60" t="inlineStr">
        <is>
          <t>상품개발</t>
        </is>
      </c>
      <c r="F268" s="60" t="n">
        <v>62901000</v>
      </c>
      <c r="G268" s="60" t="inlineStr">
        <is>
          <t>지급수수료-컨설팅</t>
        </is>
      </c>
      <c r="H268" s="61" t="n">
        <v>20910790</v>
      </c>
      <c r="J268" s="63">
        <f>IF($A268="","",IFERROR(INDEX(부서매핑!$C$5:$C$504,MATCH($D268&amp;"",부서매핑!$A$5:$A$504,0)),"미매핑"))</f>
        <v/>
      </c>
      <c r="K268" s="63">
        <f>IF($A268="","",IFERROR(INDEX(계정매핑!$C$5:$C$504,MATCH($F268&amp;"",계정매핑!$A$5:$A$504,0)),"미매핑"))</f>
        <v/>
      </c>
      <c r="L268" s="4">
        <f>IF($A268="","",VALUE($A268&amp;""))</f>
        <v/>
      </c>
      <c r="M268" s="4">
        <f>IF($A268="","",VALUE($B268&amp;""))</f>
        <v/>
      </c>
      <c r="N268" s="64">
        <f>IF($A268="","",$H268*설정!$C$15)</f>
        <v/>
      </c>
      <c r="O268" s="4">
        <f>IF($A268="","",J268&amp;"|"&amp;K268)</f>
        <v/>
      </c>
      <c r="P268" s="63">
        <f>IF($A268="","",IF(COUNTIFS(예산_원본!$T$5:$T$3004,O268,예산_원본!$B$5:$B$3004,설정!$C$8,예산_원본!$U$5:$U$3004,L268)&gt;0,"Y","N"))</f>
        <v/>
      </c>
      <c r="Q268" s="63">
        <f>IF($A268="","",IF(COUNTIF(집계!$E$7:$E$506,O268)&gt;0,"Y","N"))</f>
        <v/>
      </c>
    </row>
    <row r="269">
      <c r="A269" s="60" t="n">
        <v>2025</v>
      </c>
      <c r="B269" s="60" t="n">
        <v>4</v>
      </c>
      <c r="C269" s="60" t="inlineStr">
        <is>
          <t>1000</t>
        </is>
      </c>
      <c r="D269" s="60" t="n">
        <v>1401</v>
      </c>
      <c r="E269" s="60" t="inlineStr">
        <is>
          <t>상품개발</t>
        </is>
      </c>
      <c r="F269" s="60" t="n">
        <v>62902000</v>
      </c>
      <c r="G269" s="60" t="inlineStr">
        <is>
          <t>지급수수료-기타</t>
        </is>
      </c>
      <c r="H269" s="61" t="n">
        <v>7743390</v>
      </c>
      <c r="J269" s="63">
        <f>IF($A269="","",IFERROR(INDEX(부서매핑!$C$5:$C$504,MATCH($D269&amp;"",부서매핑!$A$5:$A$504,0)),"미매핑"))</f>
        <v/>
      </c>
      <c r="K269" s="63">
        <f>IF($A269="","",IFERROR(INDEX(계정매핑!$C$5:$C$504,MATCH($F269&amp;"",계정매핑!$A$5:$A$504,0)),"미매핑"))</f>
        <v/>
      </c>
      <c r="L269" s="4">
        <f>IF($A269="","",VALUE($A269&amp;""))</f>
        <v/>
      </c>
      <c r="M269" s="4">
        <f>IF($A269="","",VALUE($B269&amp;""))</f>
        <v/>
      </c>
      <c r="N269" s="64">
        <f>IF($A269="","",$H269*설정!$C$15)</f>
        <v/>
      </c>
      <c r="O269" s="4">
        <f>IF($A269="","",J269&amp;"|"&amp;K269)</f>
        <v/>
      </c>
      <c r="P269" s="63">
        <f>IF($A269="","",IF(COUNTIFS(예산_원본!$T$5:$T$3004,O269,예산_원본!$B$5:$B$3004,설정!$C$8,예산_원본!$U$5:$U$3004,L269)&gt;0,"Y","N"))</f>
        <v/>
      </c>
      <c r="Q269" s="63">
        <f>IF($A269="","",IF(COUNTIF(집계!$E$7:$E$506,O269)&gt;0,"Y","N"))</f>
        <v/>
      </c>
    </row>
    <row r="270">
      <c r="A270" s="60" t="n">
        <v>2025</v>
      </c>
      <c r="B270" s="60" t="n">
        <v>4</v>
      </c>
      <c r="C270" s="60" t="inlineStr">
        <is>
          <t>1000</t>
        </is>
      </c>
      <c r="D270" s="60" t="n">
        <v>1501</v>
      </c>
      <c r="E270" s="60" t="inlineStr">
        <is>
          <t>마케팅전략</t>
        </is>
      </c>
      <c r="F270" s="60" t="n">
        <v>62101000</v>
      </c>
      <c r="G270" s="60" t="inlineStr">
        <is>
          <t>여비교통비-국내</t>
        </is>
      </c>
      <c r="H270" s="61" t="n">
        <v>1555530</v>
      </c>
      <c r="J270" s="63">
        <f>IF($A270="","",IFERROR(INDEX(부서매핑!$C$5:$C$504,MATCH($D270&amp;"",부서매핑!$A$5:$A$504,0)),"미매핑"))</f>
        <v/>
      </c>
      <c r="K270" s="63">
        <f>IF($A270="","",IFERROR(INDEX(계정매핑!$C$5:$C$504,MATCH($F270&amp;"",계정매핑!$A$5:$A$504,0)),"미매핑"))</f>
        <v/>
      </c>
      <c r="L270" s="4">
        <f>IF($A270="","",VALUE($A270&amp;""))</f>
        <v/>
      </c>
      <c r="M270" s="4">
        <f>IF($A270="","",VALUE($B270&amp;""))</f>
        <v/>
      </c>
      <c r="N270" s="64">
        <f>IF($A270="","",$H270*설정!$C$15)</f>
        <v/>
      </c>
      <c r="O270" s="4">
        <f>IF($A270="","",J270&amp;"|"&amp;K270)</f>
        <v/>
      </c>
      <c r="P270" s="63">
        <f>IF($A270="","",IF(COUNTIFS(예산_원본!$T$5:$T$3004,O270,예산_원본!$B$5:$B$3004,설정!$C$8,예산_원본!$U$5:$U$3004,L270)&gt;0,"Y","N"))</f>
        <v/>
      </c>
      <c r="Q270" s="63">
        <f>IF($A270="","",IF(COUNTIF(집계!$E$7:$E$506,O270)&gt;0,"Y","N"))</f>
        <v/>
      </c>
    </row>
    <row r="271">
      <c r="A271" s="60" t="n">
        <v>2025</v>
      </c>
      <c r="B271" s="60" t="n">
        <v>4</v>
      </c>
      <c r="C271" s="60" t="inlineStr">
        <is>
          <t>1000</t>
        </is>
      </c>
      <c r="D271" s="60" t="n">
        <v>1501</v>
      </c>
      <c r="E271" s="60" t="inlineStr">
        <is>
          <t>마케팅전략</t>
        </is>
      </c>
      <c r="F271" s="60" t="n">
        <v>62102000</v>
      </c>
      <c r="G271" s="60" t="inlineStr">
        <is>
          <t>여비교통비-해외</t>
        </is>
      </c>
      <c r="H271" s="61" t="n">
        <v>322710</v>
      </c>
      <c r="J271" s="63">
        <f>IF($A271="","",IFERROR(INDEX(부서매핑!$C$5:$C$504,MATCH($D271&amp;"",부서매핑!$A$5:$A$504,0)),"미매핑"))</f>
        <v/>
      </c>
      <c r="K271" s="63">
        <f>IF($A271="","",IFERROR(INDEX(계정매핑!$C$5:$C$504,MATCH($F271&amp;"",계정매핑!$A$5:$A$504,0)),"미매핑"))</f>
        <v/>
      </c>
      <c r="L271" s="4">
        <f>IF($A271="","",VALUE($A271&amp;""))</f>
        <v/>
      </c>
      <c r="M271" s="4">
        <f>IF($A271="","",VALUE($B271&amp;""))</f>
        <v/>
      </c>
      <c r="N271" s="64">
        <f>IF($A271="","",$H271*설정!$C$15)</f>
        <v/>
      </c>
      <c r="O271" s="4">
        <f>IF($A271="","",J271&amp;"|"&amp;K271)</f>
        <v/>
      </c>
      <c r="P271" s="63">
        <f>IF($A271="","",IF(COUNTIFS(예산_원본!$T$5:$T$3004,O271,예산_원본!$B$5:$B$3004,설정!$C$8,예산_원본!$U$5:$U$3004,L271)&gt;0,"Y","N"))</f>
        <v/>
      </c>
      <c r="Q271" s="63">
        <f>IF($A271="","",IF(COUNTIF(집계!$E$7:$E$506,O271)&gt;0,"Y","N"))</f>
        <v/>
      </c>
    </row>
    <row r="272">
      <c r="A272" s="60" t="n">
        <v>2025</v>
      </c>
      <c r="B272" s="60" t="n">
        <v>4</v>
      </c>
      <c r="C272" s="60" t="inlineStr">
        <is>
          <t>1000</t>
        </is>
      </c>
      <c r="D272" s="60" t="n">
        <v>1501</v>
      </c>
      <c r="E272" s="60" t="inlineStr">
        <is>
          <t>마케팅전략</t>
        </is>
      </c>
      <c r="F272" s="60" t="n">
        <v>62201000</v>
      </c>
      <c r="G272" s="60" t="inlineStr">
        <is>
          <t>통신비</t>
        </is>
      </c>
      <c r="H272" s="61" t="n">
        <v>496370</v>
      </c>
      <c r="J272" s="63">
        <f>IF($A272="","",IFERROR(INDEX(부서매핑!$C$5:$C$504,MATCH($D272&amp;"",부서매핑!$A$5:$A$504,0)),"미매핑"))</f>
        <v/>
      </c>
      <c r="K272" s="63">
        <f>IF($A272="","",IFERROR(INDEX(계정매핑!$C$5:$C$504,MATCH($F272&amp;"",계정매핑!$A$5:$A$504,0)),"미매핑"))</f>
        <v/>
      </c>
      <c r="L272" s="4">
        <f>IF($A272="","",VALUE($A272&amp;""))</f>
        <v/>
      </c>
      <c r="M272" s="4">
        <f>IF($A272="","",VALUE($B272&amp;""))</f>
        <v/>
      </c>
      <c r="N272" s="64">
        <f>IF($A272="","",$H272*설정!$C$15)</f>
        <v/>
      </c>
      <c r="O272" s="4">
        <f>IF($A272="","",J272&amp;"|"&amp;K272)</f>
        <v/>
      </c>
      <c r="P272" s="63">
        <f>IF($A272="","",IF(COUNTIFS(예산_원본!$T$5:$T$3004,O272,예산_원본!$B$5:$B$3004,설정!$C$8,예산_원본!$U$5:$U$3004,L272)&gt;0,"Y","N"))</f>
        <v/>
      </c>
      <c r="Q272" s="63">
        <f>IF($A272="","",IF(COUNTIF(집계!$E$7:$E$506,O272)&gt;0,"Y","N"))</f>
        <v/>
      </c>
    </row>
    <row r="273">
      <c r="A273" s="60" t="n">
        <v>2025</v>
      </c>
      <c r="B273" s="60" t="n">
        <v>4</v>
      </c>
      <c r="C273" s="60" t="inlineStr">
        <is>
          <t>1000</t>
        </is>
      </c>
      <c r="D273" s="60" t="n">
        <v>1501</v>
      </c>
      <c r="E273" s="60" t="inlineStr">
        <is>
          <t>마케팅전략</t>
        </is>
      </c>
      <c r="F273" s="60" t="n">
        <v>62301000</v>
      </c>
      <c r="G273" s="60" t="inlineStr">
        <is>
          <t>소모품비</t>
        </is>
      </c>
      <c r="H273" s="61" t="n">
        <v>463400</v>
      </c>
      <c r="J273" s="63">
        <f>IF($A273="","",IFERROR(INDEX(부서매핑!$C$5:$C$504,MATCH($D273&amp;"",부서매핑!$A$5:$A$504,0)),"미매핑"))</f>
        <v/>
      </c>
      <c r="K273" s="63">
        <f>IF($A273="","",IFERROR(INDEX(계정매핑!$C$5:$C$504,MATCH($F273&amp;"",계정매핑!$A$5:$A$504,0)),"미매핑"))</f>
        <v/>
      </c>
      <c r="L273" s="4">
        <f>IF($A273="","",VALUE($A273&amp;""))</f>
        <v/>
      </c>
      <c r="M273" s="4">
        <f>IF($A273="","",VALUE($B273&amp;""))</f>
        <v/>
      </c>
      <c r="N273" s="64">
        <f>IF($A273="","",$H273*설정!$C$15)</f>
        <v/>
      </c>
      <c r="O273" s="4">
        <f>IF($A273="","",J273&amp;"|"&amp;K273)</f>
        <v/>
      </c>
      <c r="P273" s="63">
        <f>IF($A273="","",IF(COUNTIFS(예산_원본!$T$5:$T$3004,O273,예산_원본!$B$5:$B$3004,설정!$C$8,예산_원본!$U$5:$U$3004,L273)&gt;0,"Y","N"))</f>
        <v/>
      </c>
      <c r="Q273" s="63">
        <f>IF($A273="","",IF(COUNTIF(집계!$E$7:$E$506,O273)&gt;0,"Y","N"))</f>
        <v/>
      </c>
    </row>
    <row r="274">
      <c r="A274" s="60" t="n">
        <v>2025</v>
      </c>
      <c r="B274" s="60" t="n">
        <v>4</v>
      </c>
      <c r="C274" s="60" t="inlineStr">
        <is>
          <t>1000</t>
        </is>
      </c>
      <c r="D274" s="60" t="n">
        <v>1501</v>
      </c>
      <c r="E274" s="60" t="inlineStr">
        <is>
          <t>마케팅전략</t>
        </is>
      </c>
      <c r="F274" s="60" t="n">
        <v>62401000</v>
      </c>
      <c r="G274" s="60" t="inlineStr">
        <is>
          <t>도서인쇄비</t>
        </is>
      </c>
      <c r="H274" s="61" t="n">
        <v>3996480</v>
      </c>
      <c r="J274" s="63">
        <f>IF($A274="","",IFERROR(INDEX(부서매핑!$C$5:$C$504,MATCH($D274&amp;"",부서매핑!$A$5:$A$504,0)),"미매핑"))</f>
        <v/>
      </c>
      <c r="K274" s="63">
        <f>IF($A274="","",IFERROR(INDEX(계정매핑!$C$5:$C$504,MATCH($F274&amp;"",계정매핑!$A$5:$A$504,0)),"미매핑"))</f>
        <v/>
      </c>
      <c r="L274" s="4">
        <f>IF($A274="","",VALUE($A274&amp;""))</f>
        <v/>
      </c>
      <c r="M274" s="4">
        <f>IF($A274="","",VALUE($B274&amp;""))</f>
        <v/>
      </c>
      <c r="N274" s="64">
        <f>IF($A274="","",$H274*설정!$C$15)</f>
        <v/>
      </c>
      <c r="O274" s="4">
        <f>IF($A274="","",J274&amp;"|"&amp;K274)</f>
        <v/>
      </c>
      <c r="P274" s="63">
        <f>IF($A274="","",IF(COUNTIFS(예산_원본!$T$5:$T$3004,O274,예산_원본!$B$5:$B$3004,설정!$C$8,예산_원본!$U$5:$U$3004,L274)&gt;0,"Y","N"))</f>
        <v/>
      </c>
      <c r="Q274" s="63">
        <f>IF($A274="","",IF(COUNTIF(집계!$E$7:$E$506,O274)&gt;0,"Y","N"))</f>
        <v/>
      </c>
    </row>
    <row r="275">
      <c r="A275" s="60" t="n">
        <v>2025</v>
      </c>
      <c r="B275" s="60" t="n">
        <v>4</v>
      </c>
      <c r="C275" s="60" t="inlineStr">
        <is>
          <t>1000</t>
        </is>
      </c>
      <c r="D275" s="60" t="n">
        <v>1501</v>
      </c>
      <c r="E275" s="60" t="inlineStr">
        <is>
          <t>마케팅전략</t>
        </is>
      </c>
      <c r="F275" s="60" t="n">
        <v>62501000</v>
      </c>
      <c r="G275" s="60" t="inlineStr">
        <is>
          <t>회의비</t>
        </is>
      </c>
      <c r="H275" s="61" t="n">
        <v>686720</v>
      </c>
      <c r="J275" s="63">
        <f>IF($A275="","",IFERROR(INDEX(부서매핑!$C$5:$C$504,MATCH($D275&amp;"",부서매핑!$A$5:$A$504,0)),"미매핑"))</f>
        <v/>
      </c>
      <c r="K275" s="63">
        <f>IF($A275="","",IFERROR(INDEX(계정매핑!$C$5:$C$504,MATCH($F275&amp;"",계정매핑!$A$5:$A$504,0)),"미매핑"))</f>
        <v/>
      </c>
      <c r="L275" s="4">
        <f>IF($A275="","",VALUE($A275&amp;""))</f>
        <v/>
      </c>
      <c r="M275" s="4">
        <f>IF($A275="","",VALUE($B275&amp;""))</f>
        <v/>
      </c>
      <c r="N275" s="64">
        <f>IF($A275="","",$H275*설정!$C$15)</f>
        <v/>
      </c>
      <c r="O275" s="4">
        <f>IF($A275="","",J275&amp;"|"&amp;K275)</f>
        <v/>
      </c>
      <c r="P275" s="63">
        <f>IF($A275="","",IF(COUNTIFS(예산_원본!$T$5:$T$3004,O275,예산_원본!$B$5:$B$3004,설정!$C$8,예산_원본!$U$5:$U$3004,L275)&gt;0,"Y","N"))</f>
        <v/>
      </c>
      <c r="Q275" s="63">
        <f>IF($A275="","",IF(COUNTIF(집계!$E$7:$E$506,O275)&gt;0,"Y","N"))</f>
        <v/>
      </c>
    </row>
    <row r="276">
      <c r="A276" s="60" t="n">
        <v>2025</v>
      </c>
      <c r="B276" s="60" t="n">
        <v>4</v>
      </c>
      <c r="C276" s="60" t="inlineStr">
        <is>
          <t>1000</t>
        </is>
      </c>
      <c r="D276" s="60" t="n">
        <v>1501</v>
      </c>
      <c r="E276" s="60" t="inlineStr">
        <is>
          <t>마케팅전략</t>
        </is>
      </c>
      <c r="F276" s="60" t="n">
        <v>62601000</v>
      </c>
      <c r="G276" s="60" t="inlineStr">
        <is>
          <t>업무추진비</t>
        </is>
      </c>
      <c r="H276" s="61" t="n">
        <v>1653170</v>
      </c>
      <c r="J276" s="63">
        <f>IF($A276="","",IFERROR(INDEX(부서매핑!$C$5:$C$504,MATCH($D276&amp;"",부서매핑!$A$5:$A$504,0)),"미매핑"))</f>
        <v/>
      </c>
      <c r="K276" s="63">
        <f>IF($A276="","",IFERROR(INDEX(계정매핑!$C$5:$C$504,MATCH($F276&amp;"",계정매핑!$A$5:$A$504,0)),"미매핑"))</f>
        <v/>
      </c>
      <c r="L276" s="4">
        <f>IF($A276="","",VALUE($A276&amp;""))</f>
        <v/>
      </c>
      <c r="M276" s="4">
        <f>IF($A276="","",VALUE($B276&amp;""))</f>
        <v/>
      </c>
      <c r="N276" s="64">
        <f>IF($A276="","",$H276*설정!$C$15)</f>
        <v/>
      </c>
      <c r="O276" s="4">
        <f>IF($A276="","",J276&amp;"|"&amp;K276)</f>
        <v/>
      </c>
      <c r="P276" s="63">
        <f>IF($A276="","",IF(COUNTIFS(예산_원본!$T$5:$T$3004,O276,예산_원본!$B$5:$B$3004,설정!$C$8,예산_원본!$U$5:$U$3004,L276)&gt;0,"Y","N"))</f>
        <v/>
      </c>
      <c r="Q276" s="63">
        <f>IF($A276="","",IF(COUNTIF(집계!$E$7:$E$506,O276)&gt;0,"Y","N"))</f>
        <v/>
      </c>
    </row>
    <row r="277">
      <c r="A277" s="60" t="n">
        <v>2025</v>
      </c>
      <c r="B277" s="60" t="n">
        <v>4</v>
      </c>
      <c r="C277" s="60" t="inlineStr">
        <is>
          <t>1000</t>
        </is>
      </c>
      <c r="D277" s="60" t="n">
        <v>1501</v>
      </c>
      <c r="E277" s="60" t="inlineStr">
        <is>
          <t>마케팅전략</t>
        </is>
      </c>
      <c r="F277" s="60" t="n">
        <v>62701000</v>
      </c>
      <c r="G277" s="60" t="inlineStr">
        <is>
          <t>광고선전비</t>
        </is>
      </c>
      <c r="H277" s="61" t="n">
        <v>101866620</v>
      </c>
      <c r="J277" s="63">
        <f>IF($A277="","",IFERROR(INDEX(부서매핑!$C$5:$C$504,MATCH($D277&amp;"",부서매핑!$A$5:$A$504,0)),"미매핑"))</f>
        <v/>
      </c>
      <c r="K277" s="63">
        <f>IF($A277="","",IFERROR(INDEX(계정매핑!$C$5:$C$504,MATCH($F277&amp;"",계정매핑!$A$5:$A$504,0)),"미매핑"))</f>
        <v/>
      </c>
      <c r="L277" s="4">
        <f>IF($A277="","",VALUE($A277&amp;""))</f>
        <v/>
      </c>
      <c r="M277" s="4">
        <f>IF($A277="","",VALUE($B277&amp;""))</f>
        <v/>
      </c>
      <c r="N277" s="64">
        <f>IF($A277="","",$H277*설정!$C$15)</f>
        <v/>
      </c>
      <c r="O277" s="4">
        <f>IF($A277="","",J277&amp;"|"&amp;K277)</f>
        <v/>
      </c>
      <c r="P277" s="63">
        <f>IF($A277="","",IF(COUNTIFS(예산_원본!$T$5:$T$3004,O277,예산_원본!$B$5:$B$3004,설정!$C$8,예산_원본!$U$5:$U$3004,L277)&gt;0,"Y","N"))</f>
        <v/>
      </c>
      <c r="Q277" s="63">
        <f>IF($A277="","",IF(COUNTIF(집계!$E$7:$E$506,O277)&gt;0,"Y","N"))</f>
        <v/>
      </c>
    </row>
    <row r="278">
      <c r="A278" s="60" t="n">
        <v>2025</v>
      </c>
      <c r="B278" s="60" t="n">
        <v>4</v>
      </c>
      <c r="C278" s="60" t="inlineStr">
        <is>
          <t>1000</t>
        </is>
      </c>
      <c r="D278" s="60" t="n">
        <v>1502</v>
      </c>
      <c r="E278" s="60" t="inlineStr">
        <is>
          <t>디지털마케팅</t>
        </is>
      </c>
      <c r="F278" s="60" t="n">
        <v>62101000</v>
      </c>
      <c r="G278" s="60" t="inlineStr">
        <is>
          <t>여비교통비-국내</t>
        </is>
      </c>
      <c r="H278" s="61" t="n">
        <v>1229720</v>
      </c>
      <c r="J278" s="63">
        <f>IF($A278="","",IFERROR(INDEX(부서매핑!$C$5:$C$504,MATCH($D278&amp;"",부서매핑!$A$5:$A$504,0)),"미매핑"))</f>
        <v/>
      </c>
      <c r="K278" s="63">
        <f>IF($A278="","",IFERROR(INDEX(계정매핑!$C$5:$C$504,MATCH($F278&amp;"",계정매핑!$A$5:$A$504,0)),"미매핑"))</f>
        <v/>
      </c>
      <c r="L278" s="4">
        <f>IF($A278="","",VALUE($A278&amp;""))</f>
        <v/>
      </c>
      <c r="M278" s="4">
        <f>IF($A278="","",VALUE($B278&amp;""))</f>
        <v/>
      </c>
      <c r="N278" s="64">
        <f>IF($A278="","",$H278*설정!$C$15)</f>
        <v/>
      </c>
      <c r="O278" s="4">
        <f>IF($A278="","",J278&amp;"|"&amp;K278)</f>
        <v/>
      </c>
      <c r="P278" s="63">
        <f>IF($A278="","",IF(COUNTIFS(예산_원본!$T$5:$T$3004,O278,예산_원본!$B$5:$B$3004,설정!$C$8,예산_원본!$U$5:$U$3004,L278)&gt;0,"Y","N"))</f>
        <v/>
      </c>
      <c r="Q278" s="63">
        <f>IF($A278="","",IF(COUNTIF(집계!$E$7:$E$506,O278)&gt;0,"Y","N"))</f>
        <v/>
      </c>
    </row>
    <row r="279">
      <c r="A279" s="60" t="n">
        <v>2025</v>
      </c>
      <c r="B279" s="60" t="n">
        <v>4</v>
      </c>
      <c r="C279" s="60" t="inlineStr">
        <is>
          <t>1000</t>
        </is>
      </c>
      <c r="D279" s="60" t="n">
        <v>1502</v>
      </c>
      <c r="E279" s="60" t="inlineStr">
        <is>
          <t>디지털마케팅</t>
        </is>
      </c>
      <c r="F279" s="60" t="n">
        <v>62102000</v>
      </c>
      <c r="G279" s="60" t="inlineStr">
        <is>
          <t>여비교통비-해외</t>
        </is>
      </c>
      <c r="H279" s="61" t="n">
        <v>218210</v>
      </c>
      <c r="J279" s="63">
        <f>IF($A279="","",IFERROR(INDEX(부서매핑!$C$5:$C$504,MATCH($D279&amp;"",부서매핑!$A$5:$A$504,0)),"미매핑"))</f>
        <v/>
      </c>
      <c r="K279" s="63">
        <f>IF($A279="","",IFERROR(INDEX(계정매핑!$C$5:$C$504,MATCH($F279&amp;"",계정매핑!$A$5:$A$504,0)),"미매핑"))</f>
        <v/>
      </c>
      <c r="L279" s="4">
        <f>IF($A279="","",VALUE($A279&amp;""))</f>
        <v/>
      </c>
      <c r="M279" s="4">
        <f>IF($A279="","",VALUE($B279&amp;""))</f>
        <v/>
      </c>
      <c r="N279" s="64">
        <f>IF($A279="","",$H279*설정!$C$15)</f>
        <v/>
      </c>
      <c r="O279" s="4">
        <f>IF($A279="","",J279&amp;"|"&amp;K279)</f>
        <v/>
      </c>
      <c r="P279" s="63">
        <f>IF($A279="","",IF(COUNTIFS(예산_원본!$T$5:$T$3004,O279,예산_원본!$B$5:$B$3004,설정!$C$8,예산_원본!$U$5:$U$3004,L279)&gt;0,"Y","N"))</f>
        <v/>
      </c>
      <c r="Q279" s="63">
        <f>IF($A279="","",IF(COUNTIF(집계!$E$7:$E$506,O279)&gt;0,"Y","N"))</f>
        <v/>
      </c>
    </row>
    <row r="280">
      <c r="A280" s="60" t="n">
        <v>2025</v>
      </c>
      <c r="B280" s="60" t="n">
        <v>4</v>
      </c>
      <c r="C280" s="60" t="inlineStr">
        <is>
          <t>1000</t>
        </is>
      </c>
      <c r="D280" s="60" t="n">
        <v>1502</v>
      </c>
      <c r="E280" s="60" t="inlineStr">
        <is>
          <t>디지털마케팅</t>
        </is>
      </c>
      <c r="F280" s="60" t="n">
        <v>62201000</v>
      </c>
      <c r="G280" s="60" t="inlineStr">
        <is>
          <t>통신비</t>
        </is>
      </c>
      <c r="H280" s="61" t="n">
        <v>358590</v>
      </c>
      <c r="J280" s="63">
        <f>IF($A280="","",IFERROR(INDEX(부서매핑!$C$5:$C$504,MATCH($D280&amp;"",부서매핑!$A$5:$A$504,0)),"미매핑"))</f>
        <v/>
      </c>
      <c r="K280" s="63">
        <f>IF($A280="","",IFERROR(INDEX(계정매핑!$C$5:$C$504,MATCH($F280&amp;"",계정매핑!$A$5:$A$504,0)),"미매핑"))</f>
        <v/>
      </c>
      <c r="L280" s="4">
        <f>IF($A280="","",VALUE($A280&amp;""))</f>
        <v/>
      </c>
      <c r="M280" s="4">
        <f>IF($A280="","",VALUE($B280&amp;""))</f>
        <v/>
      </c>
      <c r="N280" s="64">
        <f>IF($A280="","",$H280*설정!$C$15)</f>
        <v/>
      </c>
      <c r="O280" s="4">
        <f>IF($A280="","",J280&amp;"|"&amp;K280)</f>
        <v/>
      </c>
      <c r="P280" s="63">
        <f>IF($A280="","",IF(COUNTIFS(예산_원본!$T$5:$T$3004,O280,예산_원본!$B$5:$B$3004,설정!$C$8,예산_원본!$U$5:$U$3004,L280)&gt;0,"Y","N"))</f>
        <v/>
      </c>
      <c r="Q280" s="63">
        <f>IF($A280="","",IF(COUNTIF(집계!$E$7:$E$506,O280)&gt;0,"Y","N"))</f>
        <v/>
      </c>
    </row>
    <row r="281">
      <c r="A281" s="60" t="n">
        <v>2025</v>
      </c>
      <c r="B281" s="60" t="n">
        <v>4</v>
      </c>
      <c r="C281" s="60" t="inlineStr">
        <is>
          <t>1000</t>
        </is>
      </c>
      <c r="D281" s="60" t="n">
        <v>1502</v>
      </c>
      <c r="E281" s="60" t="inlineStr">
        <is>
          <t>디지털마케팅</t>
        </is>
      </c>
      <c r="F281" s="60" t="n">
        <v>62301000</v>
      </c>
      <c r="G281" s="60" t="inlineStr">
        <is>
          <t>소모품비</t>
        </is>
      </c>
      <c r="H281" s="61" t="n">
        <v>340030</v>
      </c>
      <c r="J281" s="63">
        <f>IF($A281="","",IFERROR(INDEX(부서매핑!$C$5:$C$504,MATCH($D281&amp;"",부서매핑!$A$5:$A$504,0)),"미매핑"))</f>
        <v/>
      </c>
      <c r="K281" s="63">
        <f>IF($A281="","",IFERROR(INDEX(계정매핑!$C$5:$C$504,MATCH($F281&amp;"",계정매핑!$A$5:$A$504,0)),"미매핑"))</f>
        <v/>
      </c>
      <c r="L281" s="4">
        <f>IF($A281="","",VALUE($A281&amp;""))</f>
        <v/>
      </c>
      <c r="M281" s="4">
        <f>IF($A281="","",VALUE($B281&amp;""))</f>
        <v/>
      </c>
      <c r="N281" s="64">
        <f>IF($A281="","",$H281*설정!$C$15)</f>
        <v/>
      </c>
      <c r="O281" s="4">
        <f>IF($A281="","",J281&amp;"|"&amp;K281)</f>
        <v/>
      </c>
      <c r="P281" s="63">
        <f>IF($A281="","",IF(COUNTIFS(예산_원본!$T$5:$T$3004,O281,예산_원본!$B$5:$B$3004,설정!$C$8,예산_원본!$U$5:$U$3004,L281)&gt;0,"Y","N"))</f>
        <v/>
      </c>
      <c r="Q281" s="63">
        <f>IF($A281="","",IF(COUNTIF(집계!$E$7:$E$506,O281)&gt;0,"Y","N"))</f>
        <v/>
      </c>
    </row>
    <row r="282">
      <c r="A282" s="60" t="n">
        <v>2025</v>
      </c>
      <c r="B282" s="60" t="n">
        <v>4</v>
      </c>
      <c r="C282" s="60" t="inlineStr">
        <is>
          <t>1000</t>
        </is>
      </c>
      <c r="D282" s="60" t="n">
        <v>1502</v>
      </c>
      <c r="E282" s="60" t="inlineStr">
        <is>
          <t>디지털마케팅</t>
        </is>
      </c>
      <c r="F282" s="60" t="n">
        <v>62401000</v>
      </c>
      <c r="G282" s="60" t="inlineStr">
        <is>
          <t>도서인쇄비</t>
        </is>
      </c>
      <c r="H282" s="61" t="n">
        <v>2725080</v>
      </c>
      <c r="J282" s="63">
        <f>IF($A282="","",IFERROR(INDEX(부서매핑!$C$5:$C$504,MATCH($D282&amp;"",부서매핑!$A$5:$A$504,0)),"미매핑"))</f>
        <v/>
      </c>
      <c r="K282" s="63">
        <f>IF($A282="","",IFERROR(INDEX(계정매핑!$C$5:$C$504,MATCH($F282&amp;"",계정매핑!$A$5:$A$504,0)),"미매핑"))</f>
        <v/>
      </c>
      <c r="L282" s="4">
        <f>IF($A282="","",VALUE($A282&amp;""))</f>
        <v/>
      </c>
      <c r="M282" s="4">
        <f>IF($A282="","",VALUE($B282&amp;""))</f>
        <v/>
      </c>
      <c r="N282" s="64">
        <f>IF($A282="","",$H282*설정!$C$15)</f>
        <v/>
      </c>
      <c r="O282" s="4">
        <f>IF($A282="","",J282&amp;"|"&amp;K282)</f>
        <v/>
      </c>
      <c r="P282" s="63">
        <f>IF($A282="","",IF(COUNTIFS(예산_원본!$T$5:$T$3004,O282,예산_원본!$B$5:$B$3004,설정!$C$8,예산_원본!$U$5:$U$3004,L282)&gt;0,"Y","N"))</f>
        <v/>
      </c>
      <c r="Q282" s="63">
        <f>IF($A282="","",IF(COUNTIF(집계!$E$7:$E$506,O282)&gt;0,"Y","N"))</f>
        <v/>
      </c>
    </row>
    <row r="283">
      <c r="A283" s="60" t="n">
        <v>2025</v>
      </c>
      <c r="B283" s="60" t="n">
        <v>4</v>
      </c>
      <c r="C283" s="60" t="inlineStr">
        <is>
          <t>1000</t>
        </is>
      </c>
      <c r="D283" s="60" t="n">
        <v>1502</v>
      </c>
      <c r="E283" s="60" t="inlineStr">
        <is>
          <t>디지털마케팅</t>
        </is>
      </c>
      <c r="F283" s="60" t="n">
        <v>62501000</v>
      </c>
      <c r="G283" s="60" t="inlineStr">
        <is>
          <t>회의비</t>
        </is>
      </c>
      <c r="H283" s="61" t="n">
        <v>466530</v>
      </c>
      <c r="J283" s="63">
        <f>IF($A283="","",IFERROR(INDEX(부서매핑!$C$5:$C$504,MATCH($D283&amp;"",부서매핑!$A$5:$A$504,0)),"미매핑"))</f>
        <v/>
      </c>
      <c r="K283" s="63">
        <f>IF($A283="","",IFERROR(INDEX(계정매핑!$C$5:$C$504,MATCH($F283&amp;"",계정매핑!$A$5:$A$504,0)),"미매핑"))</f>
        <v/>
      </c>
      <c r="L283" s="4">
        <f>IF($A283="","",VALUE($A283&amp;""))</f>
        <v/>
      </c>
      <c r="M283" s="4">
        <f>IF($A283="","",VALUE($B283&amp;""))</f>
        <v/>
      </c>
      <c r="N283" s="64">
        <f>IF($A283="","",$H283*설정!$C$15)</f>
        <v/>
      </c>
      <c r="O283" s="4">
        <f>IF($A283="","",J283&amp;"|"&amp;K283)</f>
        <v/>
      </c>
      <c r="P283" s="63">
        <f>IF($A283="","",IF(COUNTIFS(예산_원본!$T$5:$T$3004,O283,예산_원본!$B$5:$B$3004,설정!$C$8,예산_원본!$U$5:$U$3004,L283)&gt;0,"Y","N"))</f>
        <v/>
      </c>
      <c r="Q283" s="63">
        <f>IF($A283="","",IF(COUNTIF(집계!$E$7:$E$506,O283)&gt;0,"Y","N"))</f>
        <v/>
      </c>
    </row>
    <row r="284">
      <c r="A284" s="60" t="n">
        <v>2025</v>
      </c>
      <c r="B284" s="60" t="n">
        <v>4</v>
      </c>
      <c r="C284" s="60" t="inlineStr">
        <is>
          <t>1000</t>
        </is>
      </c>
      <c r="D284" s="60" t="n">
        <v>1502</v>
      </c>
      <c r="E284" s="60" t="inlineStr">
        <is>
          <t>디지털마케팅</t>
        </is>
      </c>
      <c r="F284" s="60" t="n">
        <v>62601000</v>
      </c>
      <c r="G284" s="60" t="inlineStr">
        <is>
          <t>업무추진비</t>
        </is>
      </c>
      <c r="H284" s="61" t="n">
        <v>1120420</v>
      </c>
      <c r="J284" s="63">
        <f>IF($A284="","",IFERROR(INDEX(부서매핑!$C$5:$C$504,MATCH($D284&amp;"",부서매핑!$A$5:$A$504,0)),"미매핑"))</f>
        <v/>
      </c>
      <c r="K284" s="63">
        <f>IF($A284="","",IFERROR(INDEX(계정매핑!$C$5:$C$504,MATCH($F284&amp;"",계정매핑!$A$5:$A$504,0)),"미매핑"))</f>
        <v/>
      </c>
      <c r="L284" s="4">
        <f>IF($A284="","",VALUE($A284&amp;""))</f>
        <v/>
      </c>
      <c r="M284" s="4">
        <f>IF($A284="","",VALUE($B284&amp;""))</f>
        <v/>
      </c>
      <c r="N284" s="64">
        <f>IF($A284="","",$H284*설정!$C$15)</f>
        <v/>
      </c>
      <c r="O284" s="4">
        <f>IF($A284="","",J284&amp;"|"&amp;K284)</f>
        <v/>
      </c>
      <c r="P284" s="63">
        <f>IF($A284="","",IF(COUNTIFS(예산_원본!$T$5:$T$3004,O284,예산_원본!$B$5:$B$3004,설정!$C$8,예산_원본!$U$5:$U$3004,L284)&gt;0,"Y","N"))</f>
        <v/>
      </c>
      <c r="Q284" s="63">
        <f>IF($A284="","",IF(COUNTIF(집계!$E$7:$E$506,O284)&gt;0,"Y","N"))</f>
        <v/>
      </c>
    </row>
    <row r="285">
      <c r="A285" s="60" t="n">
        <v>2025</v>
      </c>
      <c r="B285" s="60" t="n">
        <v>4</v>
      </c>
      <c r="C285" s="60" t="inlineStr">
        <is>
          <t>1000</t>
        </is>
      </c>
      <c r="D285" s="60" t="n">
        <v>1502</v>
      </c>
      <c r="E285" s="60" t="inlineStr">
        <is>
          <t>디지털마케팅</t>
        </is>
      </c>
      <c r="F285" s="60" t="n">
        <v>62701000</v>
      </c>
      <c r="G285" s="60" t="inlineStr">
        <is>
          <t>광고선전비</t>
        </is>
      </c>
      <c r="H285" s="61" t="n">
        <v>78057140</v>
      </c>
      <c r="J285" s="63">
        <f>IF($A285="","",IFERROR(INDEX(부서매핑!$C$5:$C$504,MATCH($D285&amp;"",부서매핑!$A$5:$A$504,0)),"미매핑"))</f>
        <v/>
      </c>
      <c r="K285" s="63">
        <f>IF($A285="","",IFERROR(INDEX(계정매핑!$C$5:$C$504,MATCH($F285&amp;"",계정매핑!$A$5:$A$504,0)),"미매핑"))</f>
        <v/>
      </c>
      <c r="L285" s="4">
        <f>IF($A285="","",VALUE($A285&amp;""))</f>
        <v/>
      </c>
      <c r="M285" s="4">
        <f>IF($A285="","",VALUE($B285&amp;""))</f>
        <v/>
      </c>
      <c r="N285" s="64">
        <f>IF($A285="","",$H285*설정!$C$15)</f>
        <v/>
      </c>
      <c r="O285" s="4">
        <f>IF($A285="","",J285&amp;"|"&amp;K285)</f>
        <v/>
      </c>
      <c r="P285" s="63">
        <f>IF($A285="","",IF(COUNTIFS(예산_원본!$T$5:$T$3004,O285,예산_원본!$B$5:$B$3004,설정!$C$8,예산_원본!$U$5:$U$3004,L285)&gt;0,"Y","N"))</f>
        <v/>
      </c>
      <c r="Q285" s="63">
        <f>IF($A285="","",IF(COUNTIF(집계!$E$7:$E$506,O285)&gt;0,"Y","N"))</f>
        <v/>
      </c>
    </row>
    <row r="286">
      <c r="A286" s="60" t="n">
        <v>2025</v>
      </c>
      <c r="B286" s="60" t="n">
        <v>4</v>
      </c>
      <c r="C286" s="60" t="inlineStr">
        <is>
          <t>1000</t>
        </is>
      </c>
      <c r="D286" s="60" t="n">
        <v>1601</v>
      </c>
      <c r="E286" s="60" t="inlineStr">
        <is>
          <t>영업지원-본사</t>
        </is>
      </c>
      <c r="F286" s="60" t="n">
        <v>62101000</v>
      </c>
      <c r="G286" s="60" t="inlineStr">
        <is>
          <t>여비교통비-국내</t>
        </is>
      </c>
      <c r="H286" s="61" t="n">
        <v>3425110</v>
      </c>
      <c r="J286" s="63">
        <f>IF($A286="","",IFERROR(INDEX(부서매핑!$C$5:$C$504,MATCH($D286&amp;"",부서매핑!$A$5:$A$504,0)),"미매핑"))</f>
        <v/>
      </c>
      <c r="K286" s="63">
        <f>IF($A286="","",IFERROR(INDEX(계정매핑!$C$5:$C$504,MATCH($F286&amp;"",계정매핑!$A$5:$A$504,0)),"미매핑"))</f>
        <v/>
      </c>
      <c r="L286" s="4">
        <f>IF($A286="","",VALUE($A286&amp;""))</f>
        <v/>
      </c>
      <c r="M286" s="4">
        <f>IF($A286="","",VALUE($B286&amp;""))</f>
        <v/>
      </c>
      <c r="N286" s="64">
        <f>IF($A286="","",$H286*설정!$C$15)</f>
        <v/>
      </c>
      <c r="O286" s="4">
        <f>IF($A286="","",J286&amp;"|"&amp;K286)</f>
        <v/>
      </c>
      <c r="P286" s="63">
        <f>IF($A286="","",IF(COUNTIFS(예산_원본!$T$5:$T$3004,O286,예산_원본!$B$5:$B$3004,설정!$C$8,예산_원본!$U$5:$U$3004,L286)&gt;0,"Y","N"))</f>
        <v/>
      </c>
      <c r="Q286" s="63">
        <f>IF($A286="","",IF(COUNTIF(집계!$E$7:$E$506,O286)&gt;0,"Y","N"))</f>
        <v/>
      </c>
    </row>
    <row r="287">
      <c r="A287" s="60" t="n">
        <v>2025</v>
      </c>
      <c r="B287" s="60" t="n">
        <v>4</v>
      </c>
      <c r="C287" s="60" t="inlineStr">
        <is>
          <t>1000</t>
        </is>
      </c>
      <c r="D287" s="60" t="n">
        <v>1601</v>
      </c>
      <c r="E287" s="60" t="inlineStr">
        <is>
          <t>영업지원-본사</t>
        </is>
      </c>
      <c r="F287" s="60" t="n">
        <v>62102000</v>
      </c>
      <c r="G287" s="60" t="inlineStr">
        <is>
          <t>여비교통비-해외</t>
        </is>
      </c>
      <c r="H287" s="61" t="n">
        <v>652040</v>
      </c>
      <c r="J287" s="63">
        <f>IF($A287="","",IFERROR(INDEX(부서매핑!$C$5:$C$504,MATCH($D287&amp;"",부서매핑!$A$5:$A$504,0)),"미매핑"))</f>
        <v/>
      </c>
      <c r="K287" s="63">
        <f>IF($A287="","",IFERROR(INDEX(계정매핑!$C$5:$C$504,MATCH($F287&amp;"",계정매핑!$A$5:$A$504,0)),"미매핑"))</f>
        <v/>
      </c>
      <c r="L287" s="4">
        <f>IF($A287="","",VALUE($A287&amp;""))</f>
        <v/>
      </c>
      <c r="M287" s="4">
        <f>IF($A287="","",VALUE($B287&amp;""))</f>
        <v/>
      </c>
      <c r="N287" s="64">
        <f>IF($A287="","",$H287*설정!$C$15)</f>
        <v/>
      </c>
      <c r="O287" s="4">
        <f>IF($A287="","",J287&amp;"|"&amp;K287)</f>
        <v/>
      </c>
      <c r="P287" s="63">
        <f>IF($A287="","",IF(COUNTIFS(예산_원본!$T$5:$T$3004,O287,예산_원본!$B$5:$B$3004,설정!$C$8,예산_원본!$U$5:$U$3004,L287)&gt;0,"Y","N"))</f>
        <v/>
      </c>
      <c r="Q287" s="63">
        <f>IF($A287="","",IF(COUNTIF(집계!$E$7:$E$506,O287)&gt;0,"Y","N"))</f>
        <v/>
      </c>
    </row>
    <row r="288">
      <c r="A288" s="60" t="n">
        <v>2025</v>
      </c>
      <c r="B288" s="60" t="n">
        <v>4</v>
      </c>
      <c r="C288" s="60" t="inlineStr">
        <is>
          <t>1000</t>
        </is>
      </c>
      <c r="D288" s="60" t="n">
        <v>1601</v>
      </c>
      <c r="E288" s="60" t="inlineStr">
        <is>
          <t>영업지원-본사</t>
        </is>
      </c>
      <c r="F288" s="60" t="n">
        <v>62201000</v>
      </c>
      <c r="G288" s="60" t="inlineStr">
        <is>
          <t>통신비</t>
        </is>
      </c>
      <c r="H288" s="61" t="n">
        <v>932350</v>
      </c>
      <c r="J288" s="63">
        <f>IF($A288="","",IFERROR(INDEX(부서매핑!$C$5:$C$504,MATCH($D288&amp;"",부서매핑!$A$5:$A$504,0)),"미매핑"))</f>
        <v/>
      </c>
      <c r="K288" s="63">
        <f>IF($A288="","",IFERROR(INDEX(계정매핑!$C$5:$C$504,MATCH($F288&amp;"",계정매핑!$A$5:$A$504,0)),"미매핑"))</f>
        <v/>
      </c>
      <c r="L288" s="4">
        <f>IF($A288="","",VALUE($A288&amp;""))</f>
        <v/>
      </c>
      <c r="M288" s="4">
        <f>IF($A288="","",VALUE($B288&amp;""))</f>
        <v/>
      </c>
      <c r="N288" s="64">
        <f>IF($A288="","",$H288*설정!$C$15)</f>
        <v/>
      </c>
      <c r="O288" s="4">
        <f>IF($A288="","",J288&amp;"|"&amp;K288)</f>
        <v/>
      </c>
      <c r="P288" s="63">
        <f>IF($A288="","",IF(COUNTIFS(예산_원본!$T$5:$T$3004,O288,예산_원본!$B$5:$B$3004,설정!$C$8,예산_원본!$U$5:$U$3004,L288)&gt;0,"Y","N"))</f>
        <v/>
      </c>
      <c r="Q288" s="63">
        <f>IF($A288="","",IF(COUNTIF(집계!$E$7:$E$506,O288)&gt;0,"Y","N"))</f>
        <v/>
      </c>
    </row>
    <row r="289">
      <c r="A289" s="60" t="n">
        <v>2025</v>
      </c>
      <c r="B289" s="60" t="n">
        <v>4</v>
      </c>
      <c r="C289" s="60" t="inlineStr">
        <is>
          <t>1000</t>
        </is>
      </c>
      <c r="D289" s="60" t="n">
        <v>1601</v>
      </c>
      <c r="E289" s="60" t="inlineStr">
        <is>
          <t>영업지원-본사</t>
        </is>
      </c>
      <c r="F289" s="60" t="n">
        <v>62301000</v>
      </c>
      <c r="G289" s="60" t="inlineStr">
        <is>
          <t>소모품비</t>
        </is>
      </c>
      <c r="H289" s="61" t="n">
        <v>697660</v>
      </c>
      <c r="J289" s="63">
        <f>IF($A289="","",IFERROR(INDEX(부서매핑!$C$5:$C$504,MATCH($D289&amp;"",부서매핑!$A$5:$A$504,0)),"미매핑"))</f>
        <v/>
      </c>
      <c r="K289" s="63">
        <f>IF($A289="","",IFERROR(INDEX(계정매핑!$C$5:$C$504,MATCH($F289&amp;"",계정매핑!$A$5:$A$504,0)),"미매핑"))</f>
        <v/>
      </c>
      <c r="L289" s="4">
        <f>IF($A289="","",VALUE($A289&amp;""))</f>
        <v/>
      </c>
      <c r="M289" s="4">
        <f>IF($A289="","",VALUE($B289&amp;""))</f>
        <v/>
      </c>
      <c r="N289" s="64">
        <f>IF($A289="","",$H289*설정!$C$15)</f>
        <v/>
      </c>
      <c r="O289" s="4">
        <f>IF($A289="","",J289&amp;"|"&amp;K289)</f>
        <v/>
      </c>
      <c r="P289" s="63">
        <f>IF($A289="","",IF(COUNTIFS(예산_원본!$T$5:$T$3004,O289,예산_원본!$B$5:$B$3004,설정!$C$8,예산_원본!$U$5:$U$3004,L289)&gt;0,"Y","N"))</f>
        <v/>
      </c>
      <c r="Q289" s="63">
        <f>IF($A289="","",IF(COUNTIF(집계!$E$7:$E$506,O289)&gt;0,"Y","N"))</f>
        <v/>
      </c>
    </row>
    <row r="290">
      <c r="A290" s="60" t="n">
        <v>2025</v>
      </c>
      <c r="B290" s="60" t="n">
        <v>4</v>
      </c>
      <c r="C290" s="60" t="inlineStr">
        <is>
          <t>1000</t>
        </is>
      </c>
      <c r="D290" s="60" t="n">
        <v>1601</v>
      </c>
      <c r="E290" s="60" t="inlineStr">
        <is>
          <t>영업지원-본사</t>
        </is>
      </c>
      <c r="F290" s="60" t="n">
        <v>62501000</v>
      </c>
      <c r="G290" s="60" t="inlineStr">
        <is>
          <t>회의비</t>
        </is>
      </c>
      <c r="H290" s="61" t="n">
        <v>821840</v>
      </c>
      <c r="J290" s="63">
        <f>IF($A290="","",IFERROR(INDEX(부서매핑!$C$5:$C$504,MATCH($D290&amp;"",부서매핑!$A$5:$A$504,0)),"미매핑"))</f>
        <v/>
      </c>
      <c r="K290" s="63">
        <f>IF($A290="","",IFERROR(INDEX(계정매핑!$C$5:$C$504,MATCH($F290&amp;"",계정매핑!$A$5:$A$504,0)),"미매핑"))</f>
        <v/>
      </c>
      <c r="L290" s="4">
        <f>IF($A290="","",VALUE($A290&amp;""))</f>
        <v/>
      </c>
      <c r="M290" s="4">
        <f>IF($A290="","",VALUE($B290&amp;""))</f>
        <v/>
      </c>
      <c r="N290" s="64">
        <f>IF($A290="","",$H290*설정!$C$15)</f>
        <v/>
      </c>
      <c r="O290" s="4">
        <f>IF($A290="","",J290&amp;"|"&amp;K290)</f>
        <v/>
      </c>
      <c r="P290" s="63">
        <f>IF($A290="","",IF(COUNTIFS(예산_원본!$T$5:$T$3004,O290,예산_원본!$B$5:$B$3004,설정!$C$8,예산_원본!$U$5:$U$3004,L290)&gt;0,"Y","N"))</f>
        <v/>
      </c>
      <c r="Q290" s="63">
        <f>IF($A290="","",IF(COUNTIF(집계!$E$7:$E$506,O290)&gt;0,"Y","N"))</f>
        <v/>
      </c>
    </row>
    <row r="291">
      <c r="A291" s="60" t="n">
        <v>2025</v>
      </c>
      <c r="B291" s="60" t="n">
        <v>4</v>
      </c>
      <c r="C291" s="60" t="inlineStr">
        <is>
          <t>1000</t>
        </is>
      </c>
      <c r="D291" s="60" t="n">
        <v>1601</v>
      </c>
      <c r="E291" s="60" t="inlineStr">
        <is>
          <t>영업지원-본사</t>
        </is>
      </c>
      <c r="F291" s="60" t="n">
        <v>62601000</v>
      </c>
      <c r="G291" s="60" t="inlineStr">
        <is>
          <t>업무추진비</t>
        </is>
      </c>
      <c r="H291" s="61" t="n">
        <v>1519740</v>
      </c>
      <c r="J291" s="63">
        <f>IF($A291="","",IFERROR(INDEX(부서매핑!$C$5:$C$504,MATCH($D291&amp;"",부서매핑!$A$5:$A$504,0)),"미매핑"))</f>
        <v/>
      </c>
      <c r="K291" s="63">
        <f>IF($A291="","",IFERROR(INDEX(계정매핑!$C$5:$C$504,MATCH($F291&amp;"",계정매핑!$A$5:$A$504,0)),"미매핑"))</f>
        <v/>
      </c>
      <c r="L291" s="4">
        <f>IF($A291="","",VALUE($A291&amp;""))</f>
        <v/>
      </c>
      <c r="M291" s="4">
        <f>IF($A291="","",VALUE($B291&amp;""))</f>
        <v/>
      </c>
      <c r="N291" s="64">
        <f>IF($A291="","",$H291*설정!$C$15)</f>
        <v/>
      </c>
      <c r="O291" s="4">
        <f>IF($A291="","",J291&amp;"|"&amp;K291)</f>
        <v/>
      </c>
      <c r="P291" s="63">
        <f>IF($A291="","",IF(COUNTIFS(예산_원본!$T$5:$T$3004,O291,예산_원본!$B$5:$B$3004,설정!$C$8,예산_원본!$U$5:$U$3004,L291)&gt;0,"Y","N"))</f>
        <v/>
      </c>
      <c r="Q291" s="63">
        <f>IF($A291="","",IF(COUNTIF(집계!$E$7:$E$506,O291)&gt;0,"Y","N"))</f>
        <v/>
      </c>
    </row>
    <row r="292">
      <c r="A292" s="60" t="n">
        <v>2025</v>
      </c>
      <c r="B292" s="60" t="n">
        <v>4</v>
      </c>
      <c r="C292" s="60" t="inlineStr">
        <is>
          <t>1000</t>
        </is>
      </c>
      <c r="D292" s="60" t="n">
        <v>1601</v>
      </c>
      <c r="E292" s="60" t="inlineStr">
        <is>
          <t>영업지원-본사</t>
        </is>
      </c>
      <c r="F292" s="60" t="n">
        <v>63101000</v>
      </c>
      <c r="G292" s="60" t="inlineStr">
        <is>
          <t>임차료</t>
        </is>
      </c>
      <c r="H292" s="61" t="n">
        <v>9356950</v>
      </c>
      <c r="J292" s="63">
        <f>IF($A292="","",IFERROR(INDEX(부서매핑!$C$5:$C$504,MATCH($D292&amp;"",부서매핑!$A$5:$A$504,0)),"미매핑"))</f>
        <v/>
      </c>
      <c r="K292" s="63">
        <f>IF($A292="","",IFERROR(INDEX(계정매핑!$C$5:$C$504,MATCH($F292&amp;"",계정매핑!$A$5:$A$504,0)),"미매핑"))</f>
        <v/>
      </c>
      <c r="L292" s="4">
        <f>IF($A292="","",VALUE($A292&amp;""))</f>
        <v/>
      </c>
      <c r="M292" s="4">
        <f>IF($A292="","",VALUE($B292&amp;""))</f>
        <v/>
      </c>
      <c r="N292" s="64">
        <f>IF($A292="","",$H292*설정!$C$15)</f>
        <v/>
      </c>
      <c r="O292" s="4">
        <f>IF($A292="","",J292&amp;"|"&amp;K292)</f>
        <v/>
      </c>
      <c r="P292" s="63">
        <f>IF($A292="","",IF(COUNTIFS(예산_원본!$T$5:$T$3004,O292,예산_원본!$B$5:$B$3004,설정!$C$8,예산_원본!$U$5:$U$3004,L292)&gt;0,"Y","N"))</f>
        <v/>
      </c>
      <c r="Q292" s="63">
        <f>IF($A292="","",IF(COUNTIF(집계!$E$7:$E$506,O292)&gt;0,"Y","N"))</f>
        <v/>
      </c>
    </row>
    <row r="293">
      <c r="A293" s="60" t="n">
        <v>2025</v>
      </c>
      <c r="B293" s="60" t="n">
        <v>4</v>
      </c>
      <c r="C293" s="60" t="inlineStr">
        <is>
          <t>1000</t>
        </is>
      </c>
      <c r="D293" s="60" t="n">
        <v>1601</v>
      </c>
      <c r="E293" s="60" t="inlineStr">
        <is>
          <t>영업지원-본사</t>
        </is>
      </c>
      <c r="F293" s="60" t="n">
        <v>63201000</v>
      </c>
      <c r="G293" s="60" t="inlineStr">
        <is>
          <t>차량유지비</t>
        </is>
      </c>
      <c r="H293" s="61" t="n">
        <v>4059070</v>
      </c>
      <c r="J293" s="63">
        <f>IF($A293="","",IFERROR(INDEX(부서매핑!$C$5:$C$504,MATCH($D293&amp;"",부서매핑!$A$5:$A$504,0)),"미매핑"))</f>
        <v/>
      </c>
      <c r="K293" s="63">
        <f>IF($A293="","",IFERROR(INDEX(계정매핑!$C$5:$C$504,MATCH($F293&amp;"",계정매핑!$A$5:$A$504,0)),"미매핑"))</f>
        <v/>
      </c>
      <c r="L293" s="4">
        <f>IF($A293="","",VALUE($A293&amp;""))</f>
        <v/>
      </c>
      <c r="M293" s="4">
        <f>IF($A293="","",VALUE($B293&amp;""))</f>
        <v/>
      </c>
      <c r="N293" s="64">
        <f>IF($A293="","",$H293*설정!$C$15)</f>
        <v/>
      </c>
      <c r="O293" s="4">
        <f>IF($A293="","",J293&amp;"|"&amp;K293)</f>
        <v/>
      </c>
      <c r="P293" s="63">
        <f>IF($A293="","",IF(COUNTIFS(예산_원본!$T$5:$T$3004,O293,예산_원본!$B$5:$B$3004,설정!$C$8,예산_원본!$U$5:$U$3004,L293)&gt;0,"Y","N"))</f>
        <v/>
      </c>
      <c r="Q293" s="63">
        <f>IF($A293="","",IF(COUNTIF(집계!$E$7:$E$506,O293)&gt;0,"Y","N"))</f>
        <v/>
      </c>
    </row>
    <row r="294">
      <c r="A294" s="60" t="n">
        <v>2025</v>
      </c>
      <c r="B294" s="60" t="n">
        <v>4</v>
      </c>
      <c r="C294" s="60" t="inlineStr">
        <is>
          <t>1000</t>
        </is>
      </c>
      <c r="D294" s="60" t="n">
        <v>1602</v>
      </c>
      <c r="E294" s="60" t="inlineStr">
        <is>
          <t>영업지원-지역본부</t>
        </is>
      </c>
      <c r="F294" s="60" t="n">
        <v>62101000</v>
      </c>
      <c r="G294" s="60" t="inlineStr">
        <is>
          <t>여비교통비-국내</t>
        </is>
      </c>
      <c r="H294" s="61" t="n">
        <v>3064970</v>
      </c>
      <c r="J294" s="63">
        <f>IF($A294="","",IFERROR(INDEX(부서매핑!$C$5:$C$504,MATCH($D294&amp;"",부서매핑!$A$5:$A$504,0)),"미매핑"))</f>
        <v/>
      </c>
      <c r="K294" s="63">
        <f>IF($A294="","",IFERROR(INDEX(계정매핑!$C$5:$C$504,MATCH($F294&amp;"",계정매핑!$A$5:$A$504,0)),"미매핑"))</f>
        <v/>
      </c>
      <c r="L294" s="4">
        <f>IF($A294="","",VALUE($A294&amp;""))</f>
        <v/>
      </c>
      <c r="M294" s="4">
        <f>IF($A294="","",VALUE($B294&amp;""))</f>
        <v/>
      </c>
      <c r="N294" s="64">
        <f>IF($A294="","",$H294*설정!$C$15)</f>
        <v/>
      </c>
      <c r="O294" s="4">
        <f>IF($A294="","",J294&amp;"|"&amp;K294)</f>
        <v/>
      </c>
      <c r="P294" s="63">
        <f>IF($A294="","",IF(COUNTIFS(예산_원본!$T$5:$T$3004,O294,예산_원본!$B$5:$B$3004,설정!$C$8,예산_원본!$U$5:$U$3004,L294)&gt;0,"Y","N"))</f>
        <v/>
      </c>
      <c r="Q294" s="63">
        <f>IF($A294="","",IF(COUNTIF(집계!$E$7:$E$506,O294)&gt;0,"Y","N"))</f>
        <v/>
      </c>
    </row>
    <row r="295">
      <c r="A295" s="60" t="n">
        <v>2025</v>
      </c>
      <c r="B295" s="60" t="n">
        <v>4</v>
      </c>
      <c r="C295" s="60" t="inlineStr">
        <is>
          <t>1000</t>
        </is>
      </c>
      <c r="D295" s="60" t="n">
        <v>1602</v>
      </c>
      <c r="E295" s="60" t="inlineStr">
        <is>
          <t>영업지원-지역본부</t>
        </is>
      </c>
      <c r="F295" s="60" t="n">
        <v>62102000</v>
      </c>
      <c r="G295" s="60" t="inlineStr">
        <is>
          <t>여비교통비-해외</t>
        </is>
      </c>
      <c r="H295" s="61" t="n">
        <v>518700</v>
      </c>
      <c r="J295" s="63">
        <f>IF($A295="","",IFERROR(INDEX(부서매핑!$C$5:$C$504,MATCH($D295&amp;"",부서매핑!$A$5:$A$504,0)),"미매핑"))</f>
        <v/>
      </c>
      <c r="K295" s="63">
        <f>IF($A295="","",IFERROR(INDEX(계정매핑!$C$5:$C$504,MATCH($F295&amp;"",계정매핑!$A$5:$A$504,0)),"미매핑"))</f>
        <v/>
      </c>
      <c r="L295" s="4">
        <f>IF($A295="","",VALUE($A295&amp;""))</f>
        <v/>
      </c>
      <c r="M295" s="4">
        <f>IF($A295="","",VALUE($B295&amp;""))</f>
        <v/>
      </c>
      <c r="N295" s="64">
        <f>IF($A295="","",$H295*설정!$C$15)</f>
        <v/>
      </c>
      <c r="O295" s="4">
        <f>IF($A295="","",J295&amp;"|"&amp;K295)</f>
        <v/>
      </c>
      <c r="P295" s="63">
        <f>IF($A295="","",IF(COUNTIFS(예산_원본!$T$5:$T$3004,O295,예산_원본!$B$5:$B$3004,설정!$C$8,예산_원본!$U$5:$U$3004,L295)&gt;0,"Y","N"))</f>
        <v/>
      </c>
      <c r="Q295" s="63">
        <f>IF($A295="","",IF(COUNTIF(집계!$E$7:$E$506,O295)&gt;0,"Y","N"))</f>
        <v/>
      </c>
    </row>
    <row r="296">
      <c r="A296" s="60" t="n">
        <v>2025</v>
      </c>
      <c r="B296" s="60" t="n">
        <v>4</v>
      </c>
      <c r="C296" s="60" t="inlineStr">
        <is>
          <t>1000</t>
        </is>
      </c>
      <c r="D296" s="60" t="n">
        <v>1602</v>
      </c>
      <c r="E296" s="60" t="inlineStr">
        <is>
          <t>영업지원-지역본부</t>
        </is>
      </c>
      <c r="F296" s="60" t="n">
        <v>62201000</v>
      </c>
      <c r="G296" s="60" t="inlineStr">
        <is>
          <t>통신비</t>
        </is>
      </c>
      <c r="H296" s="61" t="n">
        <v>714940</v>
      </c>
      <c r="J296" s="63">
        <f>IF($A296="","",IFERROR(INDEX(부서매핑!$C$5:$C$504,MATCH($D296&amp;"",부서매핑!$A$5:$A$504,0)),"미매핑"))</f>
        <v/>
      </c>
      <c r="K296" s="63">
        <f>IF($A296="","",IFERROR(INDEX(계정매핑!$C$5:$C$504,MATCH($F296&amp;"",계정매핑!$A$5:$A$504,0)),"미매핑"))</f>
        <v/>
      </c>
      <c r="L296" s="4">
        <f>IF($A296="","",VALUE($A296&amp;""))</f>
        <v/>
      </c>
      <c r="M296" s="4">
        <f>IF($A296="","",VALUE($B296&amp;""))</f>
        <v/>
      </c>
      <c r="N296" s="64">
        <f>IF($A296="","",$H296*설정!$C$15)</f>
        <v/>
      </c>
      <c r="O296" s="4">
        <f>IF($A296="","",J296&amp;"|"&amp;K296)</f>
        <v/>
      </c>
      <c r="P296" s="63">
        <f>IF($A296="","",IF(COUNTIFS(예산_원본!$T$5:$T$3004,O296,예산_원본!$B$5:$B$3004,설정!$C$8,예산_원본!$U$5:$U$3004,L296)&gt;0,"Y","N"))</f>
        <v/>
      </c>
      <c r="Q296" s="63">
        <f>IF($A296="","",IF(COUNTIF(집계!$E$7:$E$506,O296)&gt;0,"Y","N"))</f>
        <v/>
      </c>
    </row>
    <row r="297">
      <c r="A297" s="60" t="n">
        <v>2025</v>
      </c>
      <c r="B297" s="60" t="n">
        <v>4</v>
      </c>
      <c r="C297" s="60" t="inlineStr">
        <is>
          <t>1000</t>
        </is>
      </c>
      <c r="D297" s="60" t="n">
        <v>1602</v>
      </c>
      <c r="E297" s="60" t="inlineStr">
        <is>
          <t>영업지원-지역본부</t>
        </is>
      </c>
      <c r="F297" s="60" t="n">
        <v>62301000</v>
      </c>
      <c r="G297" s="60" t="inlineStr">
        <is>
          <t>소모품비</t>
        </is>
      </c>
      <c r="H297" s="61" t="n">
        <v>547140</v>
      </c>
      <c r="J297" s="63">
        <f>IF($A297="","",IFERROR(INDEX(부서매핑!$C$5:$C$504,MATCH($D297&amp;"",부서매핑!$A$5:$A$504,0)),"미매핑"))</f>
        <v/>
      </c>
      <c r="K297" s="63">
        <f>IF($A297="","",IFERROR(INDEX(계정매핑!$C$5:$C$504,MATCH($F297&amp;"",계정매핑!$A$5:$A$504,0)),"미매핑"))</f>
        <v/>
      </c>
      <c r="L297" s="4">
        <f>IF($A297="","",VALUE($A297&amp;""))</f>
        <v/>
      </c>
      <c r="M297" s="4">
        <f>IF($A297="","",VALUE($B297&amp;""))</f>
        <v/>
      </c>
      <c r="N297" s="64">
        <f>IF($A297="","",$H297*설정!$C$15)</f>
        <v/>
      </c>
      <c r="O297" s="4">
        <f>IF($A297="","",J297&amp;"|"&amp;K297)</f>
        <v/>
      </c>
      <c r="P297" s="63">
        <f>IF($A297="","",IF(COUNTIFS(예산_원본!$T$5:$T$3004,O297,예산_원본!$B$5:$B$3004,설정!$C$8,예산_원본!$U$5:$U$3004,L297)&gt;0,"Y","N"))</f>
        <v/>
      </c>
      <c r="Q297" s="63">
        <f>IF($A297="","",IF(COUNTIF(집계!$E$7:$E$506,O297)&gt;0,"Y","N"))</f>
        <v/>
      </c>
    </row>
    <row r="298">
      <c r="A298" s="60" t="n">
        <v>2025</v>
      </c>
      <c r="B298" s="60" t="n">
        <v>4</v>
      </c>
      <c r="C298" s="60" t="inlineStr">
        <is>
          <t>1000</t>
        </is>
      </c>
      <c r="D298" s="60" t="n">
        <v>1602</v>
      </c>
      <c r="E298" s="60" t="inlineStr">
        <is>
          <t>영업지원-지역본부</t>
        </is>
      </c>
      <c r="F298" s="60" t="n">
        <v>62501000</v>
      </c>
      <c r="G298" s="60" t="inlineStr">
        <is>
          <t>회의비</t>
        </is>
      </c>
      <c r="H298" s="61" t="n">
        <v>603450</v>
      </c>
      <c r="J298" s="63">
        <f>IF($A298="","",IFERROR(INDEX(부서매핑!$C$5:$C$504,MATCH($D298&amp;"",부서매핑!$A$5:$A$504,0)),"미매핑"))</f>
        <v/>
      </c>
      <c r="K298" s="63">
        <f>IF($A298="","",IFERROR(INDEX(계정매핑!$C$5:$C$504,MATCH($F298&amp;"",계정매핑!$A$5:$A$504,0)),"미매핑"))</f>
        <v/>
      </c>
      <c r="L298" s="4">
        <f>IF($A298="","",VALUE($A298&amp;""))</f>
        <v/>
      </c>
      <c r="M298" s="4">
        <f>IF($A298="","",VALUE($B298&amp;""))</f>
        <v/>
      </c>
      <c r="N298" s="64">
        <f>IF($A298="","",$H298*설정!$C$15)</f>
        <v/>
      </c>
      <c r="O298" s="4">
        <f>IF($A298="","",J298&amp;"|"&amp;K298)</f>
        <v/>
      </c>
      <c r="P298" s="63">
        <f>IF($A298="","",IF(COUNTIFS(예산_원본!$T$5:$T$3004,O298,예산_원본!$B$5:$B$3004,설정!$C$8,예산_원본!$U$5:$U$3004,L298)&gt;0,"Y","N"))</f>
        <v/>
      </c>
      <c r="Q298" s="63">
        <f>IF($A298="","",IF(COUNTIF(집계!$E$7:$E$506,O298)&gt;0,"Y","N"))</f>
        <v/>
      </c>
    </row>
    <row r="299">
      <c r="A299" s="60" t="n">
        <v>2025</v>
      </c>
      <c r="B299" s="60" t="n">
        <v>4</v>
      </c>
      <c r="C299" s="60" t="inlineStr">
        <is>
          <t>1000</t>
        </is>
      </c>
      <c r="D299" s="60" t="n">
        <v>1602</v>
      </c>
      <c r="E299" s="60" t="inlineStr">
        <is>
          <t>영업지원-지역본부</t>
        </is>
      </c>
      <c r="F299" s="60" t="n">
        <v>62601000</v>
      </c>
      <c r="G299" s="60" t="inlineStr">
        <is>
          <t>업무추진비</t>
        </is>
      </c>
      <c r="H299" s="61" t="n">
        <v>1465950</v>
      </c>
      <c r="J299" s="63">
        <f>IF($A299="","",IFERROR(INDEX(부서매핑!$C$5:$C$504,MATCH($D299&amp;"",부서매핑!$A$5:$A$504,0)),"미매핑"))</f>
        <v/>
      </c>
      <c r="K299" s="63">
        <f>IF($A299="","",IFERROR(INDEX(계정매핑!$C$5:$C$504,MATCH($F299&amp;"",계정매핑!$A$5:$A$504,0)),"미매핑"))</f>
        <v/>
      </c>
      <c r="L299" s="4">
        <f>IF($A299="","",VALUE($A299&amp;""))</f>
        <v/>
      </c>
      <c r="M299" s="4">
        <f>IF($A299="","",VALUE($B299&amp;""))</f>
        <v/>
      </c>
      <c r="N299" s="64">
        <f>IF($A299="","",$H299*설정!$C$15)</f>
        <v/>
      </c>
      <c r="O299" s="4">
        <f>IF($A299="","",J299&amp;"|"&amp;K299)</f>
        <v/>
      </c>
      <c r="P299" s="63">
        <f>IF($A299="","",IF(COUNTIFS(예산_원본!$T$5:$T$3004,O299,예산_원본!$B$5:$B$3004,설정!$C$8,예산_원본!$U$5:$U$3004,L299)&gt;0,"Y","N"))</f>
        <v/>
      </c>
      <c r="Q299" s="63">
        <f>IF($A299="","",IF(COUNTIF(집계!$E$7:$E$506,O299)&gt;0,"Y","N"))</f>
        <v/>
      </c>
    </row>
    <row r="300">
      <c r="A300" s="60" t="n">
        <v>2025</v>
      </c>
      <c r="B300" s="60" t="n">
        <v>4</v>
      </c>
      <c r="C300" s="60" t="inlineStr">
        <is>
          <t>1000</t>
        </is>
      </c>
      <c r="D300" s="60" t="n">
        <v>1602</v>
      </c>
      <c r="E300" s="60" t="inlineStr">
        <is>
          <t>영업지원-지역본부</t>
        </is>
      </c>
      <c r="F300" s="60" t="n">
        <v>63101000</v>
      </c>
      <c r="G300" s="60" t="inlineStr">
        <is>
          <t>임차료</t>
        </is>
      </c>
      <c r="H300" s="61" t="n">
        <v>7504880</v>
      </c>
      <c r="J300" s="63">
        <f>IF($A300="","",IFERROR(INDEX(부서매핑!$C$5:$C$504,MATCH($D300&amp;"",부서매핑!$A$5:$A$504,0)),"미매핑"))</f>
        <v/>
      </c>
      <c r="K300" s="63">
        <f>IF($A300="","",IFERROR(INDEX(계정매핑!$C$5:$C$504,MATCH($F300&amp;"",계정매핑!$A$5:$A$504,0)),"미매핑"))</f>
        <v/>
      </c>
      <c r="L300" s="4">
        <f>IF($A300="","",VALUE($A300&amp;""))</f>
        <v/>
      </c>
      <c r="M300" s="4">
        <f>IF($A300="","",VALUE($B300&amp;""))</f>
        <v/>
      </c>
      <c r="N300" s="64">
        <f>IF($A300="","",$H300*설정!$C$15)</f>
        <v/>
      </c>
      <c r="O300" s="4">
        <f>IF($A300="","",J300&amp;"|"&amp;K300)</f>
        <v/>
      </c>
      <c r="P300" s="63">
        <f>IF($A300="","",IF(COUNTIFS(예산_원본!$T$5:$T$3004,O300,예산_원본!$B$5:$B$3004,설정!$C$8,예산_원본!$U$5:$U$3004,L300)&gt;0,"Y","N"))</f>
        <v/>
      </c>
      <c r="Q300" s="63">
        <f>IF($A300="","",IF(COUNTIF(집계!$E$7:$E$506,O300)&gt;0,"Y","N"))</f>
        <v/>
      </c>
    </row>
    <row r="301">
      <c r="A301" s="60" t="n">
        <v>2025</v>
      </c>
      <c r="B301" s="60" t="n">
        <v>4</v>
      </c>
      <c r="C301" s="60" t="inlineStr">
        <is>
          <t>1000</t>
        </is>
      </c>
      <c r="D301" s="60" t="n">
        <v>1602</v>
      </c>
      <c r="E301" s="60" t="inlineStr">
        <is>
          <t>영업지원-지역본부</t>
        </is>
      </c>
      <c r="F301" s="60" t="n">
        <v>63201000</v>
      </c>
      <c r="G301" s="60" t="inlineStr">
        <is>
          <t>차량유지비</t>
        </is>
      </c>
      <c r="H301" s="61" t="n">
        <v>2768700</v>
      </c>
      <c r="J301" s="63">
        <f>IF($A301="","",IFERROR(INDEX(부서매핑!$C$5:$C$504,MATCH($D301&amp;"",부서매핑!$A$5:$A$504,0)),"미매핑"))</f>
        <v/>
      </c>
      <c r="K301" s="63">
        <f>IF($A301="","",IFERROR(INDEX(계정매핑!$C$5:$C$504,MATCH($F301&amp;"",계정매핑!$A$5:$A$504,0)),"미매핑"))</f>
        <v/>
      </c>
      <c r="L301" s="4">
        <f>IF($A301="","",VALUE($A301&amp;""))</f>
        <v/>
      </c>
      <c r="M301" s="4">
        <f>IF($A301="","",VALUE($B301&amp;""))</f>
        <v/>
      </c>
      <c r="N301" s="64">
        <f>IF($A301="","",$H301*설정!$C$15)</f>
        <v/>
      </c>
      <c r="O301" s="4">
        <f>IF($A301="","",J301&amp;"|"&amp;K301)</f>
        <v/>
      </c>
      <c r="P301" s="63">
        <f>IF($A301="","",IF(COUNTIFS(예산_원본!$T$5:$T$3004,O301,예산_원본!$B$5:$B$3004,설정!$C$8,예산_원본!$U$5:$U$3004,L301)&gt;0,"Y","N"))</f>
        <v/>
      </c>
      <c r="Q301" s="63">
        <f>IF($A301="","",IF(COUNTIF(집계!$E$7:$E$506,O301)&gt;0,"Y","N"))</f>
        <v/>
      </c>
    </row>
    <row r="302">
      <c r="A302" s="60" t="n">
        <v>2025</v>
      </c>
      <c r="B302" s="60" t="n">
        <v>4</v>
      </c>
      <c r="C302" s="60" t="inlineStr">
        <is>
          <t>1000</t>
        </is>
      </c>
      <c r="D302" s="60" t="n">
        <v>1701</v>
      </c>
      <c r="E302" s="60" t="inlineStr">
        <is>
          <t>IT운영</t>
        </is>
      </c>
      <c r="F302" s="60" t="n">
        <v>62101000</v>
      </c>
      <c r="G302" s="60" t="inlineStr">
        <is>
          <t>여비교통비-국내</t>
        </is>
      </c>
      <c r="H302" s="61" t="n">
        <v>1080540</v>
      </c>
      <c r="J302" s="63">
        <f>IF($A302="","",IFERROR(INDEX(부서매핑!$C$5:$C$504,MATCH($D302&amp;"",부서매핑!$A$5:$A$504,0)),"미매핑"))</f>
        <v/>
      </c>
      <c r="K302" s="63">
        <f>IF($A302="","",IFERROR(INDEX(계정매핑!$C$5:$C$504,MATCH($F302&amp;"",계정매핑!$A$5:$A$504,0)),"미매핑"))</f>
        <v/>
      </c>
      <c r="L302" s="4">
        <f>IF($A302="","",VALUE($A302&amp;""))</f>
        <v/>
      </c>
      <c r="M302" s="4">
        <f>IF($A302="","",VALUE($B302&amp;""))</f>
        <v/>
      </c>
      <c r="N302" s="64">
        <f>IF($A302="","",$H302*설정!$C$15)</f>
        <v/>
      </c>
      <c r="O302" s="4">
        <f>IF($A302="","",J302&amp;"|"&amp;K302)</f>
        <v/>
      </c>
      <c r="P302" s="63">
        <f>IF($A302="","",IF(COUNTIFS(예산_원본!$T$5:$T$3004,O302,예산_원본!$B$5:$B$3004,설정!$C$8,예산_원본!$U$5:$U$3004,L302)&gt;0,"Y","N"))</f>
        <v/>
      </c>
      <c r="Q302" s="63">
        <f>IF($A302="","",IF(COUNTIF(집계!$E$7:$E$506,O302)&gt;0,"Y","N"))</f>
        <v/>
      </c>
    </row>
    <row r="303">
      <c r="A303" s="60" t="n">
        <v>2025</v>
      </c>
      <c r="B303" s="60" t="n">
        <v>4</v>
      </c>
      <c r="C303" s="60" t="inlineStr">
        <is>
          <t>1000</t>
        </is>
      </c>
      <c r="D303" s="60" t="n">
        <v>1701</v>
      </c>
      <c r="E303" s="60" t="inlineStr">
        <is>
          <t>IT운영</t>
        </is>
      </c>
      <c r="F303" s="60" t="n">
        <v>62102000</v>
      </c>
      <c r="G303" s="60" t="inlineStr">
        <is>
          <t>여비교통비-해외</t>
        </is>
      </c>
      <c r="H303" s="61" t="n">
        <v>173290</v>
      </c>
      <c r="J303" s="63">
        <f>IF($A303="","",IFERROR(INDEX(부서매핑!$C$5:$C$504,MATCH($D303&amp;"",부서매핑!$A$5:$A$504,0)),"미매핑"))</f>
        <v/>
      </c>
      <c r="K303" s="63">
        <f>IF($A303="","",IFERROR(INDEX(계정매핑!$C$5:$C$504,MATCH($F303&amp;"",계정매핑!$A$5:$A$504,0)),"미매핑"))</f>
        <v/>
      </c>
      <c r="L303" s="4">
        <f>IF($A303="","",VALUE($A303&amp;""))</f>
        <v/>
      </c>
      <c r="M303" s="4">
        <f>IF($A303="","",VALUE($B303&amp;""))</f>
        <v/>
      </c>
      <c r="N303" s="64">
        <f>IF($A303="","",$H303*설정!$C$15)</f>
        <v/>
      </c>
      <c r="O303" s="4">
        <f>IF($A303="","",J303&amp;"|"&amp;K303)</f>
        <v/>
      </c>
      <c r="P303" s="63">
        <f>IF($A303="","",IF(COUNTIFS(예산_원본!$T$5:$T$3004,O303,예산_원본!$B$5:$B$3004,설정!$C$8,예산_원본!$U$5:$U$3004,L303)&gt;0,"Y","N"))</f>
        <v/>
      </c>
      <c r="Q303" s="63">
        <f>IF($A303="","",IF(COUNTIF(집계!$E$7:$E$506,O303)&gt;0,"Y","N"))</f>
        <v/>
      </c>
    </row>
    <row r="304">
      <c r="A304" s="60" t="n">
        <v>2025</v>
      </c>
      <c r="B304" s="60" t="n">
        <v>4</v>
      </c>
      <c r="C304" s="60" t="inlineStr">
        <is>
          <t>1000</t>
        </is>
      </c>
      <c r="D304" s="60" t="n">
        <v>1701</v>
      </c>
      <c r="E304" s="60" t="inlineStr">
        <is>
          <t>IT운영</t>
        </is>
      </c>
      <c r="F304" s="60" t="n">
        <v>62201000</v>
      </c>
      <c r="G304" s="60" t="inlineStr">
        <is>
          <t>통신비</t>
        </is>
      </c>
      <c r="H304" s="61" t="n">
        <v>12592190</v>
      </c>
      <c r="J304" s="63">
        <f>IF($A304="","",IFERROR(INDEX(부서매핑!$C$5:$C$504,MATCH($D304&amp;"",부서매핑!$A$5:$A$504,0)),"미매핑"))</f>
        <v/>
      </c>
      <c r="K304" s="63">
        <f>IF($A304="","",IFERROR(INDEX(계정매핑!$C$5:$C$504,MATCH($F304&amp;"",계정매핑!$A$5:$A$504,0)),"미매핑"))</f>
        <v/>
      </c>
      <c r="L304" s="4">
        <f>IF($A304="","",VALUE($A304&amp;""))</f>
        <v/>
      </c>
      <c r="M304" s="4">
        <f>IF($A304="","",VALUE($B304&amp;""))</f>
        <v/>
      </c>
      <c r="N304" s="64">
        <f>IF($A304="","",$H304*설정!$C$15)</f>
        <v/>
      </c>
      <c r="O304" s="4">
        <f>IF($A304="","",J304&amp;"|"&amp;K304)</f>
        <v/>
      </c>
      <c r="P304" s="63">
        <f>IF($A304="","",IF(COUNTIFS(예산_원본!$T$5:$T$3004,O304,예산_원본!$B$5:$B$3004,설정!$C$8,예산_원본!$U$5:$U$3004,L304)&gt;0,"Y","N"))</f>
        <v/>
      </c>
      <c r="Q304" s="63">
        <f>IF($A304="","",IF(COUNTIF(집계!$E$7:$E$506,O304)&gt;0,"Y","N"))</f>
        <v/>
      </c>
    </row>
    <row r="305">
      <c r="A305" s="60" t="n">
        <v>2025</v>
      </c>
      <c r="B305" s="60" t="n">
        <v>4</v>
      </c>
      <c r="C305" s="60" t="inlineStr">
        <is>
          <t>1000</t>
        </is>
      </c>
      <c r="D305" s="60" t="n">
        <v>1701</v>
      </c>
      <c r="E305" s="60" t="inlineStr">
        <is>
          <t>IT운영</t>
        </is>
      </c>
      <c r="F305" s="60" t="n">
        <v>62301000</v>
      </c>
      <c r="G305" s="60" t="inlineStr">
        <is>
          <t>소모품비</t>
        </is>
      </c>
      <c r="H305" s="61" t="n">
        <v>924960</v>
      </c>
      <c r="J305" s="63">
        <f>IF($A305="","",IFERROR(INDEX(부서매핑!$C$5:$C$504,MATCH($D305&amp;"",부서매핑!$A$5:$A$504,0)),"미매핑"))</f>
        <v/>
      </c>
      <c r="K305" s="63">
        <f>IF($A305="","",IFERROR(INDEX(계정매핑!$C$5:$C$504,MATCH($F305&amp;"",계정매핑!$A$5:$A$504,0)),"미매핑"))</f>
        <v/>
      </c>
      <c r="L305" s="4">
        <f>IF($A305="","",VALUE($A305&amp;""))</f>
        <v/>
      </c>
      <c r="M305" s="4">
        <f>IF($A305="","",VALUE($B305&amp;""))</f>
        <v/>
      </c>
      <c r="N305" s="64">
        <f>IF($A305="","",$H305*설정!$C$15)</f>
        <v/>
      </c>
      <c r="O305" s="4">
        <f>IF($A305="","",J305&amp;"|"&amp;K305)</f>
        <v/>
      </c>
      <c r="P305" s="63">
        <f>IF($A305="","",IF(COUNTIFS(예산_원본!$T$5:$T$3004,O305,예산_원본!$B$5:$B$3004,설정!$C$8,예산_원본!$U$5:$U$3004,L305)&gt;0,"Y","N"))</f>
        <v/>
      </c>
      <c r="Q305" s="63">
        <f>IF($A305="","",IF(COUNTIF(집계!$E$7:$E$506,O305)&gt;0,"Y","N"))</f>
        <v/>
      </c>
    </row>
    <row r="306">
      <c r="A306" s="60" t="n">
        <v>2025</v>
      </c>
      <c r="B306" s="60" t="n">
        <v>4</v>
      </c>
      <c r="C306" s="60" t="inlineStr">
        <is>
          <t>1000</t>
        </is>
      </c>
      <c r="D306" s="60" t="n">
        <v>1701</v>
      </c>
      <c r="E306" s="60" t="inlineStr">
        <is>
          <t>IT운영</t>
        </is>
      </c>
      <c r="F306" s="60" t="n">
        <v>62501000</v>
      </c>
      <c r="G306" s="60" t="inlineStr">
        <is>
          <t>회의비</t>
        </is>
      </c>
      <c r="H306" s="61" t="n">
        <v>379060</v>
      </c>
      <c r="J306" s="63">
        <f>IF($A306="","",IFERROR(INDEX(부서매핑!$C$5:$C$504,MATCH($D306&amp;"",부서매핑!$A$5:$A$504,0)),"미매핑"))</f>
        <v/>
      </c>
      <c r="K306" s="63">
        <f>IF($A306="","",IFERROR(INDEX(계정매핑!$C$5:$C$504,MATCH($F306&amp;"",계정매핑!$A$5:$A$504,0)),"미매핑"))</f>
        <v/>
      </c>
      <c r="L306" s="4">
        <f>IF($A306="","",VALUE($A306&amp;""))</f>
        <v/>
      </c>
      <c r="M306" s="4">
        <f>IF($A306="","",VALUE($B306&amp;""))</f>
        <v/>
      </c>
      <c r="N306" s="64">
        <f>IF($A306="","",$H306*설정!$C$15)</f>
        <v/>
      </c>
      <c r="O306" s="4">
        <f>IF($A306="","",J306&amp;"|"&amp;K306)</f>
        <v/>
      </c>
      <c r="P306" s="63">
        <f>IF($A306="","",IF(COUNTIFS(예산_원본!$T$5:$T$3004,O306,예산_원본!$B$5:$B$3004,설정!$C$8,예산_원본!$U$5:$U$3004,L306)&gt;0,"Y","N"))</f>
        <v/>
      </c>
      <c r="Q306" s="63">
        <f>IF($A306="","",IF(COUNTIF(집계!$E$7:$E$506,O306)&gt;0,"Y","N"))</f>
        <v/>
      </c>
    </row>
    <row r="307">
      <c r="A307" s="60" t="n">
        <v>2025</v>
      </c>
      <c r="B307" s="60" t="n">
        <v>4</v>
      </c>
      <c r="C307" s="60" t="inlineStr">
        <is>
          <t>1000</t>
        </is>
      </c>
      <c r="D307" s="60" t="n">
        <v>1701</v>
      </c>
      <c r="E307" s="60" t="inlineStr">
        <is>
          <t>IT운영</t>
        </is>
      </c>
      <c r="F307" s="60" t="n">
        <v>63001000</v>
      </c>
      <c r="G307" s="60" t="inlineStr">
        <is>
          <t>전산운영비-SW유지보수</t>
        </is>
      </c>
      <c r="H307" s="61" t="n">
        <v>81770440</v>
      </c>
      <c r="J307" s="63">
        <f>IF($A307="","",IFERROR(INDEX(부서매핑!$C$5:$C$504,MATCH($D307&amp;"",부서매핑!$A$5:$A$504,0)),"미매핑"))</f>
        <v/>
      </c>
      <c r="K307" s="63">
        <f>IF($A307="","",IFERROR(INDEX(계정매핑!$C$5:$C$504,MATCH($F307&amp;"",계정매핑!$A$5:$A$504,0)),"미매핑"))</f>
        <v/>
      </c>
      <c r="L307" s="4">
        <f>IF($A307="","",VALUE($A307&amp;""))</f>
        <v/>
      </c>
      <c r="M307" s="4">
        <f>IF($A307="","",VALUE($B307&amp;""))</f>
        <v/>
      </c>
      <c r="N307" s="64">
        <f>IF($A307="","",$H307*설정!$C$15)</f>
        <v/>
      </c>
      <c r="O307" s="4">
        <f>IF($A307="","",J307&amp;"|"&amp;K307)</f>
        <v/>
      </c>
      <c r="P307" s="63">
        <f>IF($A307="","",IF(COUNTIFS(예산_원본!$T$5:$T$3004,O307,예산_원본!$B$5:$B$3004,설정!$C$8,예산_원본!$U$5:$U$3004,L307)&gt;0,"Y","N"))</f>
        <v/>
      </c>
      <c r="Q307" s="63">
        <f>IF($A307="","",IF(COUNTIF(집계!$E$7:$E$506,O307)&gt;0,"Y","N"))</f>
        <v/>
      </c>
    </row>
    <row r="308">
      <c r="A308" s="60" t="n">
        <v>2025</v>
      </c>
      <c r="B308" s="60" t="n">
        <v>4</v>
      </c>
      <c r="C308" s="60" t="inlineStr">
        <is>
          <t>1000</t>
        </is>
      </c>
      <c r="D308" s="60" t="n">
        <v>1701</v>
      </c>
      <c r="E308" s="60" t="inlineStr">
        <is>
          <t>IT운영</t>
        </is>
      </c>
      <c r="F308" s="60" t="n">
        <v>63002000</v>
      </c>
      <c r="G308" s="60" t="inlineStr">
        <is>
          <t>전산운영비-클라우드</t>
        </is>
      </c>
      <c r="H308" s="61" t="n">
        <v>79386420</v>
      </c>
      <c r="J308" s="63">
        <f>IF($A308="","",IFERROR(INDEX(부서매핑!$C$5:$C$504,MATCH($D308&amp;"",부서매핑!$A$5:$A$504,0)),"미매핑"))</f>
        <v/>
      </c>
      <c r="K308" s="63">
        <f>IF($A308="","",IFERROR(INDEX(계정매핑!$C$5:$C$504,MATCH($F308&amp;"",계정매핑!$A$5:$A$504,0)),"미매핑"))</f>
        <v/>
      </c>
      <c r="L308" s="4">
        <f>IF($A308="","",VALUE($A308&amp;""))</f>
        <v/>
      </c>
      <c r="M308" s="4">
        <f>IF($A308="","",VALUE($B308&amp;""))</f>
        <v/>
      </c>
      <c r="N308" s="64">
        <f>IF($A308="","",$H308*설정!$C$15)</f>
        <v/>
      </c>
      <c r="O308" s="4">
        <f>IF($A308="","",J308&amp;"|"&amp;K308)</f>
        <v/>
      </c>
      <c r="P308" s="63">
        <f>IF($A308="","",IF(COUNTIFS(예산_원본!$T$5:$T$3004,O308,예산_원본!$B$5:$B$3004,설정!$C$8,예산_원본!$U$5:$U$3004,L308)&gt;0,"Y","N"))</f>
        <v/>
      </c>
      <c r="Q308" s="63">
        <f>IF($A308="","",IF(COUNTIF(집계!$E$7:$E$506,O308)&gt;0,"Y","N"))</f>
        <v/>
      </c>
    </row>
    <row r="309">
      <c r="A309" s="60" t="n">
        <v>2025</v>
      </c>
      <c r="B309" s="60" t="n">
        <v>4</v>
      </c>
      <c r="C309" s="60" t="inlineStr">
        <is>
          <t>1000</t>
        </is>
      </c>
      <c r="D309" s="60" t="n">
        <v>1801</v>
      </c>
      <c r="E309" s="60" t="inlineStr">
        <is>
          <t>고객서비스</t>
        </is>
      </c>
      <c r="F309" s="60" t="n">
        <v>62101000</v>
      </c>
      <c r="G309" s="60" t="inlineStr">
        <is>
          <t>여비교통비-국내</t>
        </is>
      </c>
      <c r="H309" s="61" t="n">
        <v>731640</v>
      </c>
      <c r="J309" s="63">
        <f>IF($A309="","",IFERROR(INDEX(부서매핑!$C$5:$C$504,MATCH($D309&amp;"",부서매핑!$A$5:$A$504,0)),"미매핑"))</f>
        <v/>
      </c>
      <c r="K309" s="63">
        <f>IF($A309="","",IFERROR(INDEX(계정매핑!$C$5:$C$504,MATCH($F309&amp;"",계정매핑!$A$5:$A$504,0)),"미매핑"))</f>
        <v/>
      </c>
      <c r="L309" s="4">
        <f>IF($A309="","",VALUE($A309&amp;""))</f>
        <v/>
      </c>
      <c r="M309" s="4">
        <f>IF($A309="","",VALUE($B309&amp;""))</f>
        <v/>
      </c>
      <c r="N309" s="64">
        <f>IF($A309="","",$H309*설정!$C$15)</f>
        <v/>
      </c>
      <c r="O309" s="4">
        <f>IF($A309="","",J309&amp;"|"&amp;K309)</f>
        <v/>
      </c>
      <c r="P309" s="63">
        <f>IF($A309="","",IF(COUNTIFS(예산_원본!$T$5:$T$3004,O309,예산_원본!$B$5:$B$3004,설정!$C$8,예산_원본!$U$5:$U$3004,L309)&gt;0,"Y","N"))</f>
        <v/>
      </c>
      <c r="Q309" s="63">
        <f>IF($A309="","",IF(COUNTIF(집계!$E$7:$E$506,O309)&gt;0,"Y","N"))</f>
        <v/>
      </c>
    </row>
    <row r="310">
      <c r="A310" s="60" t="n">
        <v>2025</v>
      </c>
      <c r="B310" s="60" t="n">
        <v>4</v>
      </c>
      <c r="C310" s="60" t="inlineStr">
        <is>
          <t>1000</t>
        </is>
      </c>
      <c r="D310" s="60" t="n">
        <v>1801</v>
      </c>
      <c r="E310" s="60" t="inlineStr">
        <is>
          <t>고객서비스</t>
        </is>
      </c>
      <c r="F310" s="60" t="n">
        <v>62102000</v>
      </c>
      <c r="G310" s="60" t="inlineStr">
        <is>
          <t>여비교통비-해외</t>
        </is>
      </c>
      <c r="H310" s="61" t="n">
        <v>123940</v>
      </c>
      <c r="J310" s="63">
        <f>IF($A310="","",IFERROR(INDEX(부서매핑!$C$5:$C$504,MATCH($D310&amp;"",부서매핑!$A$5:$A$504,0)),"미매핑"))</f>
        <v/>
      </c>
      <c r="K310" s="63">
        <f>IF($A310="","",IFERROR(INDEX(계정매핑!$C$5:$C$504,MATCH($F310&amp;"",계정매핑!$A$5:$A$504,0)),"미매핑"))</f>
        <v/>
      </c>
      <c r="L310" s="4">
        <f>IF($A310="","",VALUE($A310&amp;""))</f>
        <v/>
      </c>
      <c r="M310" s="4">
        <f>IF($A310="","",VALUE($B310&amp;""))</f>
        <v/>
      </c>
      <c r="N310" s="64">
        <f>IF($A310="","",$H310*설정!$C$15)</f>
        <v/>
      </c>
      <c r="O310" s="4">
        <f>IF($A310="","",J310&amp;"|"&amp;K310)</f>
        <v/>
      </c>
      <c r="P310" s="63">
        <f>IF($A310="","",IF(COUNTIFS(예산_원본!$T$5:$T$3004,O310,예산_원본!$B$5:$B$3004,설정!$C$8,예산_원본!$U$5:$U$3004,L310)&gt;0,"Y","N"))</f>
        <v/>
      </c>
      <c r="Q310" s="63">
        <f>IF($A310="","",IF(COUNTIF(집계!$E$7:$E$506,O310)&gt;0,"Y","N"))</f>
        <v/>
      </c>
    </row>
    <row r="311">
      <c r="A311" s="60" t="n">
        <v>2025</v>
      </c>
      <c r="B311" s="60" t="n">
        <v>4</v>
      </c>
      <c r="C311" s="60" t="inlineStr">
        <is>
          <t>1000</t>
        </is>
      </c>
      <c r="D311" s="60" t="n">
        <v>1801</v>
      </c>
      <c r="E311" s="60" t="inlineStr">
        <is>
          <t>고객서비스</t>
        </is>
      </c>
      <c r="F311" s="60" t="n">
        <v>62201000</v>
      </c>
      <c r="G311" s="60" t="inlineStr">
        <is>
          <t>통신비</t>
        </is>
      </c>
      <c r="H311" s="61" t="n">
        <v>18299050</v>
      </c>
      <c r="J311" s="63">
        <f>IF($A311="","",IFERROR(INDEX(부서매핑!$C$5:$C$504,MATCH($D311&amp;"",부서매핑!$A$5:$A$504,0)),"미매핑"))</f>
        <v/>
      </c>
      <c r="K311" s="63">
        <f>IF($A311="","",IFERROR(INDEX(계정매핑!$C$5:$C$504,MATCH($F311&amp;"",계정매핑!$A$5:$A$504,0)),"미매핑"))</f>
        <v/>
      </c>
      <c r="L311" s="4">
        <f>IF($A311="","",VALUE($A311&amp;""))</f>
        <v/>
      </c>
      <c r="M311" s="4">
        <f>IF($A311="","",VALUE($B311&amp;""))</f>
        <v/>
      </c>
      <c r="N311" s="64">
        <f>IF($A311="","",$H311*설정!$C$15)</f>
        <v/>
      </c>
      <c r="O311" s="4">
        <f>IF($A311="","",J311&amp;"|"&amp;K311)</f>
        <v/>
      </c>
      <c r="P311" s="63">
        <f>IF($A311="","",IF(COUNTIFS(예산_원본!$T$5:$T$3004,O311,예산_원본!$B$5:$B$3004,설정!$C$8,예산_원본!$U$5:$U$3004,L311)&gt;0,"Y","N"))</f>
        <v/>
      </c>
      <c r="Q311" s="63">
        <f>IF($A311="","",IF(COUNTIF(집계!$E$7:$E$506,O311)&gt;0,"Y","N"))</f>
        <v/>
      </c>
    </row>
    <row r="312">
      <c r="A312" s="60" t="n">
        <v>2025</v>
      </c>
      <c r="B312" s="60" t="n">
        <v>4</v>
      </c>
      <c r="C312" s="60" t="inlineStr">
        <is>
          <t>1000</t>
        </is>
      </c>
      <c r="D312" s="60" t="n">
        <v>1801</v>
      </c>
      <c r="E312" s="60" t="inlineStr">
        <is>
          <t>고객서비스</t>
        </is>
      </c>
      <c r="F312" s="60" t="n">
        <v>62301000</v>
      </c>
      <c r="G312" s="60" t="inlineStr">
        <is>
          <t>소모품비</t>
        </is>
      </c>
      <c r="H312" s="61" t="n">
        <v>1299270</v>
      </c>
      <c r="J312" s="63">
        <f>IF($A312="","",IFERROR(INDEX(부서매핑!$C$5:$C$504,MATCH($D312&amp;"",부서매핑!$A$5:$A$504,0)),"미매핑"))</f>
        <v/>
      </c>
      <c r="K312" s="63">
        <f>IF($A312="","",IFERROR(INDEX(계정매핑!$C$5:$C$504,MATCH($F312&amp;"",계정매핑!$A$5:$A$504,0)),"미매핑"))</f>
        <v/>
      </c>
      <c r="L312" s="4">
        <f>IF($A312="","",VALUE($A312&amp;""))</f>
        <v/>
      </c>
      <c r="M312" s="4">
        <f>IF($A312="","",VALUE($B312&amp;""))</f>
        <v/>
      </c>
      <c r="N312" s="64">
        <f>IF($A312="","",$H312*설정!$C$15)</f>
        <v/>
      </c>
      <c r="O312" s="4">
        <f>IF($A312="","",J312&amp;"|"&amp;K312)</f>
        <v/>
      </c>
      <c r="P312" s="63">
        <f>IF($A312="","",IF(COUNTIFS(예산_원본!$T$5:$T$3004,O312,예산_원본!$B$5:$B$3004,설정!$C$8,예산_원본!$U$5:$U$3004,L312)&gt;0,"Y","N"))</f>
        <v/>
      </c>
      <c r="Q312" s="63">
        <f>IF($A312="","",IF(COUNTIF(집계!$E$7:$E$506,O312)&gt;0,"Y","N"))</f>
        <v/>
      </c>
    </row>
    <row r="313">
      <c r="A313" s="60" t="n">
        <v>2025</v>
      </c>
      <c r="B313" s="60" t="n">
        <v>4</v>
      </c>
      <c r="C313" s="60" t="inlineStr">
        <is>
          <t>1000</t>
        </is>
      </c>
      <c r="D313" s="60" t="n">
        <v>1801</v>
      </c>
      <c r="E313" s="60" t="inlineStr">
        <is>
          <t>고객서비스</t>
        </is>
      </c>
      <c r="F313" s="60" t="n">
        <v>62401000</v>
      </c>
      <c r="G313" s="60" t="inlineStr">
        <is>
          <t>도서인쇄비</t>
        </is>
      </c>
      <c r="H313" s="61" t="n">
        <v>8022580</v>
      </c>
      <c r="J313" s="63">
        <f>IF($A313="","",IFERROR(INDEX(부서매핑!$C$5:$C$504,MATCH($D313&amp;"",부서매핑!$A$5:$A$504,0)),"미매핑"))</f>
        <v/>
      </c>
      <c r="K313" s="63">
        <f>IF($A313="","",IFERROR(INDEX(계정매핑!$C$5:$C$504,MATCH($F313&amp;"",계정매핑!$A$5:$A$504,0)),"미매핑"))</f>
        <v/>
      </c>
      <c r="L313" s="4">
        <f>IF($A313="","",VALUE($A313&amp;""))</f>
        <v/>
      </c>
      <c r="M313" s="4">
        <f>IF($A313="","",VALUE($B313&amp;""))</f>
        <v/>
      </c>
      <c r="N313" s="64">
        <f>IF($A313="","",$H313*설정!$C$15)</f>
        <v/>
      </c>
      <c r="O313" s="4">
        <f>IF($A313="","",J313&amp;"|"&amp;K313)</f>
        <v/>
      </c>
      <c r="P313" s="63">
        <f>IF($A313="","",IF(COUNTIFS(예산_원본!$T$5:$T$3004,O313,예산_원본!$B$5:$B$3004,설정!$C$8,예산_원본!$U$5:$U$3004,L313)&gt;0,"Y","N"))</f>
        <v/>
      </c>
      <c r="Q313" s="63">
        <f>IF($A313="","",IF(COUNTIF(집계!$E$7:$E$506,O313)&gt;0,"Y","N"))</f>
        <v/>
      </c>
    </row>
    <row r="314">
      <c r="A314" s="60" t="n">
        <v>2025</v>
      </c>
      <c r="B314" s="60" t="n">
        <v>4</v>
      </c>
      <c r="C314" s="60" t="inlineStr">
        <is>
          <t>1000</t>
        </is>
      </c>
      <c r="D314" s="60" t="n">
        <v>1801</v>
      </c>
      <c r="E314" s="60" t="inlineStr">
        <is>
          <t>고객서비스</t>
        </is>
      </c>
      <c r="F314" s="60" t="n">
        <v>62501000</v>
      </c>
      <c r="G314" s="60" t="inlineStr">
        <is>
          <t>회의비</t>
        </is>
      </c>
      <c r="H314" s="61" t="n">
        <v>489740</v>
      </c>
      <c r="J314" s="63">
        <f>IF($A314="","",IFERROR(INDEX(부서매핑!$C$5:$C$504,MATCH($D314&amp;"",부서매핑!$A$5:$A$504,0)),"미매핑"))</f>
        <v/>
      </c>
      <c r="K314" s="63">
        <f>IF($A314="","",IFERROR(INDEX(계정매핑!$C$5:$C$504,MATCH($F314&amp;"",계정매핑!$A$5:$A$504,0)),"미매핑"))</f>
        <v/>
      </c>
      <c r="L314" s="4">
        <f>IF($A314="","",VALUE($A314&amp;""))</f>
        <v/>
      </c>
      <c r="M314" s="4">
        <f>IF($A314="","",VALUE($B314&amp;""))</f>
        <v/>
      </c>
      <c r="N314" s="64">
        <f>IF($A314="","",$H314*설정!$C$15)</f>
        <v/>
      </c>
      <c r="O314" s="4">
        <f>IF($A314="","",J314&amp;"|"&amp;K314)</f>
        <v/>
      </c>
      <c r="P314" s="63">
        <f>IF($A314="","",IF(COUNTIFS(예산_원본!$T$5:$T$3004,O314,예산_원본!$B$5:$B$3004,설정!$C$8,예산_원본!$U$5:$U$3004,L314)&gt;0,"Y","N"))</f>
        <v/>
      </c>
      <c r="Q314" s="63">
        <f>IF($A314="","",IF(COUNTIF(집계!$E$7:$E$506,O314)&gt;0,"Y","N"))</f>
        <v/>
      </c>
    </row>
    <row r="315">
      <c r="A315" s="60" t="n">
        <v>2025</v>
      </c>
      <c r="B315" s="60" t="n">
        <v>4</v>
      </c>
      <c r="C315" s="60" t="inlineStr">
        <is>
          <t>1000</t>
        </is>
      </c>
      <c r="D315" s="60" t="n">
        <v>1801</v>
      </c>
      <c r="E315" s="60" t="inlineStr">
        <is>
          <t>고객서비스</t>
        </is>
      </c>
      <c r="F315" s="60" t="n">
        <v>62901000</v>
      </c>
      <c r="G315" s="60" t="inlineStr">
        <is>
          <t>지급수수료-컨설팅</t>
        </is>
      </c>
      <c r="H315" s="61" t="n">
        <v>26724810</v>
      </c>
      <c r="J315" s="63">
        <f>IF($A315="","",IFERROR(INDEX(부서매핑!$C$5:$C$504,MATCH($D315&amp;"",부서매핑!$A$5:$A$504,0)),"미매핑"))</f>
        <v/>
      </c>
      <c r="K315" s="63">
        <f>IF($A315="","",IFERROR(INDEX(계정매핑!$C$5:$C$504,MATCH($F315&amp;"",계정매핑!$A$5:$A$504,0)),"미매핑"))</f>
        <v/>
      </c>
      <c r="L315" s="4">
        <f>IF($A315="","",VALUE($A315&amp;""))</f>
        <v/>
      </c>
      <c r="M315" s="4">
        <f>IF($A315="","",VALUE($B315&amp;""))</f>
        <v/>
      </c>
      <c r="N315" s="64">
        <f>IF($A315="","",$H315*설정!$C$15)</f>
        <v/>
      </c>
      <c r="O315" s="4">
        <f>IF($A315="","",J315&amp;"|"&amp;K315)</f>
        <v/>
      </c>
      <c r="P315" s="63">
        <f>IF($A315="","",IF(COUNTIFS(예산_원본!$T$5:$T$3004,O315,예산_원본!$B$5:$B$3004,설정!$C$8,예산_원본!$U$5:$U$3004,L315)&gt;0,"Y","N"))</f>
        <v/>
      </c>
      <c r="Q315" s="63">
        <f>IF($A315="","",IF(COUNTIF(집계!$E$7:$E$506,O315)&gt;0,"Y","N"))</f>
        <v/>
      </c>
    </row>
    <row r="316">
      <c r="A316" s="60" t="n">
        <v>2025</v>
      </c>
      <c r="B316" s="60" t="n">
        <v>4</v>
      </c>
      <c r="C316" s="60" t="inlineStr">
        <is>
          <t>1000</t>
        </is>
      </c>
      <c r="D316" s="60" t="n">
        <v>1801</v>
      </c>
      <c r="E316" s="60" t="inlineStr">
        <is>
          <t>고객서비스</t>
        </is>
      </c>
      <c r="F316" s="60" t="n">
        <v>62902000</v>
      </c>
      <c r="G316" s="60" t="inlineStr">
        <is>
          <t>지급수수료-기타</t>
        </is>
      </c>
      <c r="H316" s="61" t="n">
        <v>10900150</v>
      </c>
      <c r="J316" s="63">
        <f>IF($A316="","",IFERROR(INDEX(부서매핑!$C$5:$C$504,MATCH($D316&amp;"",부서매핑!$A$5:$A$504,0)),"미매핑"))</f>
        <v/>
      </c>
      <c r="K316" s="63">
        <f>IF($A316="","",IFERROR(INDEX(계정매핑!$C$5:$C$504,MATCH($F316&amp;"",계정매핑!$A$5:$A$504,0)),"미매핑"))</f>
        <v/>
      </c>
      <c r="L316" s="4">
        <f>IF($A316="","",VALUE($A316&amp;""))</f>
        <v/>
      </c>
      <c r="M316" s="4">
        <f>IF($A316="","",VALUE($B316&amp;""))</f>
        <v/>
      </c>
      <c r="N316" s="64">
        <f>IF($A316="","",$H316*설정!$C$15)</f>
        <v/>
      </c>
      <c r="O316" s="4">
        <f>IF($A316="","",J316&amp;"|"&amp;K316)</f>
        <v/>
      </c>
      <c r="P316" s="63">
        <f>IF($A316="","",IF(COUNTIFS(예산_원본!$T$5:$T$3004,O316,예산_원본!$B$5:$B$3004,설정!$C$8,예산_원본!$U$5:$U$3004,L316)&gt;0,"Y","N"))</f>
        <v/>
      </c>
      <c r="Q316" s="63">
        <f>IF($A316="","",IF(COUNTIF(집계!$E$7:$E$506,O316)&gt;0,"Y","N"))</f>
        <v/>
      </c>
    </row>
    <row r="317">
      <c r="A317" s="60" t="n">
        <v>2025</v>
      </c>
      <c r="B317" s="60" t="n">
        <v>5</v>
      </c>
      <c r="C317" s="60" t="inlineStr">
        <is>
          <t>1000</t>
        </is>
      </c>
      <c r="D317" s="60" t="n">
        <v>1101</v>
      </c>
      <c r="E317" s="60" t="inlineStr">
        <is>
          <t>경영기획</t>
        </is>
      </c>
      <c r="F317" s="60" t="n">
        <v>62101000</v>
      </c>
      <c r="G317" s="60" t="inlineStr">
        <is>
          <t>여비교통비-국내</t>
        </is>
      </c>
      <c r="H317" s="61" t="n">
        <v>1864800</v>
      </c>
      <c r="J317" s="63">
        <f>IF($A317="","",IFERROR(INDEX(부서매핑!$C$5:$C$504,MATCH($D317&amp;"",부서매핑!$A$5:$A$504,0)),"미매핑"))</f>
        <v/>
      </c>
      <c r="K317" s="63">
        <f>IF($A317="","",IFERROR(INDEX(계정매핑!$C$5:$C$504,MATCH($F317&amp;"",계정매핑!$A$5:$A$504,0)),"미매핑"))</f>
        <v/>
      </c>
      <c r="L317" s="4">
        <f>IF($A317="","",VALUE($A317&amp;""))</f>
        <v/>
      </c>
      <c r="M317" s="4">
        <f>IF($A317="","",VALUE($B317&amp;""))</f>
        <v/>
      </c>
      <c r="N317" s="64">
        <f>IF($A317="","",$H317*설정!$C$15)</f>
        <v/>
      </c>
      <c r="O317" s="4">
        <f>IF($A317="","",J317&amp;"|"&amp;K317)</f>
        <v/>
      </c>
      <c r="P317" s="63">
        <f>IF($A317="","",IF(COUNTIFS(예산_원본!$T$5:$T$3004,O317,예산_원본!$B$5:$B$3004,설정!$C$8,예산_원본!$U$5:$U$3004,L317)&gt;0,"Y","N"))</f>
        <v/>
      </c>
      <c r="Q317" s="63">
        <f>IF($A317="","",IF(COUNTIF(집계!$E$7:$E$506,O317)&gt;0,"Y","N"))</f>
        <v/>
      </c>
    </row>
    <row r="318">
      <c r="A318" s="60" t="n">
        <v>2025</v>
      </c>
      <c r="B318" s="60" t="n">
        <v>5</v>
      </c>
      <c r="C318" s="60" t="inlineStr">
        <is>
          <t>1000</t>
        </is>
      </c>
      <c r="D318" s="60" t="n">
        <v>1101</v>
      </c>
      <c r="E318" s="60" t="inlineStr">
        <is>
          <t>경영기획</t>
        </is>
      </c>
      <c r="F318" s="60" t="n">
        <v>62102000</v>
      </c>
      <c r="G318" s="60" t="inlineStr">
        <is>
          <t>여비교통비-해외</t>
        </is>
      </c>
      <c r="H318" s="61" t="n">
        <v>357240</v>
      </c>
      <c r="J318" s="63">
        <f>IF($A318="","",IFERROR(INDEX(부서매핑!$C$5:$C$504,MATCH($D318&amp;"",부서매핑!$A$5:$A$504,0)),"미매핑"))</f>
        <v/>
      </c>
      <c r="K318" s="63">
        <f>IF($A318="","",IFERROR(INDEX(계정매핑!$C$5:$C$504,MATCH($F318&amp;"",계정매핑!$A$5:$A$504,0)),"미매핑"))</f>
        <v/>
      </c>
      <c r="L318" s="4">
        <f>IF($A318="","",VALUE($A318&amp;""))</f>
        <v/>
      </c>
      <c r="M318" s="4">
        <f>IF($A318="","",VALUE($B318&amp;""))</f>
        <v/>
      </c>
      <c r="N318" s="64">
        <f>IF($A318="","",$H318*설정!$C$15)</f>
        <v/>
      </c>
      <c r="O318" s="4">
        <f>IF($A318="","",J318&amp;"|"&amp;K318)</f>
        <v/>
      </c>
      <c r="P318" s="63">
        <f>IF($A318="","",IF(COUNTIFS(예산_원본!$T$5:$T$3004,O318,예산_원본!$B$5:$B$3004,설정!$C$8,예산_원본!$U$5:$U$3004,L318)&gt;0,"Y","N"))</f>
        <v/>
      </c>
      <c r="Q318" s="63">
        <f>IF($A318="","",IF(COUNTIF(집계!$E$7:$E$506,O318)&gt;0,"Y","N"))</f>
        <v/>
      </c>
    </row>
    <row r="319">
      <c r="A319" s="60" t="n">
        <v>2025</v>
      </c>
      <c r="B319" s="60" t="n">
        <v>5</v>
      </c>
      <c r="C319" s="60" t="inlineStr">
        <is>
          <t>1000</t>
        </is>
      </c>
      <c r="D319" s="60" t="n">
        <v>1101</v>
      </c>
      <c r="E319" s="60" t="inlineStr">
        <is>
          <t>경영기획</t>
        </is>
      </c>
      <c r="F319" s="60" t="n">
        <v>62201000</v>
      </c>
      <c r="G319" s="60" t="inlineStr">
        <is>
          <t>통신비</t>
        </is>
      </c>
      <c r="H319" s="61" t="n">
        <v>713660</v>
      </c>
      <c r="J319" s="63">
        <f>IF($A319="","",IFERROR(INDEX(부서매핑!$C$5:$C$504,MATCH($D319&amp;"",부서매핑!$A$5:$A$504,0)),"미매핑"))</f>
        <v/>
      </c>
      <c r="K319" s="63">
        <f>IF($A319="","",IFERROR(INDEX(계정매핑!$C$5:$C$504,MATCH($F319&amp;"",계정매핑!$A$5:$A$504,0)),"미매핑"))</f>
        <v/>
      </c>
      <c r="L319" s="4">
        <f>IF($A319="","",VALUE($A319&amp;""))</f>
        <v/>
      </c>
      <c r="M319" s="4">
        <f>IF($A319="","",VALUE($B319&amp;""))</f>
        <v/>
      </c>
      <c r="N319" s="64">
        <f>IF($A319="","",$H319*설정!$C$15)</f>
        <v/>
      </c>
      <c r="O319" s="4">
        <f>IF($A319="","",J319&amp;"|"&amp;K319)</f>
        <v/>
      </c>
      <c r="P319" s="63">
        <f>IF($A319="","",IF(COUNTIFS(예산_원본!$T$5:$T$3004,O319,예산_원본!$B$5:$B$3004,설정!$C$8,예산_원본!$U$5:$U$3004,L319)&gt;0,"Y","N"))</f>
        <v/>
      </c>
      <c r="Q319" s="63">
        <f>IF($A319="","",IF(COUNTIF(집계!$E$7:$E$506,O319)&gt;0,"Y","N"))</f>
        <v/>
      </c>
    </row>
    <row r="320">
      <c r="A320" s="60" t="n">
        <v>2025</v>
      </c>
      <c r="B320" s="60" t="n">
        <v>5</v>
      </c>
      <c r="C320" s="60" t="inlineStr">
        <is>
          <t>1000</t>
        </is>
      </c>
      <c r="D320" s="60" t="n">
        <v>1101</v>
      </c>
      <c r="E320" s="60" t="inlineStr">
        <is>
          <t>경영기획</t>
        </is>
      </c>
      <c r="F320" s="60" t="n">
        <v>62301000</v>
      </c>
      <c r="G320" s="60" t="inlineStr">
        <is>
          <t>소모품비</t>
        </is>
      </c>
      <c r="H320" s="61" t="n">
        <v>529210</v>
      </c>
      <c r="J320" s="63">
        <f>IF($A320="","",IFERROR(INDEX(부서매핑!$C$5:$C$504,MATCH($D320&amp;"",부서매핑!$A$5:$A$504,0)),"미매핑"))</f>
        <v/>
      </c>
      <c r="K320" s="63">
        <f>IF($A320="","",IFERROR(INDEX(계정매핑!$C$5:$C$504,MATCH($F320&amp;"",계정매핑!$A$5:$A$504,0)),"미매핑"))</f>
        <v/>
      </c>
      <c r="L320" s="4">
        <f>IF($A320="","",VALUE($A320&amp;""))</f>
        <v/>
      </c>
      <c r="M320" s="4">
        <f>IF($A320="","",VALUE($B320&amp;""))</f>
        <v/>
      </c>
      <c r="N320" s="64">
        <f>IF($A320="","",$H320*설정!$C$15)</f>
        <v/>
      </c>
      <c r="O320" s="4">
        <f>IF($A320="","",J320&amp;"|"&amp;K320)</f>
        <v/>
      </c>
      <c r="P320" s="63">
        <f>IF($A320="","",IF(COUNTIFS(예산_원본!$T$5:$T$3004,O320,예산_원본!$B$5:$B$3004,설정!$C$8,예산_원본!$U$5:$U$3004,L320)&gt;0,"Y","N"))</f>
        <v/>
      </c>
      <c r="Q320" s="63">
        <f>IF($A320="","",IF(COUNTIF(집계!$E$7:$E$506,O320)&gt;0,"Y","N"))</f>
        <v/>
      </c>
    </row>
    <row r="321">
      <c r="A321" s="60" t="n">
        <v>2025</v>
      </c>
      <c r="B321" s="60" t="n">
        <v>5</v>
      </c>
      <c r="C321" s="60" t="inlineStr">
        <is>
          <t>1000</t>
        </is>
      </c>
      <c r="D321" s="60" t="n">
        <v>1101</v>
      </c>
      <c r="E321" s="60" t="inlineStr">
        <is>
          <t>경영기획</t>
        </is>
      </c>
      <c r="F321" s="60" t="n">
        <v>62501000</v>
      </c>
      <c r="G321" s="60" t="inlineStr">
        <is>
          <t>회의비</t>
        </is>
      </c>
      <c r="H321" s="61" t="n">
        <v>832670</v>
      </c>
      <c r="J321" s="63">
        <f>IF($A321="","",IFERROR(INDEX(부서매핑!$C$5:$C$504,MATCH($D321&amp;"",부서매핑!$A$5:$A$504,0)),"미매핑"))</f>
        <v/>
      </c>
      <c r="K321" s="63">
        <f>IF($A321="","",IFERROR(INDEX(계정매핑!$C$5:$C$504,MATCH($F321&amp;"",계정매핑!$A$5:$A$504,0)),"미매핑"))</f>
        <v/>
      </c>
      <c r="L321" s="4">
        <f>IF($A321="","",VALUE($A321&amp;""))</f>
        <v/>
      </c>
      <c r="M321" s="4">
        <f>IF($A321="","",VALUE($B321&amp;""))</f>
        <v/>
      </c>
      <c r="N321" s="64">
        <f>IF($A321="","",$H321*설정!$C$15)</f>
        <v/>
      </c>
      <c r="O321" s="4">
        <f>IF($A321="","",J321&amp;"|"&amp;K321)</f>
        <v/>
      </c>
      <c r="P321" s="63">
        <f>IF($A321="","",IF(COUNTIFS(예산_원본!$T$5:$T$3004,O321,예산_원본!$B$5:$B$3004,설정!$C$8,예산_원본!$U$5:$U$3004,L321)&gt;0,"Y","N"))</f>
        <v/>
      </c>
      <c r="Q321" s="63">
        <f>IF($A321="","",IF(COUNTIF(집계!$E$7:$E$506,O321)&gt;0,"Y","N"))</f>
        <v/>
      </c>
    </row>
    <row r="322">
      <c r="A322" s="60" t="n">
        <v>2025</v>
      </c>
      <c r="B322" s="60" t="n">
        <v>5</v>
      </c>
      <c r="C322" s="60" t="inlineStr">
        <is>
          <t>1000</t>
        </is>
      </c>
      <c r="D322" s="60" t="n">
        <v>1101</v>
      </c>
      <c r="E322" s="60" t="inlineStr">
        <is>
          <t>경영기획</t>
        </is>
      </c>
      <c r="F322" s="60" t="n">
        <v>62601000</v>
      </c>
      <c r="G322" s="60" t="inlineStr">
        <is>
          <t>업무추진비</t>
        </is>
      </c>
      <c r="H322" s="61" t="n">
        <v>3982660</v>
      </c>
      <c r="J322" s="63">
        <f>IF($A322="","",IFERROR(INDEX(부서매핑!$C$5:$C$504,MATCH($D322&amp;"",부서매핑!$A$5:$A$504,0)),"미매핑"))</f>
        <v/>
      </c>
      <c r="K322" s="63">
        <f>IF($A322="","",IFERROR(INDEX(계정매핑!$C$5:$C$504,MATCH($F322&amp;"",계정매핑!$A$5:$A$504,0)),"미매핑"))</f>
        <v/>
      </c>
      <c r="L322" s="4">
        <f>IF($A322="","",VALUE($A322&amp;""))</f>
        <v/>
      </c>
      <c r="M322" s="4">
        <f>IF($A322="","",VALUE($B322&amp;""))</f>
        <v/>
      </c>
      <c r="N322" s="64">
        <f>IF($A322="","",$H322*설정!$C$15)</f>
        <v/>
      </c>
      <c r="O322" s="4">
        <f>IF($A322="","",J322&amp;"|"&amp;K322)</f>
        <v/>
      </c>
      <c r="P322" s="63">
        <f>IF($A322="","",IF(COUNTIFS(예산_원본!$T$5:$T$3004,O322,예산_원본!$B$5:$B$3004,설정!$C$8,예산_원본!$U$5:$U$3004,L322)&gt;0,"Y","N"))</f>
        <v/>
      </c>
      <c r="Q322" s="63">
        <f>IF($A322="","",IF(COUNTIF(집계!$E$7:$E$506,O322)&gt;0,"Y","N"))</f>
        <v/>
      </c>
    </row>
    <row r="323">
      <c r="A323" s="60" t="n">
        <v>2025</v>
      </c>
      <c r="B323" s="60" t="n">
        <v>5</v>
      </c>
      <c r="C323" s="60" t="inlineStr">
        <is>
          <t>1000</t>
        </is>
      </c>
      <c r="D323" s="60" t="n">
        <v>1101</v>
      </c>
      <c r="E323" s="60" t="inlineStr">
        <is>
          <t>경영기획</t>
        </is>
      </c>
      <c r="F323" s="60" t="n">
        <v>62901000</v>
      </c>
      <c r="G323" s="60" t="inlineStr">
        <is>
          <t>지급수수료-컨설팅</t>
        </is>
      </c>
      <c r="H323" s="61" t="n">
        <v>9924670</v>
      </c>
      <c r="J323" s="63">
        <f>IF($A323="","",IFERROR(INDEX(부서매핑!$C$5:$C$504,MATCH($D323&amp;"",부서매핑!$A$5:$A$504,0)),"미매핑"))</f>
        <v/>
      </c>
      <c r="K323" s="63">
        <f>IF($A323="","",IFERROR(INDEX(계정매핑!$C$5:$C$504,MATCH($F323&amp;"",계정매핑!$A$5:$A$504,0)),"미매핑"))</f>
        <v/>
      </c>
      <c r="L323" s="4">
        <f>IF($A323="","",VALUE($A323&amp;""))</f>
        <v/>
      </c>
      <c r="M323" s="4">
        <f>IF($A323="","",VALUE($B323&amp;""))</f>
        <v/>
      </c>
      <c r="N323" s="64">
        <f>IF($A323="","",$H323*설정!$C$15)</f>
        <v/>
      </c>
      <c r="O323" s="4">
        <f>IF($A323="","",J323&amp;"|"&amp;K323)</f>
        <v/>
      </c>
      <c r="P323" s="63">
        <f>IF($A323="","",IF(COUNTIFS(예산_원본!$T$5:$T$3004,O323,예산_원본!$B$5:$B$3004,설정!$C$8,예산_원본!$U$5:$U$3004,L323)&gt;0,"Y","N"))</f>
        <v/>
      </c>
      <c r="Q323" s="63">
        <f>IF($A323="","",IF(COUNTIF(집계!$E$7:$E$506,O323)&gt;0,"Y","N"))</f>
        <v/>
      </c>
    </row>
    <row r="324">
      <c r="A324" s="60" t="n">
        <v>2025</v>
      </c>
      <c r="B324" s="60" t="n">
        <v>5</v>
      </c>
      <c r="C324" s="60" t="inlineStr">
        <is>
          <t>1000</t>
        </is>
      </c>
      <c r="D324" s="60" t="n">
        <v>1101</v>
      </c>
      <c r="E324" s="60" t="inlineStr">
        <is>
          <t>경영기획</t>
        </is>
      </c>
      <c r="F324" s="60" t="n">
        <v>62902000</v>
      </c>
      <c r="G324" s="60" t="inlineStr">
        <is>
          <t>지급수수료-기타</t>
        </is>
      </c>
      <c r="H324" s="61" t="n">
        <v>5004440</v>
      </c>
      <c r="J324" s="63">
        <f>IF($A324="","",IFERROR(INDEX(부서매핑!$C$5:$C$504,MATCH($D324&amp;"",부서매핑!$A$5:$A$504,0)),"미매핑"))</f>
        <v/>
      </c>
      <c r="K324" s="63">
        <f>IF($A324="","",IFERROR(INDEX(계정매핑!$C$5:$C$504,MATCH($F324&amp;"",계정매핑!$A$5:$A$504,0)),"미매핑"))</f>
        <v/>
      </c>
      <c r="L324" s="4">
        <f>IF($A324="","",VALUE($A324&amp;""))</f>
        <v/>
      </c>
      <c r="M324" s="4">
        <f>IF($A324="","",VALUE($B324&amp;""))</f>
        <v/>
      </c>
      <c r="N324" s="64">
        <f>IF($A324="","",$H324*설정!$C$15)</f>
        <v/>
      </c>
      <c r="O324" s="4">
        <f>IF($A324="","",J324&amp;"|"&amp;K324)</f>
        <v/>
      </c>
      <c r="P324" s="63">
        <f>IF($A324="","",IF(COUNTIFS(예산_원본!$T$5:$T$3004,O324,예산_원본!$B$5:$B$3004,설정!$C$8,예산_원본!$U$5:$U$3004,L324)&gt;0,"Y","N"))</f>
        <v/>
      </c>
      <c r="Q324" s="63">
        <f>IF($A324="","",IF(COUNTIF(집계!$E$7:$E$506,O324)&gt;0,"Y","N"))</f>
        <v/>
      </c>
    </row>
    <row r="325">
      <c r="A325" s="60" t="n">
        <v>2025</v>
      </c>
      <c r="B325" s="60" t="n">
        <v>5</v>
      </c>
      <c r="C325" s="60" t="inlineStr">
        <is>
          <t>1000</t>
        </is>
      </c>
      <c r="D325" s="60" t="n">
        <v>1201</v>
      </c>
      <c r="E325" s="60" t="inlineStr">
        <is>
          <t>재무회계</t>
        </is>
      </c>
      <c r="F325" s="60" t="n">
        <v>62101000</v>
      </c>
      <c r="G325" s="60" t="inlineStr">
        <is>
          <t>여비교통비-국내</t>
        </is>
      </c>
      <c r="H325" s="61" t="n">
        <v>1271120</v>
      </c>
      <c r="J325" s="63">
        <f>IF($A325="","",IFERROR(INDEX(부서매핑!$C$5:$C$504,MATCH($D325&amp;"",부서매핑!$A$5:$A$504,0)),"미매핑"))</f>
        <v/>
      </c>
      <c r="K325" s="63">
        <f>IF($A325="","",IFERROR(INDEX(계정매핑!$C$5:$C$504,MATCH($F325&amp;"",계정매핑!$A$5:$A$504,0)),"미매핑"))</f>
        <v/>
      </c>
      <c r="L325" s="4">
        <f>IF($A325="","",VALUE($A325&amp;""))</f>
        <v/>
      </c>
      <c r="M325" s="4">
        <f>IF($A325="","",VALUE($B325&amp;""))</f>
        <v/>
      </c>
      <c r="N325" s="64">
        <f>IF($A325="","",$H325*설정!$C$15)</f>
        <v/>
      </c>
      <c r="O325" s="4">
        <f>IF($A325="","",J325&amp;"|"&amp;K325)</f>
        <v/>
      </c>
      <c r="P325" s="63">
        <f>IF($A325="","",IF(COUNTIFS(예산_원본!$T$5:$T$3004,O325,예산_원본!$B$5:$B$3004,설정!$C$8,예산_원본!$U$5:$U$3004,L325)&gt;0,"Y","N"))</f>
        <v/>
      </c>
      <c r="Q325" s="63">
        <f>IF($A325="","",IF(COUNTIF(집계!$E$7:$E$506,O325)&gt;0,"Y","N"))</f>
        <v/>
      </c>
    </row>
    <row r="326">
      <c r="A326" s="60" t="n">
        <v>2025</v>
      </c>
      <c r="B326" s="60" t="n">
        <v>5</v>
      </c>
      <c r="C326" s="60" t="inlineStr">
        <is>
          <t>1000</t>
        </is>
      </c>
      <c r="D326" s="60" t="n">
        <v>1201</v>
      </c>
      <c r="E326" s="60" t="inlineStr">
        <is>
          <t>재무회계</t>
        </is>
      </c>
      <c r="F326" s="60" t="n">
        <v>62102000</v>
      </c>
      <c r="G326" s="60" t="inlineStr">
        <is>
          <t>여비교통비-해외</t>
        </is>
      </c>
      <c r="H326" s="61" t="n">
        <v>205140</v>
      </c>
      <c r="J326" s="63">
        <f>IF($A326="","",IFERROR(INDEX(부서매핑!$C$5:$C$504,MATCH($D326&amp;"",부서매핑!$A$5:$A$504,0)),"미매핑"))</f>
        <v/>
      </c>
      <c r="K326" s="63">
        <f>IF($A326="","",IFERROR(INDEX(계정매핑!$C$5:$C$504,MATCH($F326&amp;"",계정매핑!$A$5:$A$504,0)),"미매핑"))</f>
        <v/>
      </c>
      <c r="L326" s="4">
        <f>IF($A326="","",VALUE($A326&amp;""))</f>
        <v/>
      </c>
      <c r="M326" s="4">
        <f>IF($A326="","",VALUE($B326&amp;""))</f>
        <v/>
      </c>
      <c r="N326" s="64">
        <f>IF($A326="","",$H326*설정!$C$15)</f>
        <v/>
      </c>
      <c r="O326" s="4">
        <f>IF($A326="","",J326&amp;"|"&amp;K326)</f>
        <v/>
      </c>
      <c r="P326" s="63">
        <f>IF($A326="","",IF(COUNTIFS(예산_원본!$T$5:$T$3004,O326,예산_원본!$B$5:$B$3004,설정!$C$8,예산_원본!$U$5:$U$3004,L326)&gt;0,"Y","N"))</f>
        <v/>
      </c>
      <c r="Q326" s="63">
        <f>IF($A326="","",IF(COUNTIF(집계!$E$7:$E$506,O326)&gt;0,"Y","N"))</f>
        <v/>
      </c>
    </row>
    <row r="327">
      <c r="A327" s="60" t="n">
        <v>2025</v>
      </c>
      <c r="B327" s="60" t="n">
        <v>5</v>
      </c>
      <c r="C327" s="60" t="inlineStr">
        <is>
          <t>1000</t>
        </is>
      </c>
      <c r="D327" s="60" t="n">
        <v>1201</v>
      </c>
      <c r="E327" s="60" t="inlineStr">
        <is>
          <t>재무회계</t>
        </is>
      </c>
      <c r="F327" s="60" t="n">
        <v>62201000</v>
      </c>
      <c r="G327" s="60" t="inlineStr">
        <is>
          <t>통신비</t>
        </is>
      </c>
      <c r="H327" s="61" t="n">
        <v>598690</v>
      </c>
      <c r="J327" s="63">
        <f>IF($A327="","",IFERROR(INDEX(부서매핑!$C$5:$C$504,MATCH($D327&amp;"",부서매핑!$A$5:$A$504,0)),"미매핑"))</f>
        <v/>
      </c>
      <c r="K327" s="63">
        <f>IF($A327="","",IFERROR(INDEX(계정매핑!$C$5:$C$504,MATCH($F327&amp;"",계정매핑!$A$5:$A$504,0)),"미매핑"))</f>
        <v/>
      </c>
      <c r="L327" s="4">
        <f>IF($A327="","",VALUE($A327&amp;""))</f>
        <v/>
      </c>
      <c r="M327" s="4">
        <f>IF($A327="","",VALUE($B327&amp;""))</f>
        <v/>
      </c>
      <c r="N327" s="64">
        <f>IF($A327="","",$H327*설정!$C$15)</f>
        <v/>
      </c>
      <c r="O327" s="4">
        <f>IF($A327="","",J327&amp;"|"&amp;K327)</f>
        <v/>
      </c>
      <c r="P327" s="63">
        <f>IF($A327="","",IF(COUNTIFS(예산_원본!$T$5:$T$3004,O327,예산_원본!$B$5:$B$3004,설정!$C$8,예산_원본!$U$5:$U$3004,L327)&gt;0,"Y","N"))</f>
        <v/>
      </c>
      <c r="Q327" s="63">
        <f>IF($A327="","",IF(COUNTIF(집계!$E$7:$E$506,O327)&gt;0,"Y","N"))</f>
        <v/>
      </c>
    </row>
    <row r="328">
      <c r="A328" s="60" t="n">
        <v>2025</v>
      </c>
      <c r="B328" s="60" t="n">
        <v>5</v>
      </c>
      <c r="C328" s="60" t="inlineStr">
        <is>
          <t>1000</t>
        </is>
      </c>
      <c r="D328" s="60" t="n">
        <v>1201</v>
      </c>
      <c r="E328" s="60" t="inlineStr">
        <is>
          <t>재무회계</t>
        </is>
      </c>
      <c r="F328" s="60" t="n">
        <v>62301000</v>
      </c>
      <c r="G328" s="60" t="inlineStr">
        <is>
          <t>소모품비</t>
        </is>
      </c>
      <c r="H328" s="61" t="n">
        <v>562270</v>
      </c>
      <c r="J328" s="63">
        <f>IF($A328="","",IFERROR(INDEX(부서매핑!$C$5:$C$504,MATCH($D328&amp;"",부서매핑!$A$5:$A$504,0)),"미매핑"))</f>
        <v/>
      </c>
      <c r="K328" s="63">
        <f>IF($A328="","",IFERROR(INDEX(계정매핑!$C$5:$C$504,MATCH($F328&amp;"",계정매핑!$A$5:$A$504,0)),"미매핑"))</f>
        <v/>
      </c>
      <c r="L328" s="4">
        <f>IF($A328="","",VALUE($A328&amp;""))</f>
        <v/>
      </c>
      <c r="M328" s="4">
        <f>IF($A328="","",VALUE($B328&amp;""))</f>
        <v/>
      </c>
      <c r="N328" s="64">
        <f>IF($A328="","",$H328*설정!$C$15)</f>
        <v/>
      </c>
      <c r="O328" s="4">
        <f>IF($A328="","",J328&amp;"|"&amp;K328)</f>
        <v/>
      </c>
      <c r="P328" s="63">
        <f>IF($A328="","",IF(COUNTIFS(예산_원본!$T$5:$T$3004,O328,예산_원본!$B$5:$B$3004,설정!$C$8,예산_원본!$U$5:$U$3004,L328)&gt;0,"Y","N"))</f>
        <v/>
      </c>
      <c r="Q328" s="63">
        <f>IF($A328="","",IF(COUNTIF(집계!$E$7:$E$506,O328)&gt;0,"Y","N"))</f>
        <v/>
      </c>
    </row>
    <row r="329">
      <c r="A329" s="60" t="n">
        <v>2025</v>
      </c>
      <c r="B329" s="60" t="n">
        <v>5</v>
      </c>
      <c r="C329" s="60" t="inlineStr">
        <is>
          <t>1000</t>
        </is>
      </c>
      <c r="D329" s="60" t="n">
        <v>1201</v>
      </c>
      <c r="E329" s="60" t="inlineStr">
        <is>
          <t>재무회계</t>
        </is>
      </c>
      <c r="F329" s="60" t="n">
        <v>62501000</v>
      </c>
      <c r="G329" s="60" t="inlineStr">
        <is>
          <t>회의비</t>
        </is>
      </c>
      <c r="H329" s="61" t="n">
        <v>522080</v>
      </c>
      <c r="J329" s="63">
        <f>IF($A329="","",IFERROR(INDEX(부서매핑!$C$5:$C$504,MATCH($D329&amp;"",부서매핑!$A$5:$A$504,0)),"미매핑"))</f>
        <v/>
      </c>
      <c r="K329" s="63">
        <f>IF($A329="","",IFERROR(INDEX(계정매핑!$C$5:$C$504,MATCH($F329&amp;"",계정매핑!$A$5:$A$504,0)),"미매핑"))</f>
        <v/>
      </c>
      <c r="L329" s="4">
        <f>IF($A329="","",VALUE($A329&amp;""))</f>
        <v/>
      </c>
      <c r="M329" s="4">
        <f>IF($A329="","",VALUE($B329&amp;""))</f>
        <v/>
      </c>
      <c r="N329" s="64">
        <f>IF($A329="","",$H329*설정!$C$15)</f>
        <v/>
      </c>
      <c r="O329" s="4">
        <f>IF($A329="","",J329&amp;"|"&amp;K329)</f>
        <v/>
      </c>
      <c r="P329" s="63">
        <f>IF($A329="","",IF(COUNTIFS(예산_원본!$T$5:$T$3004,O329,예산_원본!$B$5:$B$3004,설정!$C$8,예산_원본!$U$5:$U$3004,L329)&gt;0,"Y","N"))</f>
        <v/>
      </c>
      <c r="Q329" s="63">
        <f>IF($A329="","",IF(COUNTIF(집계!$E$7:$E$506,O329)&gt;0,"Y","N"))</f>
        <v/>
      </c>
    </row>
    <row r="330">
      <c r="A330" s="60" t="n">
        <v>2025</v>
      </c>
      <c r="B330" s="60" t="n">
        <v>5</v>
      </c>
      <c r="C330" s="60" t="inlineStr">
        <is>
          <t>1000</t>
        </is>
      </c>
      <c r="D330" s="60" t="n">
        <v>1201</v>
      </c>
      <c r="E330" s="60" t="inlineStr">
        <is>
          <t>재무회계</t>
        </is>
      </c>
      <c r="F330" s="60" t="n">
        <v>62901000</v>
      </c>
      <c r="G330" s="60" t="inlineStr">
        <is>
          <t>지급수수료-컨설팅</t>
        </is>
      </c>
      <c r="H330" s="61" t="n">
        <v>21505670</v>
      </c>
      <c r="J330" s="63">
        <f>IF($A330="","",IFERROR(INDEX(부서매핑!$C$5:$C$504,MATCH($D330&amp;"",부서매핑!$A$5:$A$504,0)),"미매핑"))</f>
        <v/>
      </c>
      <c r="K330" s="63">
        <f>IF($A330="","",IFERROR(INDEX(계정매핑!$C$5:$C$504,MATCH($F330&amp;"",계정매핑!$A$5:$A$504,0)),"미매핑"))</f>
        <v/>
      </c>
      <c r="L330" s="4">
        <f>IF($A330="","",VALUE($A330&amp;""))</f>
        <v/>
      </c>
      <c r="M330" s="4">
        <f>IF($A330="","",VALUE($B330&amp;""))</f>
        <v/>
      </c>
      <c r="N330" s="64">
        <f>IF($A330="","",$H330*설정!$C$15)</f>
        <v/>
      </c>
      <c r="O330" s="4">
        <f>IF($A330="","",J330&amp;"|"&amp;K330)</f>
        <v/>
      </c>
      <c r="P330" s="63">
        <f>IF($A330="","",IF(COUNTIFS(예산_원본!$T$5:$T$3004,O330,예산_원본!$B$5:$B$3004,설정!$C$8,예산_원본!$U$5:$U$3004,L330)&gt;0,"Y","N"))</f>
        <v/>
      </c>
      <c r="Q330" s="63">
        <f>IF($A330="","",IF(COUNTIF(집계!$E$7:$E$506,O330)&gt;0,"Y","N"))</f>
        <v/>
      </c>
    </row>
    <row r="331">
      <c r="A331" s="60" t="n">
        <v>2025</v>
      </c>
      <c r="B331" s="60" t="n">
        <v>5</v>
      </c>
      <c r="C331" s="60" t="inlineStr">
        <is>
          <t>1000</t>
        </is>
      </c>
      <c r="D331" s="60" t="n">
        <v>1201</v>
      </c>
      <c r="E331" s="60" t="inlineStr">
        <is>
          <t>재무회계</t>
        </is>
      </c>
      <c r="F331" s="60" t="n">
        <v>62902000</v>
      </c>
      <c r="G331" s="60" t="inlineStr">
        <is>
          <t>지급수수료-기타</t>
        </is>
      </c>
      <c r="H331" s="61" t="n">
        <v>10117410</v>
      </c>
      <c r="J331" s="63">
        <f>IF($A331="","",IFERROR(INDEX(부서매핑!$C$5:$C$504,MATCH($D331&amp;"",부서매핑!$A$5:$A$504,0)),"미매핑"))</f>
        <v/>
      </c>
      <c r="K331" s="63">
        <f>IF($A331="","",IFERROR(INDEX(계정매핑!$C$5:$C$504,MATCH($F331&amp;"",계정매핑!$A$5:$A$504,0)),"미매핑"))</f>
        <v/>
      </c>
      <c r="L331" s="4">
        <f>IF($A331="","",VALUE($A331&amp;""))</f>
        <v/>
      </c>
      <c r="M331" s="4">
        <f>IF($A331="","",VALUE($B331&amp;""))</f>
        <v/>
      </c>
      <c r="N331" s="64">
        <f>IF($A331="","",$H331*설정!$C$15)</f>
        <v/>
      </c>
      <c r="O331" s="4">
        <f>IF($A331="","",J331&amp;"|"&amp;K331)</f>
        <v/>
      </c>
      <c r="P331" s="63">
        <f>IF($A331="","",IF(COUNTIFS(예산_원본!$T$5:$T$3004,O331,예산_원본!$B$5:$B$3004,설정!$C$8,예산_원본!$U$5:$U$3004,L331)&gt;0,"Y","N"))</f>
        <v/>
      </c>
      <c r="Q331" s="63">
        <f>IF($A331="","",IF(COUNTIF(집계!$E$7:$E$506,O331)&gt;0,"Y","N"))</f>
        <v/>
      </c>
    </row>
    <row r="332">
      <c r="A332" s="60" t="n">
        <v>2025</v>
      </c>
      <c r="B332" s="60" t="n">
        <v>5</v>
      </c>
      <c r="C332" s="60" t="inlineStr">
        <is>
          <t>1000</t>
        </is>
      </c>
      <c r="D332" s="60" t="n">
        <v>1301</v>
      </c>
      <c r="E332" s="60" t="inlineStr">
        <is>
          <t>인사</t>
        </is>
      </c>
      <c r="F332" s="60" t="n">
        <v>62101000</v>
      </c>
      <c r="G332" s="60" t="inlineStr">
        <is>
          <t>여비교통비-국내</t>
        </is>
      </c>
      <c r="H332" s="61" t="n">
        <v>1602310</v>
      </c>
      <c r="J332" s="63">
        <f>IF($A332="","",IFERROR(INDEX(부서매핑!$C$5:$C$504,MATCH($D332&amp;"",부서매핑!$A$5:$A$504,0)),"미매핑"))</f>
        <v/>
      </c>
      <c r="K332" s="63">
        <f>IF($A332="","",IFERROR(INDEX(계정매핑!$C$5:$C$504,MATCH($F332&amp;"",계정매핑!$A$5:$A$504,0)),"미매핑"))</f>
        <v/>
      </c>
      <c r="L332" s="4">
        <f>IF($A332="","",VALUE($A332&amp;""))</f>
        <v/>
      </c>
      <c r="M332" s="4">
        <f>IF($A332="","",VALUE($B332&amp;""))</f>
        <v/>
      </c>
      <c r="N332" s="64">
        <f>IF($A332="","",$H332*설정!$C$15)</f>
        <v/>
      </c>
      <c r="O332" s="4">
        <f>IF($A332="","",J332&amp;"|"&amp;K332)</f>
        <v/>
      </c>
      <c r="P332" s="63">
        <f>IF($A332="","",IF(COUNTIFS(예산_원본!$T$5:$T$3004,O332,예산_원본!$B$5:$B$3004,설정!$C$8,예산_원본!$U$5:$U$3004,L332)&gt;0,"Y","N"))</f>
        <v/>
      </c>
      <c r="Q332" s="63">
        <f>IF($A332="","",IF(COUNTIF(집계!$E$7:$E$506,O332)&gt;0,"Y","N"))</f>
        <v/>
      </c>
    </row>
    <row r="333">
      <c r="A333" s="60" t="n">
        <v>2025</v>
      </c>
      <c r="B333" s="60" t="n">
        <v>5</v>
      </c>
      <c r="C333" s="60" t="inlineStr">
        <is>
          <t>1000</t>
        </is>
      </c>
      <c r="D333" s="60" t="n">
        <v>1301</v>
      </c>
      <c r="E333" s="60" t="inlineStr">
        <is>
          <t>인사</t>
        </is>
      </c>
      <c r="F333" s="60" t="n">
        <v>62102000</v>
      </c>
      <c r="G333" s="60" t="inlineStr">
        <is>
          <t>여비교통비-해외</t>
        </is>
      </c>
      <c r="H333" s="61" t="n">
        <v>300000</v>
      </c>
      <c r="J333" s="63">
        <f>IF($A333="","",IFERROR(INDEX(부서매핑!$C$5:$C$504,MATCH($D333&amp;"",부서매핑!$A$5:$A$504,0)),"미매핑"))</f>
        <v/>
      </c>
      <c r="K333" s="63">
        <f>IF($A333="","",IFERROR(INDEX(계정매핑!$C$5:$C$504,MATCH($F333&amp;"",계정매핑!$A$5:$A$504,0)),"미매핑"))</f>
        <v/>
      </c>
      <c r="L333" s="4">
        <f>IF($A333="","",VALUE($A333&amp;""))</f>
        <v/>
      </c>
      <c r="M333" s="4">
        <f>IF($A333="","",VALUE($B333&amp;""))</f>
        <v/>
      </c>
      <c r="N333" s="64">
        <f>IF($A333="","",$H333*설정!$C$15)</f>
        <v/>
      </c>
      <c r="O333" s="4">
        <f>IF($A333="","",J333&amp;"|"&amp;K333)</f>
        <v/>
      </c>
      <c r="P333" s="63">
        <f>IF($A333="","",IF(COUNTIFS(예산_원본!$T$5:$T$3004,O333,예산_원본!$B$5:$B$3004,설정!$C$8,예산_원본!$U$5:$U$3004,L333)&gt;0,"Y","N"))</f>
        <v/>
      </c>
      <c r="Q333" s="63">
        <f>IF($A333="","",IF(COUNTIF(집계!$E$7:$E$506,O333)&gt;0,"Y","N"))</f>
        <v/>
      </c>
    </row>
    <row r="334">
      <c r="A334" s="60" t="n">
        <v>2025</v>
      </c>
      <c r="B334" s="60" t="n">
        <v>5</v>
      </c>
      <c r="C334" s="60" t="inlineStr">
        <is>
          <t>1000</t>
        </is>
      </c>
      <c r="D334" s="60" t="n">
        <v>1301</v>
      </c>
      <c r="E334" s="60" t="inlineStr">
        <is>
          <t>인사</t>
        </is>
      </c>
      <c r="F334" s="60" t="n">
        <v>62201000</v>
      </c>
      <c r="G334" s="60" t="inlineStr">
        <is>
          <t>통신비</t>
        </is>
      </c>
      <c r="H334" s="61" t="n">
        <v>642880</v>
      </c>
      <c r="J334" s="63">
        <f>IF($A334="","",IFERROR(INDEX(부서매핑!$C$5:$C$504,MATCH($D334&amp;"",부서매핑!$A$5:$A$504,0)),"미매핑"))</f>
        <v/>
      </c>
      <c r="K334" s="63">
        <f>IF($A334="","",IFERROR(INDEX(계정매핑!$C$5:$C$504,MATCH($F334&amp;"",계정매핑!$A$5:$A$504,0)),"미매핑"))</f>
        <v/>
      </c>
      <c r="L334" s="4">
        <f>IF($A334="","",VALUE($A334&amp;""))</f>
        <v/>
      </c>
      <c r="M334" s="4">
        <f>IF($A334="","",VALUE($B334&amp;""))</f>
        <v/>
      </c>
      <c r="N334" s="64">
        <f>IF($A334="","",$H334*설정!$C$15)</f>
        <v/>
      </c>
      <c r="O334" s="4">
        <f>IF($A334="","",J334&amp;"|"&amp;K334)</f>
        <v/>
      </c>
      <c r="P334" s="63">
        <f>IF($A334="","",IF(COUNTIFS(예산_원본!$T$5:$T$3004,O334,예산_원본!$B$5:$B$3004,설정!$C$8,예산_원본!$U$5:$U$3004,L334)&gt;0,"Y","N"))</f>
        <v/>
      </c>
      <c r="Q334" s="63">
        <f>IF($A334="","",IF(COUNTIF(집계!$E$7:$E$506,O334)&gt;0,"Y","N"))</f>
        <v/>
      </c>
    </row>
    <row r="335">
      <c r="A335" s="60" t="n">
        <v>2025</v>
      </c>
      <c r="B335" s="60" t="n">
        <v>5</v>
      </c>
      <c r="C335" s="60" t="inlineStr">
        <is>
          <t>1000</t>
        </is>
      </c>
      <c r="D335" s="60" t="n">
        <v>1301</v>
      </c>
      <c r="E335" s="60" t="inlineStr">
        <is>
          <t>인사</t>
        </is>
      </c>
      <c r="F335" s="60" t="n">
        <v>62301000</v>
      </c>
      <c r="G335" s="60" t="inlineStr">
        <is>
          <t>소모품비</t>
        </is>
      </c>
      <c r="H335" s="61" t="n">
        <v>759080</v>
      </c>
      <c r="J335" s="63">
        <f>IF($A335="","",IFERROR(INDEX(부서매핑!$C$5:$C$504,MATCH($D335&amp;"",부서매핑!$A$5:$A$504,0)),"미매핑"))</f>
        <v/>
      </c>
      <c r="K335" s="63">
        <f>IF($A335="","",IFERROR(INDEX(계정매핑!$C$5:$C$504,MATCH($F335&amp;"",계정매핑!$A$5:$A$504,0)),"미매핑"))</f>
        <v/>
      </c>
      <c r="L335" s="4">
        <f>IF($A335="","",VALUE($A335&amp;""))</f>
        <v/>
      </c>
      <c r="M335" s="4">
        <f>IF($A335="","",VALUE($B335&amp;""))</f>
        <v/>
      </c>
      <c r="N335" s="64">
        <f>IF($A335="","",$H335*설정!$C$15)</f>
        <v/>
      </c>
      <c r="O335" s="4">
        <f>IF($A335="","",J335&amp;"|"&amp;K335)</f>
        <v/>
      </c>
      <c r="P335" s="63">
        <f>IF($A335="","",IF(COUNTIFS(예산_원본!$T$5:$T$3004,O335,예산_원본!$B$5:$B$3004,설정!$C$8,예산_원본!$U$5:$U$3004,L335)&gt;0,"Y","N"))</f>
        <v/>
      </c>
      <c r="Q335" s="63">
        <f>IF($A335="","",IF(COUNTIF(집계!$E$7:$E$506,O335)&gt;0,"Y","N"))</f>
        <v/>
      </c>
    </row>
    <row r="336">
      <c r="A336" s="60" t="n">
        <v>2025</v>
      </c>
      <c r="B336" s="60" t="n">
        <v>5</v>
      </c>
      <c r="C336" s="60" t="inlineStr">
        <is>
          <t>1000</t>
        </is>
      </c>
      <c r="D336" s="60" t="n">
        <v>1301</v>
      </c>
      <c r="E336" s="60" t="inlineStr">
        <is>
          <t>인사</t>
        </is>
      </c>
      <c r="F336" s="60" t="n">
        <v>62501000</v>
      </c>
      <c r="G336" s="60" t="inlineStr">
        <is>
          <t>회의비</t>
        </is>
      </c>
      <c r="H336" s="61" t="n">
        <v>814040</v>
      </c>
      <c r="J336" s="63">
        <f>IF($A336="","",IFERROR(INDEX(부서매핑!$C$5:$C$504,MATCH($D336&amp;"",부서매핑!$A$5:$A$504,0)),"미매핑"))</f>
        <v/>
      </c>
      <c r="K336" s="63">
        <f>IF($A336="","",IFERROR(INDEX(계정매핑!$C$5:$C$504,MATCH($F336&amp;"",계정매핑!$A$5:$A$504,0)),"미매핑"))</f>
        <v/>
      </c>
      <c r="L336" s="4">
        <f>IF($A336="","",VALUE($A336&amp;""))</f>
        <v/>
      </c>
      <c r="M336" s="4">
        <f>IF($A336="","",VALUE($B336&amp;""))</f>
        <v/>
      </c>
      <c r="N336" s="64">
        <f>IF($A336="","",$H336*설정!$C$15)</f>
        <v/>
      </c>
      <c r="O336" s="4">
        <f>IF($A336="","",J336&amp;"|"&amp;K336)</f>
        <v/>
      </c>
      <c r="P336" s="63">
        <f>IF($A336="","",IF(COUNTIFS(예산_원본!$T$5:$T$3004,O336,예산_원본!$B$5:$B$3004,설정!$C$8,예산_원본!$U$5:$U$3004,L336)&gt;0,"Y","N"))</f>
        <v/>
      </c>
      <c r="Q336" s="63">
        <f>IF($A336="","",IF(COUNTIF(집계!$E$7:$E$506,O336)&gt;0,"Y","N"))</f>
        <v/>
      </c>
    </row>
    <row r="337">
      <c r="A337" s="60" t="n">
        <v>2025</v>
      </c>
      <c r="B337" s="60" t="n">
        <v>5</v>
      </c>
      <c r="C337" s="60" t="inlineStr">
        <is>
          <t>1000</t>
        </is>
      </c>
      <c r="D337" s="60" t="n">
        <v>1301</v>
      </c>
      <c r="E337" s="60" t="inlineStr">
        <is>
          <t>인사</t>
        </is>
      </c>
      <c r="F337" s="60" t="n">
        <v>62601000</v>
      </c>
      <c r="G337" s="60" t="inlineStr">
        <is>
          <t>업무추진비</t>
        </is>
      </c>
      <c r="H337" s="61" t="n">
        <v>1962770</v>
      </c>
      <c r="J337" s="63">
        <f>IF($A337="","",IFERROR(INDEX(부서매핑!$C$5:$C$504,MATCH($D337&amp;"",부서매핑!$A$5:$A$504,0)),"미매핑"))</f>
        <v/>
      </c>
      <c r="K337" s="63">
        <f>IF($A337="","",IFERROR(INDEX(계정매핑!$C$5:$C$504,MATCH($F337&amp;"",계정매핑!$A$5:$A$504,0)),"미매핑"))</f>
        <v/>
      </c>
      <c r="L337" s="4">
        <f>IF($A337="","",VALUE($A337&amp;""))</f>
        <v/>
      </c>
      <c r="M337" s="4">
        <f>IF($A337="","",VALUE($B337&amp;""))</f>
        <v/>
      </c>
      <c r="N337" s="64">
        <f>IF($A337="","",$H337*설정!$C$15)</f>
        <v/>
      </c>
      <c r="O337" s="4">
        <f>IF($A337="","",J337&amp;"|"&amp;K337)</f>
        <v/>
      </c>
      <c r="P337" s="63">
        <f>IF($A337="","",IF(COUNTIFS(예산_원본!$T$5:$T$3004,O337,예산_원본!$B$5:$B$3004,설정!$C$8,예산_원본!$U$5:$U$3004,L337)&gt;0,"Y","N"))</f>
        <v/>
      </c>
      <c r="Q337" s="63">
        <f>IF($A337="","",IF(COUNTIF(집계!$E$7:$E$506,O337)&gt;0,"Y","N"))</f>
        <v/>
      </c>
    </row>
    <row r="338">
      <c r="A338" s="60" t="n">
        <v>2025</v>
      </c>
      <c r="B338" s="60" t="n">
        <v>5</v>
      </c>
      <c r="C338" s="60" t="inlineStr">
        <is>
          <t>1000</t>
        </is>
      </c>
      <c r="D338" s="60" t="n">
        <v>1301</v>
      </c>
      <c r="E338" s="60" t="inlineStr">
        <is>
          <t>인사</t>
        </is>
      </c>
      <c r="F338" s="60" t="n">
        <v>62801000</v>
      </c>
      <c r="G338" s="60" t="inlineStr">
        <is>
          <t>교육훈련비-사내</t>
        </is>
      </c>
      <c r="H338" s="61" t="n">
        <v>13225170</v>
      </c>
      <c r="J338" s="63">
        <f>IF($A338="","",IFERROR(INDEX(부서매핑!$C$5:$C$504,MATCH($D338&amp;"",부서매핑!$A$5:$A$504,0)),"미매핑"))</f>
        <v/>
      </c>
      <c r="K338" s="63">
        <f>IF($A338="","",IFERROR(INDEX(계정매핑!$C$5:$C$504,MATCH($F338&amp;"",계정매핑!$A$5:$A$504,0)),"미매핑"))</f>
        <v/>
      </c>
      <c r="L338" s="4">
        <f>IF($A338="","",VALUE($A338&amp;""))</f>
        <v/>
      </c>
      <c r="M338" s="4">
        <f>IF($A338="","",VALUE($B338&amp;""))</f>
        <v/>
      </c>
      <c r="N338" s="64">
        <f>IF($A338="","",$H338*설정!$C$15)</f>
        <v/>
      </c>
      <c r="O338" s="4">
        <f>IF($A338="","",J338&amp;"|"&amp;K338)</f>
        <v/>
      </c>
      <c r="P338" s="63">
        <f>IF($A338="","",IF(COUNTIFS(예산_원본!$T$5:$T$3004,O338,예산_원본!$B$5:$B$3004,설정!$C$8,예산_원본!$U$5:$U$3004,L338)&gt;0,"Y","N"))</f>
        <v/>
      </c>
      <c r="Q338" s="63">
        <f>IF($A338="","",IF(COUNTIF(집계!$E$7:$E$506,O338)&gt;0,"Y","N"))</f>
        <v/>
      </c>
    </row>
    <row r="339">
      <c r="A339" s="60" t="n">
        <v>2025</v>
      </c>
      <c r="B339" s="60" t="n">
        <v>5</v>
      </c>
      <c r="C339" s="60" t="inlineStr">
        <is>
          <t>1000</t>
        </is>
      </c>
      <c r="D339" s="60" t="n">
        <v>1301</v>
      </c>
      <c r="E339" s="60" t="inlineStr">
        <is>
          <t>인사</t>
        </is>
      </c>
      <c r="F339" s="60" t="n">
        <v>62802000</v>
      </c>
      <c r="G339" s="60" t="inlineStr">
        <is>
          <t>교육훈련비-외부위탁</t>
        </is>
      </c>
      <c r="H339" s="61" t="n">
        <v>20603090</v>
      </c>
      <c r="J339" s="63">
        <f>IF($A339="","",IFERROR(INDEX(부서매핑!$C$5:$C$504,MATCH($D339&amp;"",부서매핑!$A$5:$A$504,0)),"미매핑"))</f>
        <v/>
      </c>
      <c r="K339" s="63">
        <f>IF($A339="","",IFERROR(INDEX(계정매핑!$C$5:$C$504,MATCH($F339&amp;"",계정매핑!$A$5:$A$504,0)),"미매핑"))</f>
        <v/>
      </c>
      <c r="L339" s="4">
        <f>IF($A339="","",VALUE($A339&amp;""))</f>
        <v/>
      </c>
      <c r="M339" s="4">
        <f>IF($A339="","",VALUE($B339&amp;""))</f>
        <v/>
      </c>
      <c r="N339" s="64">
        <f>IF($A339="","",$H339*설정!$C$15)</f>
        <v/>
      </c>
      <c r="O339" s="4">
        <f>IF($A339="","",J339&amp;"|"&amp;K339)</f>
        <v/>
      </c>
      <c r="P339" s="63">
        <f>IF($A339="","",IF(COUNTIFS(예산_원본!$T$5:$T$3004,O339,예산_원본!$B$5:$B$3004,설정!$C$8,예산_원본!$U$5:$U$3004,L339)&gt;0,"Y","N"))</f>
        <v/>
      </c>
      <c r="Q339" s="63">
        <f>IF($A339="","",IF(COUNTIF(집계!$E$7:$E$506,O339)&gt;0,"Y","N"))</f>
        <v/>
      </c>
    </row>
    <row r="340">
      <c r="A340" s="60" t="n">
        <v>2025</v>
      </c>
      <c r="B340" s="60" t="n">
        <v>5</v>
      </c>
      <c r="C340" s="60" t="inlineStr">
        <is>
          <t>1000</t>
        </is>
      </c>
      <c r="D340" s="60" t="n">
        <v>1401</v>
      </c>
      <c r="E340" s="60" t="inlineStr">
        <is>
          <t>상품개발</t>
        </is>
      </c>
      <c r="F340" s="60" t="n">
        <v>62101000</v>
      </c>
      <c r="G340" s="60" t="inlineStr">
        <is>
          <t>여비교통비-국내</t>
        </is>
      </c>
      <c r="H340" s="61" t="n">
        <v>1496460</v>
      </c>
      <c r="J340" s="63">
        <f>IF($A340="","",IFERROR(INDEX(부서매핑!$C$5:$C$504,MATCH($D340&amp;"",부서매핑!$A$5:$A$504,0)),"미매핑"))</f>
        <v/>
      </c>
      <c r="K340" s="63">
        <f>IF($A340="","",IFERROR(INDEX(계정매핑!$C$5:$C$504,MATCH($F340&amp;"",계정매핑!$A$5:$A$504,0)),"미매핑"))</f>
        <v/>
      </c>
      <c r="L340" s="4">
        <f>IF($A340="","",VALUE($A340&amp;""))</f>
        <v/>
      </c>
      <c r="M340" s="4">
        <f>IF($A340="","",VALUE($B340&amp;""))</f>
        <v/>
      </c>
      <c r="N340" s="64">
        <f>IF($A340="","",$H340*설정!$C$15)</f>
        <v/>
      </c>
      <c r="O340" s="4">
        <f>IF($A340="","",J340&amp;"|"&amp;K340)</f>
        <v/>
      </c>
      <c r="P340" s="63">
        <f>IF($A340="","",IF(COUNTIFS(예산_원본!$T$5:$T$3004,O340,예산_원본!$B$5:$B$3004,설정!$C$8,예산_원본!$U$5:$U$3004,L340)&gt;0,"Y","N"))</f>
        <v/>
      </c>
      <c r="Q340" s="63">
        <f>IF($A340="","",IF(COUNTIF(집계!$E$7:$E$506,O340)&gt;0,"Y","N"))</f>
        <v/>
      </c>
    </row>
    <row r="341">
      <c r="A341" s="60" t="n">
        <v>2025</v>
      </c>
      <c r="B341" s="60" t="n">
        <v>5</v>
      </c>
      <c r="C341" s="60" t="inlineStr">
        <is>
          <t>1000</t>
        </is>
      </c>
      <c r="D341" s="60" t="n">
        <v>1401</v>
      </c>
      <c r="E341" s="60" t="inlineStr">
        <is>
          <t>상품개발</t>
        </is>
      </c>
      <c r="F341" s="60" t="n">
        <v>62102000</v>
      </c>
      <c r="G341" s="60" t="inlineStr">
        <is>
          <t>여비교통비-해외</t>
        </is>
      </c>
      <c r="H341" s="61" t="n">
        <v>280950</v>
      </c>
      <c r="J341" s="63">
        <f>IF($A341="","",IFERROR(INDEX(부서매핑!$C$5:$C$504,MATCH($D341&amp;"",부서매핑!$A$5:$A$504,0)),"미매핑"))</f>
        <v/>
      </c>
      <c r="K341" s="63">
        <f>IF($A341="","",IFERROR(INDEX(계정매핑!$C$5:$C$504,MATCH($F341&amp;"",계정매핑!$A$5:$A$504,0)),"미매핑"))</f>
        <v/>
      </c>
      <c r="L341" s="4">
        <f>IF($A341="","",VALUE($A341&amp;""))</f>
        <v/>
      </c>
      <c r="M341" s="4">
        <f>IF($A341="","",VALUE($B341&amp;""))</f>
        <v/>
      </c>
      <c r="N341" s="64">
        <f>IF($A341="","",$H341*설정!$C$15)</f>
        <v/>
      </c>
      <c r="O341" s="4">
        <f>IF($A341="","",J341&amp;"|"&amp;K341)</f>
        <v/>
      </c>
      <c r="P341" s="63">
        <f>IF($A341="","",IF(COUNTIFS(예산_원본!$T$5:$T$3004,O341,예산_원본!$B$5:$B$3004,설정!$C$8,예산_원본!$U$5:$U$3004,L341)&gt;0,"Y","N"))</f>
        <v/>
      </c>
      <c r="Q341" s="63">
        <f>IF($A341="","",IF(COUNTIF(집계!$E$7:$E$506,O341)&gt;0,"Y","N"))</f>
        <v/>
      </c>
    </row>
    <row r="342">
      <c r="A342" s="60" t="n">
        <v>2025</v>
      </c>
      <c r="B342" s="60" t="n">
        <v>5</v>
      </c>
      <c r="C342" s="60" t="inlineStr">
        <is>
          <t>1000</t>
        </is>
      </c>
      <c r="D342" s="60" t="n">
        <v>1401</v>
      </c>
      <c r="E342" s="60" t="inlineStr">
        <is>
          <t>상품개발</t>
        </is>
      </c>
      <c r="F342" s="60" t="n">
        <v>62201000</v>
      </c>
      <c r="G342" s="60" t="inlineStr">
        <is>
          <t>통신비</t>
        </is>
      </c>
      <c r="H342" s="61" t="n">
        <v>698130</v>
      </c>
      <c r="J342" s="63">
        <f>IF($A342="","",IFERROR(INDEX(부서매핑!$C$5:$C$504,MATCH($D342&amp;"",부서매핑!$A$5:$A$504,0)),"미매핑"))</f>
        <v/>
      </c>
      <c r="K342" s="63">
        <f>IF($A342="","",IFERROR(INDEX(계정매핑!$C$5:$C$504,MATCH($F342&amp;"",계정매핑!$A$5:$A$504,0)),"미매핑"))</f>
        <v/>
      </c>
      <c r="L342" s="4">
        <f>IF($A342="","",VALUE($A342&amp;""))</f>
        <v/>
      </c>
      <c r="M342" s="4">
        <f>IF($A342="","",VALUE($B342&amp;""))</f>
        <v/>
      </c>
      <c r="N342" s="64">
        <f>IF($A342="","",$H342*설정!$C$15)</f>
        <v/>
      </c>
      <c r="O342" s="4">
        <f>IF($A342="","",J342&amp;"|"&amp;K342)</f>
        <v/>
      </c>
      <c r="P342" s="63">
        <f>IF($A342="","",IF(COUNTIFS(예산_원본!$T$5:$T$3004,O342,예산_원본!$B$5:$B$3004,설정!$C$8,예산_원본!$U$5:$U$3004,L342)&gt;0,"Y","N"))</f>
        <v/>
      </c>
      <c r="Q342" s="63">
        <f>IF($A342="","",IF(COUNTIF(집계!$E$7:$E$506,O342)&gt;0,"Y","N"))</f>
        <v/>
      </c>
    </row>
    <row r="343">
      <c r="A343" s="60" t="n">
        <v>2025</v>
      </c>
      <c r="B343" s="60" t="n">
        <v>5</v>
      </c>
      <c r="C343" s="60" t="inlineStr">
        <is>
          <t>1000</t>
        </is>
      </c>
      <c r="D343" s="60" t="n">
        <v>1401</v>
      </c>
      <c r="E343" s="60" t="inlineStr">
        <is>
          <t>상품개발</t>
        </is>
      </c>
      <c r="F343" s="60" t="n">
        <v>62301000</v>
      </c>
      <c r="G343" s="60" t="inlineStr">
        <is>
          <t>소모품비</t>
        </is>
      </c>
      <c r="H343" s="61" t="n">
        <v>337270</v>
      </c>
      <c r="J343" s="63">
        <f>IF($A343="","",IFERROR(INDEX(부서매핑!$C$5:$C$504,MATCH($D343&amp;"",부서매핑!$A$5:$A$504,0)),"미매핑"))</f>
        <v/>
      </c>
      <c r="K343" s="63">
        <f>IF($A343="","",IFERROR(INDEX(계정매핑!$C$5:$C$504,MATCH($F343&amp;"",계정매핑!$A$5:$A$504,0)),"미매핑"))</f>
        <v/>
      </c>
      <c r="L343" s="4">
        <f>IF($A343="","",VALUE($A343&amp;""))</f>
        <v/>
      </c>
      <c r="M343" s="4">
        <f>IF($A343="","",VALUE($B343&amp;""))</f>
        <v/>
      </c>
      <c r="N343" s="64">
        <f>IF($A343="","",$H343*설정!$C$15)</f>
        <v/>
      </c>
      <c r="O343" s="4">
        <f>IF($A343="","",J343&amp;"|"&amp;K343)</f>
        <v/>
      </c>
      <c r="P343" s="63">
        <f>IF($A343="","",IF(COUNTIFS(예산_원본!$T$5:$T$3004,O343,예산_원본!$B$5:$B$3004,설정!$C$8,예산_원본!$U$5:$U$3004,L343)&gt;0,"Y","N"))</f>
        <v/>
      </c>
      <c r="Q343" s="63">
        <f>IF($A343="","",IF(COUNTIF(집계!$E$7:$E$506,O343)&gt;0,"Y","N"))</f>
        <v/>
      </c>
    </row>
    <row r="344">
      <c r="A344" s="60" t="n">
        <v>2025</v>
      </c>
      <c r="B344" s="60" t="n">
        <v>5</v>
      </c>
      <c r="C344" s="60" t="inlineStr">
        <is>
          <t>1000</t>
        </is>
      </c>
      <c r="D344" s="60" t="n">
        <v>1401</v>
      </c>
      <c r="E344" s="60" t="inlineStr">
        <is>
          <t>상품개발</t>
        </is>
      </c>
      <c r="F344" s="60" t="n">
        <v>62401000</v>
      </c>
      <c r="G344" s="60" t="inlineStr">
        <is>
          <t>도서인쇄비</t>
        </is>
      </c>
      <c r="H344" s="61" t="n">
        <v>886950</v>
      </c>
      <c r="J344" s="63">
        <f>IF($A344="","",IFERROR(INDEX(부서매핑!$C$5:$C$504,MATCH($D344&amp;"",부서매핑!$A$5:$A$504,0)),"미매핑"))</f>
        <v/>
      </c>
      <c r="K344" s="63">
        <f>IF($A344="","",IFERROR(INDEX(계정매핑!$C$5:$C$504,MATCH($F344&amp;"",계정매핑!$A$5:$A$504,0)),"미매핑"))</f>
        <v/>
      </c>
      <c r="L344" s="4">
        <f>IF($A344="","",VALUE($A344&amp;""))</f>
        <v/>
      </c>
      <c r="M344" s="4">
        <f>IF($A344="","",VALUE($B344&amp;""))</f>
        <v/>
      </c>
      <c r="N344" s="64">
        <f>IF($A344="","",$H344*설정!$C$15)</f>
        <v/>
      </c>
      <c r="O344" s="4">
        <f>IF($A344="","",J344&amp;"|"&amp;K344)</f>
        <v/>
      </c>
      <c r="P344" s="63">
        <f>IF($A344="","",IF(COUNTIFS(예산_원본!$T$5:$T$3004,O344,예산_원본!$B$5:$B$3004,설정!$C$8,예산_원본!$U$5:$U$3004,L344)&gt;0,"Y","N"))</f>
        <v/>
      </c>
      <c r="Q344" s="63">
        <f>IF($A344="","",IF(COUNTIF(집계!$E$7:$E$506,O344)&gt;0,"Y","N"))</f>
        <v/>
      </c>
    </row>
    <row r="345">
      <c r="A345" s="60" t="n">
        <v>2025</v>
      </c>
      <c r="B345" s="60" t="n">
        <v>5</v>
      </c>
      <c r="C345" s="60" t="inlineStr">
        <is>
          <t>1000</t>
        </is>
      </c>
      <c r="D345" s="60" t="n">
        <v>1401</v>
      </c>
      <c r="E345" s="60" t="inlineStr">
        <is>
          <t>상품개발</t>
        </is>
      </c>
      <c r="F345" s="60" t="n">
        <v>62501000</v>
      </c>
      <c r="G345" s="60" t="inlineStr">
        <is>
          <t>회의비</t>
        </is>
      </c>
      <c r="H345" s="61" t="n">
        <v>544500</v>
      </c>
      <c r="J345" s="63">
        <f>IF($A345="","",IFERROR(INDEX(부서매핑!$C$5:$C$504,MATCH($D345&amp;"",부서매핑!$A$5:$A$504,0)),"미매핑"))</f>
        <v/>
      </c>
      <c r="K345" s="63">
        <f>IF($A345="","",IFERROR(INDEX(계정매핑!$C$5:$C$504,MATCH($F345&amp;"",계정매핑!$A$5:$A$504,0)),"미매핑"))</f>
        <v/>
      </c>
      <c r="L345" s="4">
        <f>IF($A345="","",VALUE($A345&amp;""))</f>
        <v/>
      </c>
      <c r="M345" s="4">
        <f>IF($A345="","",VALUE($B345&amp;""))</f>
        <v/>
      </c>
      <c r="N345" s="64">
        <f>IF($A345="","",$H345*설정!$C$15)</f>
        <v/>
      </c>
      <c r="O345" s="4">
        <f>IF($A345="","",J345&amp;"|"&amp;K345)</f>
        <v/>
      </c>
      <c r="P345" s="63">
        <f>IF($A345="","",IF(COUNTIFS(예산_원본!$T$5:$T$3004,O345,예산_원본!$B$5:$B$3004,설정!$C$8,예산_원본!$U$5:$U$3004,L345)&gt;0,"Y","N"))</f>
        <v/>
      </c>
      <c r="Q345" s="63">
        <f>IF($A345="","",IF(COUNTIF(집계!$E$7:$E$506,O345)&gt;0,"Y","N"))</f>
        <v/>
      </c>
    </row>
    <row r="346">
      <c r="A346" s="60" t="n">
        <v>2025</v>
      </c>
      <c r="B346" s="60" t="n">
        <v>5</v>
      </c>
      <c r="C346" s="60" t="inlineStr">
        <is>
          <t>1000</t>
        </is>
      </c>
      <c r="D346" s="60" t="n">
        <v>1401</v>
      </c>
      <c r="E346" s="60" t="inlineStr">
        <is>
          <t>상품개발</t>
        </is>
      </c>
      <c r="F346" s="60" t="n">
        <v>62901000</v>
      </c>
      <c r="G346" s="60" t="inlineStr">
        <is>
          <t>지급수수료-컨설팅</t>
        </is>
      </c>
      <c r="H346" s="61" t="n">
        <v>21387630</v>
      </c>
      <c r="J346" s="63">
        <f>IF($A346="","",IFERROR(INDEX(부서매핑!$C$5:$C$504,MATCH($D346&amp;"",부서매핑!$A$5:$A$504,0)),"미매핑"))</f>
        <v/>
      </c>
      <c r="K346" s="63">
        <f>IF($A346="","",IFERROR(INDEX(계정매핑!$C$5:$C$504,MATCH($F346&amp;"",계정매핑!$A$5:$A$504,0)),"미매핑"))</f>
        <v/>
      </c>
      <c r="L346" s="4">
        <f>IF($A346="","",VALUE($A346&amp;""))</f>
        <v/>
      </c>
      <c r="M346" s="4">
        <f>IF($A346="","",VALUE($B346&amp;""))</f>
        <v/>
      </c>
      <c r="N346" s="64">
        <f>IF($A346="","",$H346*설정!$C$15)</f>
        <v/>
      </c>
      <c r="O346" s="4">
        <f>IF($A346="","",J346&amp;"|"&amp;K346)</f>
        <v/>
      </c>
      <c r="P346" s="63">
        <f>IF($A346="","",IF(COUNTIFS(예산_원본!$T$5:$T$3004,O346,예산_원본!$B$5:$B$3004,설정!$C$8,예산_원본!$U$5:$U$3004,L346)&gt;0,"Y","N"))</f>
        <v/>
      </c>
      <c r="Q346" s="63">
        <f>IF($A346="","",IF(COUNTIF(집계!$E$7:$E$506,O346)&gt;0,"Y","N"))</f>
        <v/>
      </c>
    </row>
    <row r="347">
      <c r="A347" s="60" t="n">
        <v>2025</v>
      </c>
      <c r="B347" s="60" t="n">
        <v>5</v>
      </c>
      <c r="C347" s="60" t="inlineStr">
        <is>
          <t>1000</t>
        </is>
      </c>
      <c r="D347" s="60" t="n">
        <v>1401</v>
      </c>
      <c r="E347" s="60" t="inlineStr">
        <is>
          <t>상품개발</t>
        </is>
      </c>
      <c r="F347" s="60" t="n">
        <v>62902000</v>
      </c>
      <c r="G347" s="60" t="inlineStr">
        <is>
          <t>지급수수료-기타</t>
        </is>
      </c>
      <c r="H347" s="61" t="n">
        <v>8676950</v>
      </c>
      <c r="J347" s="63">
        <f>IF($A347="","",IFERROR(INDEX(부서매핑!$C$5:$C$504,MATCH($D347&amp;"",부서매핑!$A$5:$A$504,0)),"미매핑"))</f>
        <v/>
      </c>
      <c r="K347" s="63">
        <f>IF($A347="","",IFERROR(INDEX(계정매핑!$C$5:$C$504,MATCH($F347&amp;"",계정매핑!$A$5:$A$504,0)),"미매핑"))</f>
        <v/>
      </c>
      <c r="L347" s="4">
        <f>IF($A347="","",VALUE($A347&amp;""))</f>
        <v/>
      </c>
      <c r="M347" s="4">
        <f>IF($A347="","",VALUE($B347&amp;""))</f>
        <v/>
      </c>
      <c r="N347" s="64">
        <f>IF($A347="","",$H347*설정!$C$15)</f>
        <v/>
      </c>
      <c r="O347" s="4">
        <f>IF($A347="","",J347&amp;"|"&amp;K347)</f>
        <v/>
      </c>
      <c r="P347" s="63">
        <f>IF($A347="","",IF(COUNTIFS(예산_원본!$T$5:$T$3004,O347,예산_원본!$B$5:$B$3004,설정!$C$8,예산_원본!$U$5:$U$3004,L347)&gt;0,"Y","N"))</f>
        <v/>
      </c>
      <c r="Q347" s="63">
        <f>IF($A347="","",IF(COUNTIF(집계!$E$7:$E$506,O347)&gt;0,"Y","N"))</f>
        <v/>
      </c>
    </row>
    <row r="348">
      <c r="A348" s="60" t="n">
        <v>2025</v>
      </c>
      <c r="B348" s="60" t="n">
        <v>5</v>
      </c>
      <c r="C348" s="60" t="inlineStr">
        <is>
          <t>1000</t>
        </is>
      </c>
      <c r="D348" s="60" t="n">
        <v>1501</v>
      </c>
      <c r="E348" s="60" t="inlineStr">
        <is>
          <t>마케팅전략</t>
        </is>
      </c>
      <c r="F348" s="60" t="n">
        <v>62101000</v>
      </c>
      <c r="G348" s="60" t="inlineStr">
        <is>
          <t>여비교통비-국내</t>
        </is>
      </c>
      <c r="H348" s="61" t="n">
        <v>1265630</v>
      </c>
      <c r="J348" s="63">
        <f>IF($A348="","",IFERROR(INDEX(부서매핑!$C$5:$C$504,MATCH($D348&amp;"",부서매핑!$A$5:$A$504,0)),"미매핑"))</f>
        <v/>
      </c>
      <c r="K348" s="63">
        <f>IF($A348="","",IFERROR(INDEX(계정매핑!$C$5:$C$504,MATCH($F348&amp;"",계정매핑!$A$5:$A$504,0)),"미매핑"))</f>
        <v/>
      </c>
      <c r="L348" s="4">
        <f>IF($A348="","",VALUE($A348&amp;""))</f>
        <v/>
      </c>
      <c r="M348" s="4">
        <f>IF($A348="","",VALUE($B348&amp;""))</f>
        <v/>
      </c>
      <c r="N348" s="64">
        <f>IF($A348="","",$H348*설정!$C$15)</f>
        <v/>
      </c>
      <c r="O348" s="4">
        <f>IF($A348="","",J348&amp;"|"&amp;K348)</f>
        <v/>
      </c>
      <c r="P348" s="63">
        <f>IF($A348="","",IF(COUNTIFS(예산_원본!$T$5:$T$3004,O348,예산_원본!$B$5:$B$3004,설정!$C$8,예산_원본!$U$5:$U$3004,L348)&gt;0,"Y","N"))</f>
        <v/>
      </c>
      <c r="Q348" s="63">
        <f>IF($A348="","",IF(COUNTIF(집계!$E$7:$E$506,O348)&gt;0,"Y","N"))</f>
        <v/>
      </c>
    </row>
    <row r="349">
      <c r="A349" s="60" t="n">
        <v>2025</v>
      </c>
      <c r="B349" s="60" t="n">
        <v>5</v>
      </c>
      <c r="C349" s="60" t="inlineStr">
        <is>
          <t>1000</t>
        </is>
      </c>
      <c r="D349" s="60" t="n">
        <v>1501</v>
      </c>
      <c r="E349" s="60" t="inlineStr">
        <is>
          <t>마케팅전략</t>
        </is>
      </c>
      <c r="F349" s="60" t="n">
        <v>62102000</v>
      </c>
      <c r="G349" s="60" t="inlineStr">
        <is>
          <t>여비교통비-해외</t>
        </is>
      </c>
      <c r="H349" s="61" t="n">
        <v>218900</v>
      </c>
      <c r="J349" s="63">
        <f>IF($A349="","",IFERROR(INDEX(부서매핑!$C$5:$C$504,MATCH($D349&amp;"",부서매핑!$A$5:$A$504,0)),"미매핑"))</f>
        <v/>
      </c>
      <c r="K349" s="63">
        <f>IF($A349="","",IFERROR(INDEX(계정매핑!$C$5:$C$504,MATCH($F349&amp;"",계정매핑!$A$5:$A$504,0)),"미매핑"))</f>
        <v/>
      </c>
      <c r="L349" s="4">
        <f>IF($A349="","",VALUE($A349&amp;""))</f>
        <v/>
      </c>
      <c r="M349" s="4">
        <f>IF($A349="","",VALUE($B349&amp;""))</f>
        <v/>
      </c>
      <c r="N349" s="64">
        <f>IF($A349="","",$H349*설정!$C$15)</f>
        <v/>
      </c>
      <c r="O349" s="4">
        <f>IF($A349="","",J349&amp;"|"&amp;K349)</f>
        <v/>
      </c>
      <c r="P349" s="63">
        <f>IF($A349="","",IF(COUNTIFS(예산_원본!$T$5:$T$3004,O349,예산_원본!$B$5:$B$3004,설정!$C$8,예산_원본!$U$5:$U$3004,L349)&gt;0,"Y","N"))</f>
        <v/>
      </c>
      <c r="Q349" s="63">
        <f>IF($A349="","",IF(COUNTIF(집계!$E$7:$E$506,O349)&gt;0,"Y","N"))</f>
        <v/>
      </c>
    </row>
    <row r="350">
      <c r="A350" s="60" t="n">
        <v>2025</v>
      </c>
      <c r="B350" s="60" t="n">
        <v>5</v>
      </c>
      <c r="C350" s="60" t="inlineStr">
        <is>
          <t>1000</t>
        </is>
      </c>
      <c r="D350" s="60" t="n">
        <v>1501</v>
      </c>
      <c r="E350" s="60" t="inlineStr">
        <is>
          <t>마케팅전략</t>
        </is>
      </c>
      <c r="F350" s="60" t="n">
        <v>62201000</v>
      </c>
      <c r="G350" s="60" t="inlineStr">
        <is>
          <t>통신비</t>
        </is>
      </c>
      <c r="H350" s="61" t="n">
        <v>584910</v>
      </c>
      <c r="J350" s="63">
        <f>IF($A350="","",IFERROR(INDEX(부서매핑!$C$5:$C$504,MATCH($D350&amp;"",부서매핑!$A$5:$A$504,0)),"미매핑"))</f>
        <v/>
      </c>
      <c r="K350" s="63">
        <f>IF($A350="","",IFERROR(INDEX(계정매핑!$C$5:$C$504,MATCH($F350&amp;"",계정매핑!$A$5:$A$504,0)),"미매핑"))</f>
        <v/>
      </c>
      <c r="L350" s="4">
        <f>IF($A350="","",VALUE($A350&amp;""))</f>
        <v/>
      </c>
      <c r="M350" s="4">
        <f>IF($A350="","",VALUE($B350&amp;""))</f>
        <v/>
      </c>
      <c r="N350" s="64">
        <f>IF($A350="","",$H350*설정!$C$15)</f>
        <v/>
      </c>
      <c r="O350" s="4">
        <f>IF($A350="","",J350&amp;"|"&amp;K350)</f>
        <v/>
      </c>
      <c r="P350" s="63">
        <f>IF($A350="","",IF(COUNTIFS(예산_원본!$T$5:$T$3004,O350,예산_원본!$B$5:$B$3004,설정!$C$8,예산_원본!$U$5:$U$3004,L350)&gt;0,"Y","N"))</f>
        <v/>
      </c>
      <c r="Q350" s="63">
        <f>IF($A350="","",IF(COUNTIF(집계!$E$7:$E$506,O350)&gt;0,"Y","N"))</f>
        <v/>
      </c>
    </row>
    <row r="351">
      <c r="A351" s="60" t="n">
        <v>2025</v>
      </c>
      <c r="B351" s="60" t="n">
        <v>5</v>
      </c>
      <c r="C351" s="60" t="inlineStr">
        <is>
          <t>1000</t>
        </is>
      </c>
      <c r="D351" s="60" t="n">
        <v>1501</v>
      </c>
      <c r="E351" s="60" t="inlineStr">
        <is>
          <t>마케팅전략</t>
        </is>
      </c>
      <c r="F351" s="60" t="n">
        <v>62301000</v>
      </c>
      <c r="G351" s="60" t="inlineStr">
        <is>
          <t>소모품비</t>
        </is>
      </c>
      <c r="H351" s="61" t="n">
        <v>464210</v>
      </c>
      <c r="J351" s="63">
        <f>IF($A351="","",IFERROR(INDEX(부서매핑!$C$5:$C$504,MATCH($D351&amp;"",부서매핑!$A$5:$A$504,0)),"미매핑"))</f>
        <v/>
      </c>
      <c r="K351" s="63">
        <f>IF($A351="","",IFERROR(INDEX(계정매핑!$C$5:$C$504,MATCH($F351&amp;"",계정매핑!$A$5:$A$504,0)),"미매핑"))</f>
        <v/>
      </c>
      <c r="L351" s="4">
        <f>IF($A351="","",VALUE($A351&amp;""))</f>
        <v/>
      </c>
      <c r="M351" s="4">
        <f>IF($A351="","",VALUE($B351&amp;""))</f>
        <v/>
      </c>
      <c r="N351" s="64">
        <f>IF($A351="","",$H351*설정!$C$15)</f>
        <v/>
      </c>
      <c r="O351" s="4">
        <f>IF($A351="","",J351&amp;"|"&amp;K351)</f>
        <v/>
      </c>
      <c r="P351" s="63">
        <f>IF($A351="","",IF(COUNTIFS(예산_원본!$T$5:$T$3004,O351,예산_원본!$B$5:$B$3004,설정!$C$8,예산_원본!$U$5:$U$3004,L351)&gt;0,"Y","N"))</f>
        <v/>
      </c>
      <c r="Q351" s="63">
        <f>IF($A351="","",IF(COUNTIF(집계!$E$7:$E$506,O351)&gt;0,"Y","N"))</f>
        <v/>
      </c>
    </row>
    <row r="352">
      <c r="A352" s="60" t="n">
        <v>2025</v>
      </c>
      <c r="B352" s="60" t="n">
        <v>5</v>
      </c>
      <c r="C352" s="60" t="inlineStr">
        <is>
          <t>1000</t>
        </is>
      </c>
      <c r="D352" s="60" t="n">
        <v>1501</v>
      </c>
      <c r="E352" s="60" t="inlineStr">
        <is>
          <t>마케팅전략</t>
        </is>
      </c>
      <c r="F352" s="60" t="n">
        <v>62401000</v>
      </c>
      <c r="G352" s="60" t="inlineStr">
        <is>
          <t>도서인쇄비</t>
        </is>
      </c>
      <c r="H352" s="61" t="n">
        <v>3460170</v>
      </c>
      <c r="J352" s="63">
        <f>IF($A352="","",IFERROR(INDEX(부서매핑!$C$5:$C$504,MATCH($D352&amp;"",부서매핑!$A$5:$A$504,0)),"미매핑"))</f>
        <v/>
      </c>
      <c r="K352" s="63">
        <f>IF($A352="","",IFERROR(INDEX(계정매핑!$C$5:$C$504,MATCH($F352&amp;"",계정매핑!$A$5:$A$504,0)),"미매핑"))</f>
        <v/>
      </c>
      <c r="L352" s="4">
        <f>IF($A352="","",VALUE($A352&amp;""))</f>
        <v/>
      </c>
      <c r="M352" s="4">
        <f>IF($A352="","",VALUE($B352&amp;""))</f>
        <v/>
      </c>
      <c r="N352" s="64">
        <f>IF($A352="","",$H352*설정!$C$15)</f>
        <v/>
      </c>
      <c r="O352" s="4">
        <f>IF($A352="","",J352&amp;"|"&amp;K352)</f>
        <v/>
      </c>
      <c r="P352" s="63">
        <f>IF($A352="","",IF(COUNTIFS(예산_원본!$T$5:$T$3004,O352,예산_원본!$B$5:$B$3004,설정!$C$8,예산_원본!$U$5:$U$3004,L352)&gt;0,"Y","N"))</f>
        <v/>
      </c>
      <c r="Q352" s="63">
        <f>IF($A352="","",IF(COUNTIF(집계!$E$7:$E$506,O352)&gt;0,"Y","N"))</f>
        <v/>
      </c>
    </row>
    <row r="353">
      <c r="A353" s="60" t="n">
        <v>2025</v>
      </c>
      <c r="B353" s="60" t="n">
        <v>5</v>
      </c>
      <c r="C353" s="60" t="inlineStr">
        <is>
          <t>1000</t>
        </is>
      </c>
      <c r="D353" s="60" t="n">
        <v>1501</v>
      </c>
      <c r="E353" s="60" t="inlineStr">
        <is>
          <t>마케팅전략</t>
        </is>
      </c>
      <c r="F353" s="60" t="n">
        <v>62501000</v>
      </c>
      <c r="G353" s="60" t="inlineStr">
        <is>
          <t>회의비</t>
        </is>
      </c>
      <c r="H353" s="61" t="n">
        <v>702970</v>
      </c>
      <c r="J353" s="63">
        <f>IF($A353="","",IFERROR(INDEX(부서매핑!$C$5:$C$504,MATCH($D353&amp;"",부서매핑!$A$5:$A$504,0)),"미매핑"))</f>
        <v/>
      </c>
      <c r="K353" s="63">
        <f>IF($A353="","",IFERROR(INDEX(계정매핑!$C$5:$C$504,MATCH($F353&amp;"",계정매핑!$A$5:$A$504,0)),"미매핑"))</f>
        <v/>
      </c>
      <c r="L353" s="4">
        <f>IF($A353="","",VALUE($A353&amp;""))</f>
        <v/>
      </c>
      <c r="M353" s="4">
        <f>IF($A353="","",VALUE($B353&amp;""))</f>
        <v/>
      </c>
      <c r="N353" s="64">
        <f>IF($A353="","",$H353*설정!$C$15)</f>
        <v/>
      </c>
      <c r="O353" s="4">
        <f>IF($A353="","",J353&amp;"|"&amp;K353)</f>
        <v/>
      </c>
      <c r="P353" s="63">
        <f>IF($A353="","",IF(COUNTIFS(예산_원본!$T$5:$T$3004,O353,예산_원본!$B$5:$B$3004,설정!$C$8,예산_원본!$U$5:$U$3004,L353)&gt;0,"Y","N"))</f>
        <v/>
      </c>
      <c r="Q353" s="63">
        <f>IF($A353="","",IF(COUNTIF(집계!$E$7:$E$506,O353)&gt;0,"Y","N"))</f>
        <v/>
      </c>
    </row>
    <row r="354">
      <c r="A354" s="60" t="n">
        <v>2025</v>
      </c>
      <c r="B354" s="60" t="n">
        <v>5</v>
      </c>
      <c r="C354" s="60" t="inlineStr">
        <is>
          <t>1000</t>
        </is>
      </c>
      <c r="D354" s="60" t="n">
        <v>1501</v>
      </c>
      <c r="E354" s="60" t="inlineStr">
        <is>
          <t>마케팅전략</t>
        </is>
      </c>
      <c r="F354" s="60" t="n">
        <v>62601000</v>
      </c>
      <c r="G354" s="60" t="inlineStr">
        <is>
          <t>업무추진비</t>
        </is>
      </c>
      <c r="H354" s="61" t="n">
        <v>1446320</v>
      </c>
      <c r="J354" s="63">
        <f>IF($A354="","",IFERROR(INDEX(부서매핑!$C$5:$C$504,MATCH($D354&amp;"",부서매핑!$A$5:$A$504,0)),"미매핑"))</f>
        <v/>
      </c>
      <c r="K354" s="63">
        <f>IF($A354="","",IFERROR(INDEX(계정매핑!$C$5:$C$504,MATCH($F354&amp;"",계정매핑!$A$5:$A$504,0)),"미매핑"))</f>
        <v/>
      </c>
      <c r="L354" s="4">
        <f>IF($A354="","",VALUE($A354&amp;""))</f>
        <v/>
      </c>
      <c r="M354" s="4">
        <f>IF($A354="","",VALUE($B354&amp;""))</f>
        <v/>
      </c>
      <c r="N354" s="64">
        <f>IF($A354="","",$H354*설정!$C$15)</f>
        <v/>
      </c>
      <c r="O354" s="4">
        <f>IF($A354="","",J354&amp;"|"&amp;K354)</f>
        <v/>
      </c>
      <c r="P354" s="63">
        <f>IF($A354="","",IF(COUNTIFS(예산_원본!$T$5:$T$3004,O354,예산_원본!$B$5:$B$3004,설정!$C$8,예산_원본!$U$5:$U$3004,L354)&gt;0,"Y","N"))</f>
        <v/>
      </c>
      <c r="Q354" s="63">
        <f>IF($A354="","",IF(COUNTIF(집계!$E$7:$E$506,O354)&gt;0,"Y","N"))</f>
        <v/>
      </c>
    </row>
    <row r="355">
      <c r="A355" s="60" t="n">
        <v>2025</v>
      </c>
      <c r="B355" s="60" t="n">
        <v>5</v>
      </c>
      <c r="C355" s="60" t="inlineStr">
        <is>
          <t>1000</t>
        </is>
      </c>
      <c r="D355" s="60" t="n">
        <v>1501</v>
      </c>
      <c r="E355" s="60" t="inlineStr">
        <is>
          <t>마케팅전략</t>
        </is>
      </c>
      <c r="F355" s="60" t="n">
        <v>62701000</v>
      </c>
      <c r="G355" s="60" t="inlineStr">
        <is>
          <t>광고선전비</t>
        </is>
      </c>
      <c r="H355" s="61" t="n">
        <v>75953840</v>
      </c>
      <c r="J355" s="63">
        <f>IF($A355="","",IFERROR(INDEX(부서매핑!$C$5:$C$504,MATCH($D355&amp;"",부서매핑!$A$5:$A$504,0)),"미매핑"))</f>
        <v/>
      </c>
      <c r="K355" s="63">
        <f>IF($A355="","",IFERROR(INDEX(계정매핑!$C$5:$C$504,MATCH($F355&amp;"",계정매핑!$A$5:$A$504,0)),"미매핑"))</f>
        <v/>
      </c>
      <c r="L355" s="4">
        <f>IF($A355="","",VALUE($A355&amp;""))</f>
        <v/>
      </c>
      <c r="M355" s="4">
        <f>IF($A355="","",VALUE($B355&amp;""))</f>
        <v/>
      </c>
      <c r="N355" s="64">
        <f>IF($A355="","",$H355*설정!$C$15)</f>
        <v/>
      </c>
      <c r="O355" s="4">
        <f>IF($A355="","",J355&amp;"|"&amp;K355)</f>
        <v/>
      </c>
      <c r="P355" s="63">
        <f>IF($A355="","",IF(COUNTIFS(예산_원본!$T$5:$T$3004,O355,예산_원본!$B$5:$B$3004,설정!$C$8,예산_원본!$U$5:$U$3004,L355)&gt;0,"Y","N"))</f>
        <v/>
      </c>
      <c r="Q355" s="63">
        <f>IF($A355="","",IF(COUNTIF(집계!$E$7:$E$506,O355)&gt;0,"Y","N"))</f>
        <v/>
      </c>
    </row>
    <row r="356">
      <c r="A356" s="60" t="n">
        <v>2025</v>
      </c>
      <c r="B356" s="60" t="n">
        <v>5</v>
      </c>
      <c r="C356" s="60" t="inlineStr">
        <is>
          <t>1000</t>
        </is>
      </c>
      <c r="D356" s="60" t="n">
        <v>1502</v>
      </c>
      <c r="E356" s="60" t="inlineStr">
        <is>
          <t>디지털마케팅</t>
        </is>
      </c>
      <c r="F356" s="60" t="n">
        <v>62101000</v>
      </c>
      <c r="G356" s="60" t="inlineStr">
        <is>
          <t>여비교통비-국내</t>
        </is>
      </c>
      <c r="H356" s="61" t="n">
        <v>813040</v>
      </c>
      <c r="J356" s="63">
        <f>IF($A356="","",IFERROR(INDEX(부서매핑!$C$5:$C$504,MATCH($D356&amp;"",부서매핑!$A$5:$A$504,0)),"미매핑"))</f>
        <v/>
      </c>
      <c r="K356" s="63">
        <f>IF($A356="","",IFERROR(INDEX(계정매핑!$C$5:$C$504,MATCH($F356&amp;"",계정매핑!$A$5:$A$504,0)),"미매핑"))</f>
        <v/>
      </c>
      <c r="L356" s="4">
        <f>IF($A356="","",VALUE($A356&amp;""))</f>
        <v/>
      </c>
      <c r="M356" s="4">
        <f>IF($A356="","",VALUE($B356&amp;""))</f>
        <v/>
      </c>
      <c r="N356" s="64">
        <f>IF($A356="","",$H356*설정!$C$15)</f>
        <v/>
      </c>
      <c r="O356" s="4">
        <f>IF($A356="","",J356&amp;"|"&amp;K356)</f>
        <v/>
      </c>
      <c r="P356" s="63">
        <f>IF($A356="","",IF(COUNTIFS(예산_원본!$T$5:$T$3004,O356,예산_원본!$B$5:$B$3004,설정!$C$8,예산_원본!$U$5:$U$3004,L356)&gt;0,"Y","N"))</f>
        <v/>
      </c>
      <c r="Q356" s="63">
        <f>IF($A356="","",IF(COUNTIF(집계!$E$7:$E$506,O356)&gt;0,"Y","N"))</f>
        <v/>
      </c>
    </row>
    <row r="357">
      <c r="A357" s="60" t="n">
        <v>2025</v>
      </c>
      <c r="B357" s="60" t="n">
        <v>5</v>
      </c>
      <c r="C357" s="60" t="inlineStr">
        <is>
          <t>1000</t>
        </is>
      </c>
      <c r="D357" s="60" t="n">
        <v>1502</v>
      </c>
      <c r="E357" s="60" t="inlineStr">
        <is>
          <t>디지털마케팅</t>
        </is>
      </c>
      <c r="F357" s="60" t="n">
        <v>62102000</v>
      </c>
      <c r="G357" s="60" t="inlineStr">
        <is>
          <t>여비교통비-해외</t>
        </is>
      </c>
      <c r="H357" s="61" t="n">
        <v>169210</v>
      </c>
      <c r="J357" s="63">
        <f>IF($A357="","",IFERROR(INDEX(부서매핑!$C$5:$C$504,MATCH($D357&amp;"",부서매핑!$A$5:$A$504,0)),"미매핑"))</f>
        <v/>
      </c>
      <c r="K357" s="63">
        <f>IF($A357="","",IFERROR(INDEX(계정매핑!$C$5:$C$504,MATCH($F357&amp;"",계정매핑!$A$5:$A$504,0)),"미매핑"))</f>
        <v/>
      </c>
      <c r="L357" s="4">
        <f>IF($A357="","",VALUE($A357&amp;""))</f>
        <v/>
      </c>
      <c r="M357" s="4">
        <f>IF($A357="","",VALUE($B357&amp;""))</f>
        <v/>
      </c>
      <c r="N357" s="64">
        <f>IF($A357="","",$H357*설정!$C$15)</f>
        <v/>
      </c>
      <c r="O357" s="4">
        <f>IF($A357="","",J357&amp;"|"&amp;K357)</f>
        <v/>
      </c>
      <c r="P357" s="63">
        <f>IF($A357="","",IF(COUNTIFS(예산_원본!$T$5:$T$3004,O357,예산_원본!$B$5:$B$3004,설정!$C$8,예산_원본!$U$5:$U$3004,L357)&gt;0,"Y","N"))</f>
        <v/>
      </c>
      <c r="Q357" s="63">
        <f>IF($A357="","",IF(COUNTIF(집계!$E$7:$E$506,O357)&gt;0,"Y","N"))</f>
        <v/>
      </c>
    </row>
    <row r="358">
      <c r="A358" s="60" t="n">
        <v>2025</v>
      </c>
      <c r="B358" s="60" t="n">
        <v>5</v>
      </c>
      <c r="C358" s="60" t="inlineStr">
        <is>
          <t>1000</t>
        </is>
      </c>
      <c r="D358" s="60" t="n">
        <v>1502</v>
      </c>
      <c r="E358" s="60" t="inlineStr">
        <is>
          <t>디지털마케팅</t>
        </is>
      </c>
      <c r="F358" s="60" t="n">
        <v>62201000</v>
      </c>
      <c r="G358" s="60" t="inlineStr">
        <is>
          <t>통신비</t>
        </is>
      </c>
      <c r="H358" s="61" t="n">
        <v>390060</v>
      </c>
      <c r="J358" s="63">
        <f>IF($A358="","",IFERROR(INDEX(부서매핑!$C$5:$C$504,MATCH($D358&amp;"",부서매핑!$A$5:$A$504,0)),"미매핑"))</f>
        <v/>
      </c>
      <c r="K358" s="63">
        <f>IF($A358="","",IFERROR(INDEX(계정매핑!$C$5:$C$504,MATCH($F358&amp;"",계정매핑!$A$5:$A$504,0)),"미매핑"))</f>
        <v/>
      </c>
      <c r="L358" s="4">
        <f>IF($A358="","",VALUE($A358&amp;""))</f>
        <v/>
      </c>
      <c r="M358" s="4">
        <f>IF($A358="","",VALUE($B358&amp;""))</f>
        <v/>
      </c>
      <c r="N358" s="64">
        <f>IF($A358="","",$H358*설정!$C$15)</f>
        <v/>
      </c>
      <c r="O358" s="4">
        <f>IF($A358="","",J358&amp;"|"&amp;K358)</f>
        <v/>
      </c>
      <c r="P358" s="63">
        <f>IF($A358="","",IF(COUNTIFS(예산_원본!$T$5:$T$3004,O358,예산_원본!$B$5:$B$3004,설정!$C$8,예산_원본!$U$5:$U$3004,L358)&gt;0,"Y","N"))</f>
        <v/>
      </c>
      <c r="Q358" s="63">
        <f>IF($A358="","",IF(COUNTIF(집계!$E$7:$E$506,O358)&gt;0,"Y","N"))</f>
        <v/>
      </c>
    </row>
    <row r="359">
      <c r="A359" s="60" t="n">
        <v>2025</v>
      </c>
      <c r="B359" s="60" t="n">
        <v>5</v>
      </c>
      <c r="C359" s="60" t="inlineStr">
        <is>
          <t>1000</t>
        </is>
      </c>
      <c r="D359" s="60" t="n">
        <v>1502</v>
      </c>
      <c r="E359" s="60" t="inlineStr">
        <is>
          <t>디지털마케팅</t>
        </is>
      </c>
      <c r="F359" s="60" t="n">
        <v>62301000</v>
      </c>
      <c r="G359" s="60" t="inlineStr">
        <is>
          <t>소모품비</t>
        </is>
      </c>
      <c r="H359" s="61" t="n">
        <v>315880</v>
      </c>
      <c r="J359" s="63">
        <f>IF($A359="","",IFERROR(INDEX(부서매핑!$C$5:$C$504,MATCH($D359&amp;"",부서매핑!$A$5:$A$504,0)),"미매핑"))</f>
        <v/>
      </c>
      <c r="K359" s="63">
        <f>IF($A359="","",IFERROR(INDEX(계정매핑!$C$5:$C$504,MATCH($F359&amp;"",계정매핑!$A$5:$A$504,0)),"미매핑"))</f>
        <v/>
      </c>
      <c r="L359" s="4">
        <f>IF($A359="","",VALUE($A359&amp;""))</f>
        <v/>
      </c>
      <c r="M359" s="4">
        <f>IF($A359="","",VALUE($B359&amp;""))</f>
        <v/>
      </c>
      <c r="N359" s="64">
        <f>IF($A359="","",$H359*설정!$C$15)</f>
        <v/>
      </c>
      <c r="O359" s="4">
        <f>IF($A359="","",J359&amp;"|"&amp;K359)</f>
        <v/>
      </c>
      <c r="P359" s="63">
        <f>IF($A359="","",IF(COUNTIFS(예산_원본!$T$5:$T$3004,O359,예산_원본!$B$5:$B$3004,설정!$C$8,예산_원본!$U$5:$U$3004,L359)&gt;0,"Y","N"))</f>
        <v/>
      </c>
      <c r="Q359" s="63">
        <f>IF($A359="","",IF(COUNTIF(집계!$E$7:$E$506,O359)&gt;0,"Y","N"))</f>
        <v/>
      </c>
    </row>
    <row r="360">
      <c r="A360" s="60" t="n">
        <v>2025</v>
      </c>
      <c r="B360" s="60" t="n">
        <v>5</v>
      </c>
      <c r="C360" s="60" t="inlineStr">
        <is>
          <t>1000</t>
        </is>
      </c>
      <c r="D360" s="60" t="n">
        <v>1502</v>
      </c>
      <c r="E360" s="60" t="inlineStr">
        <is>
          <t>디지털마케팅</t>
        </is>
      </c>
      <c r="F360" s="60" t="n">
        <v>62401000</v>
      </c>
      <c r="G360" s="60" t="inlineStr">
        <is>
          <t>도서인쇄비</t>
        </is>
      </c>
      <c r="H360" s="61" t="n">
        <v>2194290</v>
      </c>
      <c r="J360" s="63">
        <f>IF($A360="","",IFERROR(INDEX(부서매핑!$C$5:$C$504,MATCH($D360&amp;"",부서매핑!$A$5:$A$504,0)),"미매핑"))</f>
        <v/>
      </c>
      <c r="K360" s="63">
        <f>IF($A360="","",IFERROR(INDEX(계정매핑!$C$5:$C$504,MATCH($F360&amp;"",계정매핑!$A$5:$A$504,0)),"미매핑"))</f>
        <v/>
      </c>
      <c r="L360" s="4">
        <f>IF($A360="","",VALUE($A360&amp;""))</f>
        <v/>
      </c>
      <c r="M360" s="4">
        <f>IF($A360="","",VALUE($B360&amp;""))</f>
        <v/>
      </c>
      <c r="N360" s="64">
        <f>IF($A360="","",$H360*설정!$C$15)</f>
        <v/>
      </c>
      <c r="O360" s="4">
        <f>IF($A360="","",J360&amp;"|"&amp;K360)</f>
        <v/>
      </c>
      <c r="P360" s="63">
        <f>IF($A360="","",IF(COUNTIFS(예산_원본!$T$5:$T$3004,O360,예산_원본!$B$5:$B$3004,설정!$C$8,예산_원본!$U$5:$U$3004,L360)&gt;0,"Y","N"))</f>
        <v/>
      </c>
      <c r="Q360" s="63">
        <f>IF($A360="","",IF(COUNTIF(집계!$E$7:$E$506,O360)&gt;0,"Y","N"))</f>
        <v/>
      </c>
    </row>
    <row r="361">
      <c r="A361" s="60" t="n">
        <v>2025</v>
      </c>
      <c r="B361" s="60" t="n">
        <v>5</v>
      </c>
      <c r="C361" s="60" t="inlineStr">
        <is>
          <t>1000</t>
        </is>
      </c>
      <c r="D361" s="60" t="n">
        <v>1502</v>
      </c>
      <c r="E361" s="60" t="inlineStr">
        <is>
          <t>디지털마케팅</t>
        </is>
      </c>
      <c r="F361" s="60" t="n">
        <v>62501000</v>
      </c>
      <c r="G361" s="60" t="inlineStr">
        <is>
          <t>회의비</t>
        </is>
      </c>
      <c r="H361" s="61" t="n">
        <v>427790</v>
      </c>
      <c r="J361" s="63">
        <f>IF($A361="","",IFERROR(INDEX(부서매핑!$C$5:$C$504,MATCH($D361&amp;"",부서매핑!$A$5:$A$504,0)),"미매핑"))</f>
        <v/>
      </c>
      <c r="K361" s="63">
        <f>IF($A361="","",IFERROR(INDEX(계정매핑!$C$5:$C$504,MATCH($F361&amp;"",계정매핑!$A$5:$A$504,0)),"미매핑"))</f>
        <v/>
      </c>
      <c r="L361" s="4">
        <f>IF($A361="","",VALUE($A361&amp;""))</f>
        <v/>
      </c>
      <c r="M361" s="4">
        <f>IF($A361="","",VALUE($B361&amp;""))</f>
        <v/>
      </c>
      <c r="N361" s="64">
        <f>IF($A361="","",$H361*설정!$C$15)</f>
        <v/>
      </c>
      <c r="O361" s="4">
        <f>IF($A361="","",J361&amp;"|"&amp;K361)</f>
        <v/>
      </c>
      <c r="P361" s="63">
        <f>IF($A361="","",IF(COUNTIFS(예산_원본!$T$5:$T$3004,O361,예산_원본!$B$5:$B$3004,설정!$C$8,예산_원본!$U$5:$U$3004,L361)&gt;0,"Y","N"))</f>
        <v/>
      </c>
      <c r="Q361" s="63">
        <f>IF($A361="","",IF(COUNTIF(집계!$E$7:$E$506,O361)&gt;0,"Y","N"))</f>
        <v/>
      </c>
    </row>
    <row r="362">
      <c r="A362" s="60" t="n">
        <v>2025</v>
      </c>
      <c r="B362" s="60" t="n">
        <v>5</v>
      </c>
      <c r="C362" s="60" t="inlineStr">
        <is>
          <t>1000</t>
        </is>
      </c>
      <c r="D362" s="60" t="n">
        <v>1502</v>
      </c>
      <c r="E362" s="60" t="inlineStr">
        <is>
          <t>디지털마케팅</t>
        </is>
      </c>
      <c r="F362" s="60" t="n">
        <v>62601000</v>
      </c>
      <c r="G362" s="60" t="inlineStr">
        <is>
          <t>업무추진비</t>
        </is>
      </c>
      <c r="H362" s="61" t="n">
        <v>925190</v>
      </c>
      <c r="J362" s="63">
        <f>IF($A362="","",IFERROR(INDEX(부서매핑!$C$5:$C$504,MATCH($D362&amp;"",부서매핑!$A$5:$A$504,0)),"미매핑"))</f>
        <v/>
      </c>
      <c r="K362" s="63">
        <f>IF($A362="","",IFERROR(INDEX(계정매핑!$C$5:$C$504,MATCH($F362&amp;"",계정매핑!$A$5:$A$504,0)),"미매핑"))</f>
        <v/>
      </c>
      <c r="L362" s="4">
        <f>IF($A362="","",VALUE($A362&amp;""))</f>
        <v/>
      </c>
      <c r="M362" s="4">
        <f>IF($A362="","",VALUE($B362&amp;""))</f>
        <v/>
      </c>
      <c r="N362" s="64">
        <f>IF($A362="","",$H362*설정!$C$15)</f>
        <v/>
      </c>
      <c r="O362" s="4">
        <f>IF($A362="","",J362&amp;"|"&amp;K362)</f>
        <v/>
      </c>
      <c r="P362" s="63">
        <f>IF($A362="","",IF(COUNTIFS(예산_원본!$T$5:$T$3004,O362,예산_원본!$B$5:$B$3004,설정!$C$8,예산_원본!$U$5:$U$3004,L362)&gt;0,"Y","N"))</f>
        <v/>
      </c>
      <c r="Q362" s="63">
        <f>IF($A362="","",IF(COUNTIF(집계!$E$7:$E$506,O362)&gt;0,"Y","N"))</f>
        <v/>
      </c>
    </row>
    <row r="363">
      <c r="A363" s="60" t="n">
        <v>2025</v>
      </c>
      <c r="B363" s="60" t="n">
        <v>5</v>
      </c>
      <c r="C363" s="60" t="inlineStr">
        <is>
          <t>1000</t>
        </is>
      </c>
      <c r="D363" s="60" t="n">
        <v>1502</v>
      </c>
      <c r="E363" s="60" t="inlineStr">
        <is>
          <t>디지털마케팅</t>
        </is>
      </c>
      <c r="F363" s="60" t="n">
        <v>62701000</v>
      </c>
      <c r="G363" s="60" t="inlineStr">
        <is>
          <t>광고선전비</t>
        </is>
      </c>
      <c r="H363" s="61" t="n">
        <v>50673250</v>
      </c>
      <c r="J363" s="63">
        <f>IF($A363="","",IFERROR(INDEX(부서매핑!$C$5:$C$504,MATCH($D363&amp;"",부서매핑!$A$5:$A$504,0)),"미매핑"))</f>
        <v/>
      </c>
      <c r="K363" s="63">
        <f>IF($A363="","",IFERROR(INDEX(계정매핑!$C$5:$C$504,MATCH($F363&amp;"",계정매핑!$A$5:$A$504,0)),"미매핑"))</f>
        <v/>
      </c>
      <c r="L363" s="4">
        <f>IF($A363="","",VALUE($A363&amp;""))</f>
        <v/>
      </c>
      <c r="M363" s="4">
        <f>IF($A363="","",VALUE($B363&amp;""))</f>
        <v/>
      </c>
      <c r="N363" s="64">
        <f>IF($A363="","",$H363*설정!$C$15)</f>
        <v/>
      </c>
      <c r="O363" s="4">
        <f>IF($A363="","",J363&amp;"|"&amp;K363)</f>
        <v/>
      </c>
      <c r="P363" s="63">
        <f>IF($A363="","",IF(COUNTIFS(예산_원본!$T$5:$T$3004,O363,예산_원본!$B$5:$B$3004,설정!$C$8,예산_원본!$U$5:$U$3004,L363)&gt;0,"Y","N"))</f>
        <v/>
      </c>
      <c r="Q363" s="63">
        <f>IF($A363="","",IF(COUNTIF(집계!$E$7:$E$506,O363)&gt;0,"Y","N"))</f>
        <v/>
      </c>
    </row>
    <row r="364">
      <c r="A364" s="60" t="n">
        <v>2025</v>
      </c>
      <c r="B364" s="60" t="n">
        <v>5</v>
      </c>
      <c r="C364" s="60" t="inlineStr">
        <is>
          <t>1000</t>
        </is>
      </c>
      <c r="D364" s="60" t="n">
        <v>1601</v>
      </c>
      <c r="E364" s="60" t="inlineStr">
        <is>
          <t>영업지원-본사</t>
        </is>
      </c>
      <c r="F364" s="60" t="n">
        <v>62101000</v>
      </c>
      <c r="G364" s="60" t="inlineStr">
        <is>
          <t>여비교통비-국내</t>
        </is>
      </c>
      <c r="H364" s="61" t="n">
        <v>2777540</v>
      </c>
      <c r="J364" s="63">
        <f>IF($A364="","",IFERROR(INDEX(부서매핑!$C$5:$C$504,MATCH($D364&amp;"",부서매핑!$A$5:$A$504,0)),"미매핑"))</f>
        <v/>
      </c>
      <c r="K364" s="63">
        <f>IF($A364="","",IFERROR(INDEX(계정매핑!$C$5:$C$504,MATCH($F364&amp;"",계정매핑!$A$5:$A$504,0)),"미매핑"))</f>
        <v/>
      </c>
      <c r="L364" s="4">
        <f>IF($A364="","",VALUE($A364&amp;""))</f>
        <v/>
      </c>
      <c r="M364" s="4">
        <f>IF($A364="","",VALUE($B364&amp;""))</f>
        <v/>
      </c>
      <c r="N364" s="64">
        <f>IF($A364="","",$H364*설정!$C$15)</f>
        <v/>
      </c>
      <c r="O364" s="4">
        <f>IF($A364="","",J364&amp;"|"&amp;K364)</f>
        <v/>
      </c>
      <c r="P364" s="63">
        <f>IF($A364="","",IF(COUNTIFS(예산_원본!$T$5:$T$3004,O364,예산_원본!$B$5:$B$3004,설정!$C$8,예산_원본!$U$5:$U$3004,L364)&gt;0,"Y","N"))</f>
        <v/>
      </c>
      <c r="Q364" s="63">
        <f>IF($A364="","",IF(COUNTIF(집계!$E$7:$E$506,O364)&gt;0,"Y","N"))</f>
        <v/>
      </c>
    </row>
    <row r="365">
      <c r="A365" s="60" t="n">
        <v>2025</v>
      </c>
      <c r="B365" s="60" t="n">
        <v>5</v>
      </c>
      <c r="C365" s="60" t="inlineStr">
        <is>
          <t>1000</t>
        </is>
      </c>
      <c r="D365" s="60" t="n">
        <v>1601</v>
      </c>
      <c r="E365" s="60" t="inlineStr">
        <is>
          <t>영업지원-본사</t>
        </is>
      </c>
      <c r="F365" s="60" t="n">
        <v>62102000</v>
      </c>
      <c r="G365" s="60" t="inlineStr">
        <is>
          <t>여비교통비-해외</t>
        </is>
      </c>
      <c r="H365" s="61" t="n">
        <v>541330</v>
      </c>
      <c r="J365" s="63">
        <f>IF($A365="","",IFERROR(INDEX(부서매핑!$C$5:$C$504,MATCH($D365&amp;"",부서매핑!$A$5:$A$504,0)),"미매핑"))</f>
        <v/>
      </c>
      <c r="K365" s="63">
        <f>IF($A365="","",IFERROR(INDEX(계정매핑!$C$5:$C$504,MATCH($F365&amp;"",계정매핑!$A$5:$A$504,0)),"미매핑"))</f>
        <v/>
      </c>
      <c r="L365" s="4">
        <f>IF($A365="","",VALUE($A365&amp;""))</f>
        <v/>
      </c>
      <c r="M365" s="4">
        <f>IF($A365="","",VALUE($B365&amp;""))</f>
        <v/>
      </c>
      <c r="N365" s="64">
        <f>IF($A365="","",$H365*설정!$C$15)</f>
        <v/>
      </c>
      <c r="O365" s="4">
        <f>IF($A365="","",J365&amp;"|"&amp;K365)</f>
        <v/>
      </c>
      <c r="P365" s="63">
        <f>IF($A365="","",IF(COUNTIFS(예산_원본!$T$5:$T$3004,O365,예산_원본!$B$5:$B$3004,설정!$C$8,예산_원본!$U$5:$U$3004,L365)&gt;0,"Y","N"))</f>
        <v/>
      </c>
      <c r="Q365" s="63">
        <f>IF($A365="","",IF(COUNTIF(집계!$E$7:$E$506,O365)&gt;0,"Y","N"))</f>
        <v/>
      </c>
    </row>
    <row r="366">
      <c r="A366" s="60" t="n">
        <v>2025</v>
      </c>
      <c r="B366" s="60" t="n">
        <v>5</v>
      </c>
      <c r="C366" s="60" t="inlineStr">
        <is>
          <t>1000</t>
        </is>
      </c>
      <c r="D366" s="60" t="n">
        <v>1601</v>
      </c>
      <c r="E366" s="60" t="inlineStr">
        <is>
          <t>영업지원-본사</t>
        </is>
      </c>
      <c r="F366" s="60" t="n">
        <v>62201000</v>
      </c>
      <c r="G366" s="60" t="inlineStr">
        <is>
          <t>통신비</t>
        </is>
      </c>
      <c r="H366" s="61" t="n">
        <v>902650</v>
      </c>
      <c r="J366" s="63">
        <f>IF($A366="","",IFERROR(INDEX(부서매핑!$C$5:$C$504,MATCH($D366&amp;"",부서매핑!$A$5:$A$504,0)),"미매핑"))</f>
        <v/>
      </c>
      <c r="K366" s="63">
        <f>IF($A366="","",IFERROR(INDEX(계정매핑!$C$5:$C$504,MATCH($F366&amp;"",계정매핑!$A$5:$A$504,0)),"미매핑"))</f>
        <v/>
      </c>
      <c r="L366" s="4">
        <f>IF($A366="","",VALUE($A366&amp;""))</f>
        <v/>
      </c>
      <c r="M366" s="4">
        <f>IF($A366="","",VALUE($B366&amp;""))</f>
        <v/>
      </c>
      <c r="N366" s="64">
        <f>IF($A366="","",$H366*설정!$C$15)</f>
        <v/>
      </c>
      <c r="O366" s="4">
        <f>IF($A366="","",J366&amp;"|"&amp;K366)</f>
        <v/>
      </c>
      <c r="P366" s="63">
        <f>IF($A366="","",IF(COUNTIFS(예산_원본!$T$5:$T$3004,O366,예산_원본!$B$5:$B$3004,설정!$C$8,예산_원본!$U$5:$U$3004,L366)&gt;0,"Y","N"))</f>
        <v/>
      </c>
      <c r="Q366" s="63">
        <f>IF($A366="","",IF(COUNTIF(집계!$E$7:$E$506,O366)&gt;0,"Y","N"))</f>
        <v/>
      </c>
    </row>
    <row r="367">
      <c r="A367" s="60" t="n">
        <v>2025</v>
      </c>
      <c r="B367" s="60" t="n">
        <v>5</v>
      </c>
      <c r="C367" s="60" t="inlineStr">
        <is>
          <t>1000</t>
        </is>
      </c>
      <c r="D367" s="60" t="n">
        <v>1601</v>
      </c>
      <c r="E367" s="60" t="inlineStr">
        <is>
          <t>영업지원-본사</t>
        </is>
      </c>
      <c r="F367" s="60" t="n">
        <v>62301000</v>
      </c>
      <c r="G367" s="60" t="inlineStr">
        <is>
          <t>소모품비</t>
        </is>
      </c>
      <c r="H367" s="61" t="n">
        <v>598510</v>
      </c>
      <c r="J367" s="63">
        <f>IF($A367="","",IFERROR(INDEX(부서매핑!$C$5:$C$504,MATCH($D367&amp;"",부서매핑!$A$5:$A$504,0)),"미매핑"))</f>
        <v/>
      </c>
      <c r="K367" s="63">
        <f>IF($A367="","",IFERROR(INDEX(계정매핑!$C$5:$C$504,MATCH($F367&amp;"",계정매핑!$A$5:$A$504,0)),"미매핑"))</f>
        <v/>
      </c>
      <c r="L367" s="4">
        <f>IF($A367="","",VALUE($A367&amp;""))</f>
        <v/>
      </c>
      <c r="M367" s="4">
        <f>IF($A367="","",VALUE($B367&amp;""))</f>
        <v/>
      </c>
      <c r="N367" s="64">
        <f>IF($A367="","",$H367*설정!$C$15)</f>
        <v/>
      </c>
      <c r="O367" s="4">
        <f>IF($A367="","",J367&amp;"|"&amp;K367)</f>
        <v/>
      </c>
      <c r="P367" s="63">
        <f>IF($A367="","",IF(COUNTIFS(예산_원본!$T$5:$T$3004,O367,예산_원본!$B$5:$B$3004,설정!$C$8,예산_원본!$U$5:$U$3004,L367)&gt;0,"Y","N"))</f>
        <v/>
      </c>
      <c r="Q367" s="63">
        <f>IF($A367="","",IF(COUNTIF(집계!$E$7:$E$506,O367)&gt;0,"Y","N"))</f>
        <v/>
      </c>
    </row>
    <row r="368">
      <c r="A368" s="60" t="n">
        <v>2025</v>
      </c>
      <c r="B368" s="60" t="n">
        <v>5</v>
      </c>
      <c r="C368" s="60" t="inlineStr">
        <is>
          <t>1000</t>
        </is>
      </c>
      <c r="D368" s="60" t="n">
        <v>1601</v>
      </c>
      <c r="E368" s="60" t="inlineStr">
        <is>
          <t>영업지원-본사</t>
        </is>
      </c>
      <c r="F368" s="60" t="n">
        <v>62501000</v>
      </c>
      <c r="G368" s="60" t="inlineStr">
        <is>
          <t>회의비</t>
        </is>
      </c>
      <c r="H368" s="61" t="n">
        <v>870770</v>
      </c>
      <c r="J368" s="63">
        <f>IF($A368="","",IFERROR(INDEX(부서매핑!$C$5:$C$504,MATCH($D368&amp;"",부서매핑!$A$5:$A$504,0)),"미매핑"))</f>
        <v/>
      </c>
      <c r="K368" s="63">
        <f>IF($A368="","",IFERROR(INDEX(계정매핑!$C$5:$C$504,MATCH($F368&amp;"",계정매핑!$A$5:$A$504,0)),"미매핑"))</f>
        <v/>
      </c>
      <c r="L368" s="4">
        <f>IF($A368="","",VALUE($A368&amp;""))</f>
        <v/>
      </c>
      <c r="M368" s="4">
        <f>IF($A368="","",VALUE($B368&amp;""))</f>
        <v/>
      </c>
      <c r="N368" s="64">
        <f>IF($A368="","",$H368*설정!$C$15)</f>
        <v/>
      </c>
      <c r="O368" s="4">
        <f>IF($A368="","",J368&amp;"|"&amp;K368)</f>
        <v/>
      </c>
      <c r="P368" s="63">
        <f>IF($A368="","",IF(COUNTIFS(예산_원본!$T$5:$T$3004,O368,예산_원본!$B$5:$B$3004,설정!$C$8,예산_원본!$U$5:$U$3004,L368)&gt;0,"Y","N"))</f>
        <v/>
      </c>
      <c r="Q368" s="63">
        <f>IF($A368="","",IF(COUNTIF(집계!$E$7:$E$506,O368)&gt;0,"Y","N"))</f>
        <v/>
      </c>
    </row>
    <row r="369">
      <c r="A369" s="60" t="n">
        <v>2025</v>
      </c>
      <c r="B369" s="60" t="n">
        <v>5</v>
      </c>
      <c r="C369" s="60" t="inlineStr">
        <is>
          <t>1000</t>
        </is>
      </c>
      <c r="D369" s="60" t="n">
        <v>1601</v>
      </c>
      <c r="E369" s="60" t="inlineStr">
        <is>
          <t>영업지원-본사</t>
        </is>
      </c>
      <c r="F369" s="60" t="n">
        <v>62601000</v>
      </c>
      <c r="G369" s="60" t="inlineStr">
        <is>
          <t>업무추진비</t>
        </is>
      </c>
      <c r="H369" s="61" t="n">
        <v>2252570</v>
      </c>
      <c r="J369" s="63">
        <f>IF($A369="","",IFERROR(INDEX(부서매핑!$C$5:$C$504,MATCH($D369&amp;"",부서매핑!$A$5:$A$504,0)),"미매핑"))</f>
        <v/>
      </c>
      <c r="K369" s="63">
        <f>IF($A369="","",IFERROR(INDEX(계정매핑!$C$5:$C$504,MATCH($F369&amp;"",계정매핑!$A$5:$A$504,0)),"미매핑"))</f>
        <v/>
      </c>
      <c r="L369" s="4">
        <f>IF($A369="","",VALUE($A369&amp;""))</f>
        <v/>
      </c>
      <c r="M369" s="4">
        <f>IF($A369="","",VALUE($B369&amp;""))</f>
        <v/>
      </c>
      <c r="N369" s="64">
        <f>IF($A369="","",$H369*설정!$C$15)</f>
        <v/>
      </c>
      <c r="O369" s="4">
        <f>IF($A369="","",J369&amp;"|"&amp;K369)</f>
        <v/>
      </c>
      <c r="P369" s="63">
        <f>IF($A369="","",IF(COUNTIFS(예산_원본!$T$5:$T$3004,O369,예산_원본!$B$5:$B$3004,설정!$C$8,예산_원본!$U$5:$U$3004,L369)&gt;0,"Y","N"))</f>
        <v/>
      </c>
      <c r="Q369" s="63">
        <f>IF($A369="","",IF(COUNTIF(집계!$E$7:$E$506,O369)&gt;0,"Y","N"))</f>
        <v/>
      </c>
    </row>
    <row r="370">
      <c r="A370" s="60" t="n">
        <v>2025</v>
      </c>
      <c r="B370" s="60" t="n">
        <v>5</v>
      </c>
      <c r="C370" s="60" t="inlineStr">
        <is>
          <t>1000</t>
        </is>
      </c>
      <c r="D370" s="60" t="n">
        <v>1601</v>
      </c>
      <c r="E370" s="60" t="inlineStr">
        <is>
          <t>영업지원-본사</t>
        </is>
      </c>
      <c r="F370" s="60" t="n">
        <v>63101000</v>
      </c>
      <c r="G370" s="60" t="inlineStr">
        <is>
          <t>임차료</t>
        </is>
      </c>
      <c r="H370" s="61" t="n">
        <v>10195040</v>
      </c>
      <c r="J370" s="63">
        <f>IF($A370="","",IFERROR(INDEX(부서매핑!$C$5:$C$504,MATCH($D370&amp;"",부서매핑!$A$5:$A$504,0)),"미매핑"))</f>
        <v/>
      </c>
      <c r="K370" s="63">
        <f>IF($A370="","",IFERROR(INDEX(계정매핑!$C$5:$C$504,MATCH($F370&amp;"",계정매핑!$A$5:$A$504,0)),"미매핑"))</f>
        <v/>
      </c>
      <c r="L370" s="4">
        <f>IF($A370="","",VALUE($A370&amp;""))</f>
        <v/>
      </c>
      <c r="M370" s="4">
        <f>IF($A370="","",VALUE($B370&amp;""))</f>
        <v/>
      </c>
      <c r="N370" s="64">
        <f>IF($A370="","",$H370*설정!$C$15)</f>
        <v/>
      </c>
      <c r="O370" s="4">
        <f>IF($A370="","",J370&amp;"|"&amp;K370)</f>
        <v/>
      </c>
      <c r="P370" s="63">
        <f>IF($A370="","",IF(COUNTIFS(예산_원본!$T$5:$T$3004,O370,예산_원본!$B$5:$B$3004,설정!$C$8,예산_원본!$U$5:$U$3004,L370)&gt;0,"Y","N"))</f>
        <v/>
      </c>
      <c r="Q370" s="63">
        <f>IF($A370="","",IF(COUNTIF(집계!$E$7:$E$506,O370)&gt;0,"Y","N"))</f>
        <v/>
      </c>
    </row>
    <row r="371">
      <c r="A371" s="60" t="n">
        <v>2025</v>
      </c>
      <c r="B371" s="60" t="n">
        <v>5</v>
      </c>
      <c r="C371" s="60" t="inlineStr">
        <is>
          <t>1000</t>
        </is>
      </c>
      <c r="D371" s="60" t="n">
        <v>1601</v>
      </c>
      <c r="E371" s="60" t="inlineStr">
        <is>
          <t>영업지원-본사</t>
        </is>
      </c>
      <c r="F371" s="60" t="n">
        <v>63201000</v>
      </c>
      <c r="G371" s="60" t="inlineStr">
        <is>
          <t>차량유지비</t>
        </is>
      </c>
      <c r="H371" s="61" t="n">
        <v>3357980</v>
      </c>
      <c r="J371" s="63">
        <f>IF($A371="","",IFERROR(INDEX(부서매핑!$C$5:$C$504,MATCH($D371&amp;"",부서매핑!$A$5:$A$504,0)),"미매핑"))</f>
        <v/>
      </c>
      <c r="K371" s="63">
        <f>IF($A371="","",IFERROR(INDEX(계정매핑!$C$5:$C$504,MATCH($F371&amp;"",계정매핑!$A$5:$A$504,0)),"미매핑"))</f>
        <v/>
      </c>
      <c r="L371" s="4">
        <f>IF($A371="","",VALUE($A371&amp;""))</f>
        <v/>
      </c>
      <c r="M371" s="4">
        <f>IF($A371="","",VALUE($B371&amp;""))</f>
        <v/>
      </c>
      <c r="N371" s="64">
        <f>IF($A371="","",$H371*설정!$C$15)</f>
        <v/>
      </c>
      <c r="O371" s="4">
        <f>IF($A371="","",J371&amp;"|"&amp;K371)</f>
        <v/>
      </c>
      <c r="P371" s="63">
        <f>IF($A371="","",IF(COUNTIFS(예산_원본!$T$5:$T$3004,O371,예산_원본!$B$5:$B$3004,설정!$C$8,예산_원본!$U$5:$U$3004,L371)&gt;0,"Y","N"))</f>
        <v/>
      </c>
      <c r="Q371" s="63">
        <f>IF($A371="","",IF(COUNTIF(집계!$E$7:$E$506,O371)&gt;0,"Y","N"))</f>
        <v/>
      </c>
    </row>
    <row r="372">
      <c r="A372" s="60" t="n">
        <v>2025</v>
      </c>
      <c r="B372" s="60" t="n">
        <v>5</v>
      </c>
      <c r="C372" s="60" t="inlineStr">
        <is>
          <t>1000</t>
        </is>
      </c>
      <c r="D372" s="60" t="n">
        <v>1602</v>
      </c>
      <c r="E372" s="60" t="inlineStr">
        <is>
          <t>영업지원-지역본부</t>
        </is>
      </c>
      <c r="F372" s="60" t="n">
        <v>62101000</v>
      </c>
      <c r="G372" s="60" t="inlineStr">
        <is>
          <t>여비교통비-국내</t>
        </is>
      </c>
      <c r="H372" s="61" t="n">
        <v>2529160</v>
      </c>
      <c r="J372" s="63">
        <f>IF($A372="","",IFERROR(INDEX(부서매핑!$C$5:$C$504,MATCH($D372&amp;"",부서매핑!$A$5:$A$504,0)),"미매핑"))</f>
        <v/>
      </c>
      <c r="K372" s="63">
        <f>IF($A372="","",IFERROR(INDEX(계정매핑!$C$5:$C$504,MATCH($F372&amp;"",계정매핑!$A$5:$A$504,0)),"미매핑"))</f>
        <v/>
      </c>
      <c r="L372" s="4">
        <f>IF($A372="","",VALUE($A372&amp;""))</f>
        <v/>
      </c>
      <c r="M372" s="4">
        <f>IF($A372="","",VALUE($B372&amp;""))</f>
        <v/>
      </c>
      <c r="N372" s="64">
        <f>IF($A372="","",$H372*설정!$C$15)</f>
        <v/>
      </c>
      <c r="O372" s="4">
        <f>IF($A372="","",J372&amp;"|"&amp;K372)</f>
        <v/>
      </c>
      <c r="P372" s="63">
        <f>IF($A372="","",IF(COUNTIFS(예산_원본!$T$5:$T$3004,O372,예산_원본!$B$5:$B$3004,설정!$C$8,예산_원본!$U$5:$U$3004,L372)&gt;0,"Y","N"))</f>
        <v/>
      </c>
      <c r="Q372" s="63">
        <f>IF($A372="","",IF(COUNTIF(집계!$E$7:$E$506,O372)&gt;0,"Y","N"))</f>
        <v/>
      </c>
    </row>
    <row r="373">
      <c r="A373" s="60" t="n">
        <v>2025</v>
      </c>
      <c r="B373" s="60" t="n">
        <v>5</v>
      </c>
      <c r="C373" s="60" t="inlineStr">
        <is>
          <t>1000</t>
        </is>
      </c>
      <c r="D373" s="60" t="n">
        <v>1602</v>
      </c>
      <c r="E373" s="60" t="inlineStr">
        <is>
          <t>영업지원-지역본부</t>
        </is>
      </c>
      <c r="F373" s="60" t="n">
        <v>62102000</v>
      </c>
      <c r="G373" s="60" t="inlineStr">
        <is>
          <t>여비교통비-해외</t>
        </is>
      </c>
      <c r="H373" s="61" t="n">
        <v>418320</v>
      </c>
      <c r="J373" s="63">
        <f>IF($A373="","",IFERROR(INDEX(부서매핑!$C$5:$C$504,MATCH($D373&amp;"",부서매핑!$A$5:$A$504,0)),"미매핑"))</f>
        <v/>
      </c>
      <c r="K373" s="63">
        <f>IF($A373="","",IFERROR(INDEX(계정매핑!$C$5:$C$504,MATCH($F373&amp;"",계정매핑!$A$5:$A$504,0)),"미매핑"))</f>
        <v/>
      </c>
      <c r="L373" s="4">
        <f>IF($A373="","",VALUE($A373&amp;""))</f>
        <v/>
      </c>
      <c r="M373" s="4">
        <f>IF($A373="","",VALUE($B373&amp;""))</f>
        <v/>
      </c>
      <c r="N373" s="64">
        <f>IF($A373="","",$H373*설정!$C$15)</f>
        <v/>
      </c>
      <c r="O373" s="4">
        <f>IF($A373="","",J373&amp;"|"&amp;K373)</f>
        <v/>
      </c>
      <c r="P373" s="63">
        <f>IF($A373="","",IF(COUNTIFS(예산_원본!$T$5:$T$3004,O373,예산_원본!$B$5:$B$3004,설정!$C$8,예산_원본!$U$5:$U$3004,L373)&gt;0,"Y","N"))</f>
        <v/>
      </c>
      <c r="Q373" s="63">
        <f>IF($A373="","",IF(COUNTIF(집계!$E$7:$E$506,O373)&gt;0,"Y","N"))</f>
        <v/>
      </c>
    </row>
    <row r="374">
      <c r="A374" s="60" t="n">
        <v>2025</v>
      </c>
      <c r="B374" s="60" t="n">
        <v>5</v>
      </c>
      <c r="C374" s="60" t="inlineStr">
        <is>
          <t>1000</t>
        </is>
      </c>
      <c r="D374" s="60" t="n">
        <v>1602</v>
      </c>
      <c r="E374" s="60" t="inlineStr">
        <is>
          <t>영업지원-지역본부</t>
        </is>
      </c>
      <c r="F374" s="60" t="n">
        <v>62201000</v>
      </c>
      <c r="G374" s="60" t="inlineStr">
        <is>
          <t>통신비</t>
        </is>
      </c>
      <c r="H374" s="61" t="n">
        <v>823540</v>
      </c>
      <c r="J374" s="63">
        <f>IF($A374="","",IFERROR(INDEX(부서매핑!$C$5:$C$504,MATCH($D374&amp;"",부서매핑!$A$5:$A$504,0)),"미매핑"))</f>
        <v/>
      </c>
      <c r="K374" s="63">
        <f>IF($A374="","",IFERROR(INDEX(계정매핑!$C$5:$C$504,MATCH($F374&amp;"",계정매핑!$A$5:$A$504,0)),"미매핑"))</f>
        <v/>
      </c>
      <c r="L374" s="4">
        <f>IF($A374="","",VALUE($A374&amp;""))</f>
        <v/>
      </c>
      <c r="M374" s="4">
        <f>IF($A374="","",VALUE($B374&amp;""))</f>
        <v/>
      </c>
      <c r="N374" s="64">
        <f>IF($A374="","",$H374*설정!$C$15)</f>
        <v/>
      </c>
      <c r="O374" s="4">
        <f>IF($A374="","",J374&amp;"|"&amp;K374)</f>
        <v/>
      </c>
      <c r="P374" s="63">
        <f>IF($A374="","",IF(COUNTIFS(예산_원본!$T$5:$T$3004,O374,예산_원본!$B$5:$B$3004,설정!$C$8,예산_원본!$U$5:$U$3004,L374)&gt;0,"Y","N"))</f>
        <v/>
      </c>
      <c r="Q374" s="63">
        <f>IF($A374="","",IF(COUNTIF(집계!$E$7:$E$506,O374)&gt;0,"Y","N"))</f>
        <v/>
      </c>
    </row>
    <row r="375">
      <c r="A375" s="60" t="n">
        <v>2025</v>
      </c>
      <c r="B375" s="60" t="n">
        <v>5</v>
      </c>
      <c r="C375" s="60" t="inlineStr">
        <is>
          <t>1000</t>
        </is>
      </c>
      <c r="D375" s="60" t="n">
        <v>1602</v>
      </c>
      <c r="E375" s="60" t="inlineStr">
        <is>
          <t>영업지원-지역본부</t>
        </is>
      </c>
      <c r="F375" s="60" t="n">
        <v>62301000</v>
      </c>
      <c r="G375" s="60" t="inlineStr">
        <is>
          <t>소모품비</t>
        </is>
      </c>
      <c r="H375" s="61" t="n">
        <v>461620</v>
      </c>
      <c r="J375" s="63">
        <f>IF($A375="","",IFERROR(INDEX(부서매핑!$C$5:$C$504,MATCH($D375&amp;"",부서매핑!$A$5:$A$504,0)),"미매핑"))</f>
        <v/>
      </c>
      <c r="K375" s="63">
        <f>IF($A375="","",IFERROR(INDEX(계정매핑!$C$5:$C$504,MATCH($F375&amp;"",계정매핑!$A$5:$A$504,0)),"미매핑"))</f>
        <v/>
      </c>
      <c r="L375" s="4">
        <f>IF($A375="","",VALUE($A375&amp;""))</f>
        <v/>
      </c>
      <c r="M375" s="4">
        <f>IF($A375="","",VALUE($B375&amp;""))</f>
        <v/>
      </c>
      <c r="N375" s="64">
        <f>IF($A375="","",$H375*설정!$C$15)</f>
        <v/>
      </c>
      <c r="O375" s="4">
        <f>IF($A375="","",J375&amp;"|"&amp;K375)</f>
        <v/>
      </c>
      <c r="P375" s="63">
        <f>IF($A375="","",IF(COUNTIFS(예산_원본!$T$5:$T$3004,O375,예산_원본!$B$5:$B$3004,설정!$C$8,예산_원본!$U$5:$U$3004,L375)&gt;0,"Y","N"))</f>
        <v/>
      </c>
      <c r="Q375" s="63">
        <f>IF($A375="","",IF(COUNTIF(집계!$E$7:$E$506,O375)&gt;0,"Y","N"))</f>
        <v/>
      </c>
    </row>
    <row r="376">
      <c r="A376" s="60" t="n">
        <v>2025</v>
      </c>
      <c r="B376" s="60" t="n">
        <v>5</v>
      </c>
      <c r="C376" s="60" t="inlineStr">
        <is>
          <t>1000</t>
        </is>
      </c>
      <c r="D376" s="60" t="n">
        <v>1602</v>
      </c>
      <c r="E376" s="60" t="inlineStr">
        <is>
          <t>영업지원-지역본부</t>
        </is>
      </c>
      <c r="F376" s="60" t="n">
        <v>62501000</v>
      </c>
      <c r="G376" s="60" t="inlineStr">
        <is>
          <t>회의비</t>
        </is>
      </c>
      <c r="H376" s="61" t="n">
        <v>706220</v>
      </c>
      <c r="J376" s="63">
        <f>IF($A376="","",IFERROR(INDEX(부서매핑!$C$5:$C$504,MATCH($D376&amp;"",부서매핑!$A$5:$A$504,0)),"미매핑"))</f>
        <v/>
      </c>
      <c r="K376" s="63">
        <f>IF($A376="","",IFERROR(INDEX(계정매핑!$C$5:$C$504,MATCH($F376&amp;"",계정매핑!$A$5:$A$504,0)),"미매핑"))</f>
        <v/>
      </c>
      <c r="L376" s="4">
        <f>IF($A376="","",VALUE($A376&amp;""))</f>
        <v/>
      </c>
      <c r="M376" s="4">
        <f>IF($A376="","",VALUE($B376&amp;""))</f>
        <v/>
      </c>
      <c r="N376" s="64">
        <f>IF($A376="","",$H376*설정!$C$15)</f>
        <v/>
      </c>
      <c r="O376" s="4">
        <f>IF($A376="","",J376&amp;"|"&amp;K376)</f>
        <v/>
      </c>
      <c r="P376" s="63">
        <f>IF($A376="","",IF(COUNTIFS(예산_원본!$T$5:$T$3004,O376,예산_원본!$B$5:$B$3004,설정!$C$8,예산_원본!$U$5:$U$3004,L376)&gt;0,"Y","N"))</f>
        <v/>
      </c>
      <c r="Q376" s="63">
        <f>IF($A376="","",IF(COUNTIF(집계!$E$7:$E$506,O376)&gt;0,"Y","N"))</f>
        <v/>
      </c>
    </row>
    <row r="377">
      <c r="A377" s="60" t="n">
        <v>2025</v>
      </c>
      <c r="B377" s="60" t="n">
        <v>5</v>
      </c>
      <c r="C377" s="60" t="inlineStr">
        <is>
          <t>1000</t>
        </is>
      </c>
      <c r="D377" s="60" t="n">
        <v>1602</v>
      </c>
      <c r="E377" s="60" t="inlineStr">
        <is>
          <t>영업지원-지역본부</t>
        </is>
      </c>
      <c r="F377" s="60" t="n">
        <v>62601000</v>
      </c>
      <c r="G377" s="60" t="inlineStr">
        <is>
          <t>업무추진비</t>
        </is>
      </c>
      <c r="H377" s="61" t="n">
        <v>1740060</v>
      </c>
      <c r="J377" s="63">
        <f>IF($A377="","",IFERROR(INDEX(부서매핑!$C$5:$C$504,MATCH($D377&amp;"",부서매핑!$A$5:$A$504,0)),"미매핑"))</f>
        <v/>
      </c>
      <c r="K377" s="63">
        <f>IF($A377="","",IFERROR(INDEX(계정매핑!$C$5:$C$504,MATCH($F377&amp;"",계정매핑!$A$5:$A$504,0)),"미매핑"))</f>
        <v/>
      </c>
      <c r="L377" s="4">
        <f>IF($A377="","",VALUE($A377&amp;""))</f>
        <v/>
      </c>
      <c r="M377" s="4">
        <f>IF($A377="","",VALUE($B377&amp;""))</f>
        <v/>
      </c>
      <c r="N377" s="64">
        <f>IF($A377="","",$H377*설정!$C$15)</f>
        <v/>
      </c>
      <c r="O377" s="4">
        <f>IF($A377="","",J377&amp;"|"&amp;K377)</f>
        <v/>
      </c>
      <c r="P377" s="63">
        <f>IF($A377="","",IF(COUNTIFS(예산_원본!$T$5:$T$3004,O377,예산_원본!$B$5:$B$3004,설정!$C$8,예산_원본!$U$5:$U$3004,L377)&gt;0,"Y","N"))</f>
        <v/>
      </c>
      <c r="Q377" s="63">
        <f>IF($A377="","",IF(COUNTIF(집계!$E$7:$E$506,O377)&gt;0,"Y","N"))</f>
        <v/>
      </c>
    </row>
    <row r="378">
      <c r="A378" s="60" t="n">
        <v>2025</v>
      </c>
      <c r="B378" s="60" t="n">
        <v>5</v>
      </c>
      <c r="C378" s="60" t="inlineStr">
        <is>
          <t>1000</t>
        </is>
      </c>
      <c r="D378" s="60" t="n">
        <v>1602</v>
      </c>
      <c r="E378" s="60" t="inlineStr">
        <is>
          <t>영업지원-지역본부</t>
        </is>
      </c>
      <c r="F378" s="60" t="n">
        <v>63101000</v>
      </c>
      <c r="G378" s="60" t="inlineStr">
        <is>
          <t>임차료</t>
        </is>
      </c>
      <c r="H378" s="61" t="n">
        <v>7703170</v>
      </c>
      <c r="J378" s="63">
        <f>IF($A378="","",IFERROR(INDEX(부서매핑!$C$5:$C$504,MATCH($D378&amp;"",부서매핑!$A$5:$A$504,0)),"미매핑"))</f>
        <v/>
      </c>
      <c r="K378" s="63">
        <f>IF($A378="","",IFERROR(INDEX(계정매핑!$C$5:$C$504,MATCH($F378&amp;"",계정매핑!$A$5:$A$504,0)),"미매핑"))</f>
        <v/>
      </c>
      <c r="L378" s="4">
        <f>IF($A378="","",VALUE($A378&amp;""))</f>
        <v/>
      </c>
      <c r="M378" s="4">
        <f>IF($A378="","",VALUE($B378&amp;""))</f>
        <v/>
      </c>
      <c r="N378" s="64">
        <f>IF($A378="","",$H378*설정!$C$15)</f>
        <v/>
      </c>
      <c r="O378" s="4">
        <f>IF($A378="","",J378&amp;"|"&amp;K378)</f>
        <v/>
      </c>
      <c r="P378" s="63">
        <f>IF($A378="","",IF(COUNTIFS(예산_원본!$T$5:$T$3004,O378,예산_원본!$B$5:$B$3004,설정!$C$8,예산_원본!$U$5:$U$3004,L378)&gt;0,"Y","N"))</f>
        <v/>
      </c>
      <c r="Q378" s="63">
        <f>IF($A378="","",IF(COUNTIF(집계!$E$7:$E$506,O378)&gt;0,"Y","N"))</f>
        <v/>
      </c>
    </row>
    <row r="379">
      <c r="A379" s="60" t="n">
        <v>2025</v>
      </c>
      <c r="B379" s="60" t="n">
        <v>5</v>
      </c>
      <c r="C379" s="60" t="inlineStr">
        <is>
          <t>1000</t>
        </is>
      </c>
      <c r="D379" s="60" t="n">
        <v>1602</v>
      </c>
      <c r="E379" s="60" t="inlineStr">
        <is>
          <t>영업지원-지역본부</t>
        </is>
      </c>
      <c r="F379" s="60" t="n">
        <v>63201000</v>
      </c>
      <c r="G379" s="60" t="inlineStr">
        <is>
          <t>차량유지비</t>
        </is>
      </c>
      <c r="H379" s="61" t="n">
        <v>2710770</v>
      </c>
      <c r="J379" s="63">
        <f>IF($A379="","",IFERROR(INDEX(부서매핑!$C$5:$C$504,MATCH($D379&amp;"",부서매핑!$A$5:$A$504,0)),"미매핑"))</f>
        <v/>
      </c>
      <c r="K379" s="63">
        <f>IF($A379="","",IFERROR(INDEX(계정매핑!$C$5:$C$504,MATCH($F379&amp;"",계정매핑!$A$5:$A$504,0)),"미매핑"))</f>
        <v/>
      </c>
      <c r="L379" s="4">
        <f>IF($A379="","",VALUE($A379&amp;""))</f>
        <v/>
      </c>
      <c r="M379" s="4">
        <f>IF($A379="","",VALUE($B379&amp;""))</f>
        <v/>
      </c>
      <c r="N379" s="64">
        <f>IF($A379="","",$H379*설정!$C$15)</f>
        <v/>
      </c>
      <c r="O379" s="4">
        <f>IF($A379="","",J379&amp;"|"&amp;K379)</f>
        <v/>
      </c>
      <c r="P379" s="63">
        <f>IF($A379="","",IF(COUNTIFS(예산_원본!$T$5:$T$3004,O379,예산_원본!$B$5:$B$3004,설정!$C$8,예산_원본!$U$5:$U$3004,L379)&gt;0,"Y","N"))</f>
        <v/>
      </c>
      <c r="Q379" s="63">
        <f>IF($A379="","",IF(COUNTIF(집계!$E$7:$E$506,O379)&gt;0,"Y","N"))</f>
        <v/>
      </c>
    </row>
    <row r="380">
      <c r="A380" s="60" t="n">
        <v>2025</v>
      </c>
      <c r="B380" s="60" t="n">
        <v>5</v>
      </c>
      <c r="C380" s="60" t="inlineStr">
        <is>
          <t>1000</t>
        </is>
      </c>
      <c r="D380" s="60" t="n">
        <v>1701</v>
      </c>
      <c r="E380" s="60" t="inlineStr">
        <is>
          <t>IT운영</t>
        </is>
      </c>
      <c r="F380" s="60" t="n">
        <v>62101000</v>
      </c>
      <c r="G380" s="60" t="inlineStr">
        <is>
          <t>여비교통비-국내</t>
        </is>
      </c>
      <c r="H380" s="61" t="n">
        <v>1029240</v>
      </c>
      <c r="J380" s="63">
        <f>IF($A380="","",IFERROR(INDEX(부서매핑!$C$5:$C$504,MATCH($D380&amp;"",부서매핑!$A$5:$A$504,0)),"미매핑"))</f>
        <v/>
      </c>
      <c r="K380" s="63">
        <f>IF($A380="","",IFERROR(INDEX(계정매핑!$C$5:$C$504,MATCH($F380&amp;"",계정매핑!$A$5:$A$504,0)),"미매핑"))</f>
        <v/>
      </c>
      <c r="L380" s="4">
        <f>IF($A380="","",VALUE($A380&amp;""))</f>
        <v/>
      </c>
      <c r="M380" s="4">
        <f>IF($A380="","",VALUE($B380&amp;""))</f>
        <v/>
      </c>
      <c r="N380" s="64">
        <f>IF($A380="","",$H380*설정!$C$15)</f>
        <v/>
      </c>
      <c r="O380" s="4">
        <f>IF($A380="","",J380&amp;"|"&amp;K380)</f>
        <v/>
      </c>
      <c r="P380" s="63">
        <f>IF($A380="","",IF(COUNTIFS(예산_원본!$T$5:$T$3004,O380,예산_원본!$B$5:$B$3004,설정!$C$8,예산_원본!$U$5:$U$3004,L380)&gt;0,"Y","N"))</f>
        <v/>
      </c>
      <c r="Q380" s="63">
        <f>IF($A380="","",IF(COUNTIF(집계!$E$7:$E$506,O380)&gt;0,"Y","N"))</f>
        <v/>
      </c>
    </row>
    <row r="381">
      <c r="A381" s="60" t="n">
        <v>2025</v>
      </c>
      <c r="B381" s="60" t="n">
        <v>5</v>
      </c>
      <c r="C381" s="60" t="inlineStr">
        <is>
          <t>1000</t>
        </is>
      </c>
      <c r="D381" s="60" t="n">
        <v>1701</v>
      </c>
      <c r="E381" s="60" t="inlineStr">
        <is>
          <t>IT운영</t>
        </is>
      </c>
      <c r="F381" s="60" t="n">
        <v>62102000</v>
      </c>
      <c r="G381" s="60" t="inlineStr">
        <is>
          <t>여비교통비-해외</t>
        </is>
      </c>
      <c r="H381" s="61" t="n">
        <v>171310</v>
      </c>
      <c r="J381" s="63">
        <f>IF($A381="","",IFERROR(INDEX(부서매핑!$C$5:$C$504,MATCH($D381&amp;"",부서매핑!$A$5:$A$504,0)),"미매핑"))</f>
        <v/>
      </c>
      <c r="K381" s="63">
        <f>IF($A381="","",IFERROR(INDEX(계정매핑!$C$5:$C$504,MATCH($F381&amp;"",계정매핑!$A$5:$A$504,0)),"미매핑"))</f>
        <v/>
      </c>
      <c r="L381" s="4">
        <f>IF($A381="","",VALUE($A381&amp;""))</f>
        <v/>
      </c>
      <c r="M381" s="4">
        <f>IF($A381="","",VALUE($B381&amp;""))</f>
        <v/>
      </c>
      <c r="N381" s="64">
        <f>IF($A381="","",$H381*설정!$C$15)</f>
        <v/>
      </c>
      <c r="O381" s="4">
        <f>IF($A381="","",J381&amp;"|"&amp;K381)</f>
        <v/>
      </c>
      <c r="P381" s="63">
        <f>IF($A381="","",IF(COUNTIFS(예산_원본!$T$5:$T$3004,O381,예산_원본!$B$5:$B$3004,설정!$C$8,예산_원본!$U$5:$U$3004,L381)&gt;0,"Y","N"))</f>
        <v/>
      </c>
      <c r="Q381" s="63">
        <f>IF($A381="","",IF(COUNTIF(집계!$E$7:$E$506,O381)&gt;0,"Y","N"))</f>
        <v/>
      </c>
    </row>
    <row r="382">
      <c r="A382" s="60" t="n">
        <v>2025</v>
      </c>
      <c r="B382" s="60" t="n">
        <v>5</v>
      </c>
      <c r="C382" s="60" t="inlineStr">
        <is>
          <t>1000</t>
        </is>
      </c>
      <c r="D382" s="60" t="n">
        <v>1701</v>
      </c>
      <c r="E382" s="60" t="inlineStr">
        <is>
          <t>IT운영</t>
        </is>
      </c>
      <c r="F382" s="60" t="n">
        <v>62201000</v>
      </c>
      <c r="G382" s="60" t="inlineStr">
        <is>
          <t>통신비</t>
        </is>
      </c>
      <c r="H382" s="61" t="n">
        <v>14243100</v>
      </c>
      <c r="J382" s="63">
        <f>IF($A382="","",IFERROR(INDEX(부서매핑!$C$5:$C$504,MATCH($D382&amp;"",부서매핑!$A$5:$A$504,0)),"미매핑"))</f>
        <v/>
      </c>
      <c r="K382" s="63">
        <f>IF($A382="","",IFERROR(INDEX(계정매핑!$C$5:$C$504,MATCH($F382&amp;"",계정매핑!$A$5:$A$504,0)),"미매핑"))</f>
        <v/>
      </c>
      <c r="L382" s="4">
        <f>IF($A382="","",VALUE($A382&amp;""))</f>
        <v/>
      </c>
      <c r="M382" s="4">
        <f>IF($A382="","",VALUE($B382&amp;""))</f>
        <v/>
      </c>
      <c r="N382" s="64">
        <f>IF($A382="","",$H382*설정!$C$15)</f>
        <v/>
      </c>
      <c r="O382" s="4">
        <f>IF($A382="","",J382&amp;"|"&amp;K382)</f>
        <v/>
      </c>
      <c r="P382" s="63">
        <f>IF($A382="","",IF(COUNTIFS(예산_원본!$T$5:$T$3004,O382,예산_원본!$B$5:$B$3004,설정!$C$8,예산_원본!$U$5:$U$3004,L382)&gt;0,"Y","N"))</f>
        <v/>
      </c>
      <c r="Q382" s="63">
        <f>IF($A382="","",IF(COUNTIF(집계!$E$7:$E$506,O382)&gt;0,"Y","N"))</f>
        <v/>
      </c>
    </row>
    <row r="383">
      <c r="A383" s="60" t="n">
        <v>2025</v>
      </c>
      <c r="B383" s="60" t="n">
        <v>5</v>
      </c>
      <c r="C383" s="60" t="inlineStr">
        <is>
          <t>1000</t>
        </is>
      </c>
      <c r="D383" s="60" t="n">
        <v>1701</v>
      </c>
      <c r="E383" s="60" t="inlineStr">
        <is>
          <t>IT운영</t>
        </is>
      </c>
      <c r="F383" s="60" t="n">
        <v>62301000</v>
      </c>
      <c r="G383" s="60" t="inlineStr">
        <is>
          <t>소모품비</t>
        </is>
      </c>
      <c r="H383" s="61" t="n">
        <v>873760</v>
      </c>
      <c r="J383" s="63">
        <f>IF($A383="","",IFERROR(INDEX(부서매핑!$C$5:$C$504,MATCH($D383&amp;"",부서매핑!$A$5:$A$504,0)),"미매핑"))</f>
        <v/>
      </c>
      <c r="K383" s="63">
        <f>IF($A383="","",IFERROR(INDEX(계정매핑!$C$5:$C$504,MATCH($F383&amp;"",계정매핑!$A$5:$A$504,0)),"미매핑"))</f>
        <v/>
      </c>
      <c r="L383" s="4">
        <f>IF($A383="","",VALUE($A383&amp;""))</f>
        <v/>
      </c>
      <c r="M383" s="4">
        <f>IF($A383="","",VALUE($B383&amp;""))</f>
        <v/>
      </c>
      <c r="N383" s="64">
        <f>IF($A383="","",$H383*설정!$C$15)</f>
        <v/>
      </c>
      <c r="O383" s="4">
        <f>IF($A383="","",J383&amp;"|"&amp;K383)</f>
        <v/>
      </c>
      <c r="P383" s="63">
        <f>IF($A383="","",IF(COUNTIFS(예산_원본!$T$5:$T$3004,O383,예산_원본!$B$5:$B$3004,설정!$C$8,예산_원본!$U$5:$U$3004,L383)&gt;0,"Y","N"))</f>
        <v/>
      </c>
      <c r="Q383" s="63">
        <f>IF($A383="","",IF(COUNTIF(집계!$E$7:$E$506,O383)&gt;0,"Y","N"))</f>
        <v/>
      </c>
    </row>
    <row r="384">
      <c r="A384" s="60" t="n">
        <v>2025</v>
      </c>
      <c r="B384" s="60" t="n">
        <v>5</v>
      </c>
      <c r="C384" s="60" t="inlineStr">
        <is>
          <t>1000</t>
        </is>
      </c>
      <c r="D384" s="60" t="n">
        <v>1701</v>
      </c>
      <c r="E384" s="60" t="inlineStr">
        <is>
          <t>IT운영</t>
        </is>
      </c>
      <c r="F384" s="60" t="n">
        <v>62501000</v>
      </c>
      <c r="G384" s="60" t="inlineStr">
        <is>
          <t>회의비</t>
        </is>
      </c>
      <c r="H384" s="61" t="n">
        <v>343980</v>
      </c>
      <c r="J384" s="63">
        <f>IF($A384="","",IFERROR(INDEX(부서매핑!$C$5:$C$504,MATCH($D384&amp;"",부서매핑!$A$5:$A$504,0)),"미매핑"))</f>
        <v/>
      </c>
      <c r="K384" s="63">
        <f>IF($A384="","",IFERROR(INDEX(계정매핑!$C$5:$C$504,MATCH($F384&amp;"",계정매핑!$A$5:$A$504,0)),"미매핑"))</f>
        <v/>
      </c>
      <c r="L384" s="4">
        <f>IF($A384="","",VALUE($A384&amp;""))</f>
        <v/>
      </c>
      <c r="M384" s="4">
        <f>IF($A384="","",VALUE($B384&amp;""))</f>
        <v/>
      </c>
      <c r="N384" s="64">
        <f>IF($A384="","",$H384*설정!$C$15)</f>
        <v/>
      </c>
      <c r="O384" s="4">
        <f>IF($A384="","",J384&amp;"|"&amp;K384)</f>
        <v/>
      </c>
      <c r="P384" s="63">
        <f>IF($A384="","",IF(COUNTIFS(예산_원본!$T$5:$T$3004,O384,예산_원본!$B$5:$B$3004,설정!$C$8,예산_원본!$U$5:$U$3004,L384)&gt;0,"Y","N"))</f>
        <v/>
      </c>
      <c r="Q384" s="63">
        <f>IF($A384="","",IF(COUNTIF(집계!$E$7:$E$506,O384)&gt;0,"Y","N"))</f>
        <v/>
      </c>
    </row>
    <row r="385">
      <c r="A385" s="60" t="n">
        <v>2025</v>
      </c>
      <c r="B385" s="60" t="n">
        <v>5</v>
      </c>
      <c r="C385" s="60" t="inlineStr">
        <is>
          <t>1000</t>
        </is>
      </c>
      <c r="D385" s="60" t="n">
        <v>1701</v>
      </c>
      <c r="E385" s="60" t="inlineStr">
        <is>
          <t>IT운영</t>
        </is>
      </c>
      <c r="F385" s="60" t="n">
        <v>63001000</v>
      </c>
      <c r="G385" s="60" t="inlineStr">
        <is>
          <t>전산운영비-SW유지보수</t>
        </is>
      </c>
      <c r="H385" s="61" t="n">
        <v>101175940</v>
      </c>
      <c r="J385" s="63">
        <f>IF($A385="","",IFERROR(INDEX(부서매핑!$C$5:$C$504,MATCH($D385&amp;"",부서매핑!$A$5:$A$504,0)),"미매핑"))</f>
        <v/>
      </c>
      <c r="K385" s="63">
        <f>IF($A385="","",IFERROR(INDEX(계정매핑!$C$5:$C$504,MATCH($F385&amp;"",계정매핑!$A$5:$A$504,0)),"미매핑"))</f>
        <v/>
      </c>
      <c r="L385" s="4">
        <f>IF($A385="","",VALUE($A385&amp;""))</f>
        <v/>
      </c>
      <c r="M385" s="4">
        <f>IF($A385="","",VALUE($B385&amp;""))</f>
        <v/>
      </c>
      <c r="N385" s="64">
        <f>IF($A385="","",$H385*설정!$C$15)</f>
        <v/>
      </c>
      <c r="O385" s="4">
        <f>IF($A385="","",J385&amp;"|"&amp;K385)</f>
        <v/>
      </c>
      <c r="P385" s="63">
        <f>IF($A385="","",IF(COUNTIFS(예산_원본!$T$5:$T$3004,O385,예산_원본!$B$5:$B$3004,설정!$C$8,예산_원본!$U$5:$U$3004,L385)&gt;0,"Y","N"))</f>
        <v/>
      </c>
      <c r="Q385" s="63">
        <f>IF($A385="","",IF(COUNTIF(집계!$E$7:$E$506,O385)&gt;0,"Y","N"))</f>
        <v/>
      </c>
    </row>
    <row r="386">
      <c r="A386" s="60" t="n">
        <v>2025</v>
      </c>
      <c r="B386" s="60" t="n">
        <v>5</v>
      </c>
      <c r="C386" s="60" t="inlineStr">
        <is>
          <t>1000</t>
        </is>
      </c>
      <c r="D386" s="60" t="n">
        <v>1701</v>
      </c>
      <c r="E386" s="60" t="inlineStr">
        <is>
          <t>IT운영</t>
        </is>
      </c>
      <c r="F386" s="60" t="n">
        <v>63002000</v>
      </c>
      <c r="G386" s="60" t="inlineStr">
        <is>
          <t>전산운영비-클라우드</t>
        </is>
      </c>
      <c r="H386" s="61" t="n">
        <v>79143180</v>
      </c>
      <c r="J386" s="63">
        <f>IF($A386="","",IFERROR(INDEX(부서매핑!$C$5:$C$504,MATCH($D386&amp;"",부서매핑!$A$5:$A$504,0)),"미매핑"))</f>
        <v/>
      </c>
      <c r="K386" s="63">
        <f>IF($A386="","",IFERROR(INDEX(계정매핑!$C$5:$C$504,MATCH($F386&amp;"",계정매핑!$A$5:$A$504,0)),"미매핑"))</f>
        <v/>
      </c>
      <c r="L386" s="4">
        <f>IF($A386="","",VALUE($A386&amp;""))</f>
        <v/>
      </c>
      <c r="M386" s="4">
        <f>IF($A386="","",VALUE($B386&amp;""))</f>
        <v/>
      </c>
      <c r="N386" s="64">
        <f>IF($A386="","",$H386*설정!$C$15)</f>
        <v/>
      </c>
      <c r="O386" s="4">
        <f>IF($A386="","",J386&amp;"|"&amp;K386)</f>
        <v/>
      </c>
      <c r="P386" s="63">
        <f>IF($A386="","",IF(COUNTIFS(예산_원본!$T$5:$T$3004,O386,예산_원본!$B$5:$B$3004,설정!$C$8,예산_원본!$U$5:$U$3004,L386)&gt;0,"Y","N"))</f>
        <v/>
      </c>
      <c r="Q386" s="63">
        <f>IF($A386="","",IF(COUNTIF(집계!$E$7:$E$506,O386)&gt;0,"Y","N"))</f>
        <v/>
      </c>
    </row>
    <row r="387">
      <c r="A387" s="60" t="n">
        <v>2025</v>
      </c>
      <c r="B387" s="60" t="n">
        <v>5</v>
      </c>
      <c r="C387" s="60" t="inlineStr">
        <is>
          <t>1000</t>
        </is>
      </c>
      <c r="D387" s="60" t="n">
        <v>1801</v>
      </c>
      <c r="E387" s="60" t="inlineStr">
        <is>
          <t>고객서비스</t>
        </is>
      </c>
      <c r="F387" s="60" t="n">
        <v>62101000</v>
      </c>
      <c r="G387" s="60" t="inlineStr">
        <is>
          <t>여비교통비-국내</t>
        </is>
      </c>
      <c r="H387" s="61" t="n">
        <v>597090</v>
      </c>
      <c r="J387" s="63">
        <f>IF($A387="","",IFERROR(INDEX(부서매핑!$C$5:$C$504,MATCH($D387&amp;"",부서매핑!$A$5:$A$504,0)),"미매핑"))</f>
        <v/>
      </c>
      <c r="K387" s="63">
        <f>IF($A387="","",IFERROR(INDEX(계정매핑!$C$5:$C$504,MATCH($F387&amp;"",계정매핑!$A$5:$A$504,0)),"미매핑"))</f>
        <v/>
      </c>
      <c r="L387" s="4">
        <f>IF($A387="","",VALUE($A387&amp;""))</f>
        <v/>
      </c>
      <c r="M387" s="4">
        <f>IF($A387="","",VALUE($B387&amp;""))</f>
        <v/>
      </c>
      <c r="N387" s="64">
        <f>IF($A387="","",$H387*설정!$C$15)</f>
        <v/>
      </c>
      <c r="O387" s="4">
        <f>IF($A387="","",J387&amp;"|"&amp;K387)</f>
        <v/>
      </c>
      <c r="P387" s="63">
        <f>IF($A387="","",IF(COUNTIFS(예산_원본!$T$5:$T$3004,O387,예산_원본!$B$5:$B$3004,설정!$C$8,예산_원본!$U$5:$U$3004,L387)&gt;0,"Y","N"))</f>
        <v/>
      </c>
      <c r="Q387" s="63">
        <f>IF($A387="","",IF(COUNTIF(집계!$E$7:$E$506,O387)&gt;0,"Y","N"))</f>
        <v/>
      </c>
    </row>
    <row r="388">
      <c r="A388" s="60" t="n">
        <v>2025</v>
      </c>
      <c r="B388" s="60" t="n">
        <v>5</v>
      </c>
      <c r="C388" s="60" t="inlineStr">
        <is>
          <t>1000</t>
        </is>
      </c>
      <c r="D388" s="60" t="n">
        <v>1801</v>
      </c>
      <c r="E388" s="60" t="inlineStr">
        <is>
          <t>고객서비스</t>
        </is>
      </c>
      <c r="F388" s="60" t="n">
        <v>62102000</v>
      </c>
      <c r="G388" s="60" t="inlineStr">
        <is>
          <t>여비교통비-해외</t>
        </is>
      </c>
      <c r="H388" s="61" t="n">
        <v>128290</v>
      </c>
      <c r="J388" s="63">
        <f>IF($A388="","",IFERROR(INDEX(부서매핑!$C$5:$C$504,MATCH($D388&amp;"",부서매핑!$A$5:$A$504,0)),"미매핑"))</f>
        <v/>
      </c>
      <c r="K388" s="63">
        <f>IF($A388="","",IFERROR(INDEX(계정매핑!$C$5:$C$504,MATCH($F388&amp;"",계정매핑!$A$5:$A$504,0)),"미매핑"))</f>
        <v/>
      </c>
      <c r="L388" s="4">
        <f>IF($A388="","",VALUE($A388&amp;""))</f>
        <v/>
      </c>
      <c r="M388" s="4">
        <f>IF($A388="","",VALUE($B388&amp;""))</f>
        <v/>
      </c>
      <c r="N388" s="64">
        <f>IF($A388="","",$H388*설정!$C$15)</f>
        <v/>
      </c>
      <c r="O388" s="4">
        <f>IF($A388="","",J388&amp;"|"&amp;K388)</f>
        <v/>
      </c>
      <c r="P388" s="63">
        <f>IF($A388="","",IF(COUNTIFS(예산_원본!$T$5:$T$3004,O388,예산_원본!$B$5:$B$3004,설정!$C$8,예산_원본!$U$5:$U$3004,L388)&gt;0,"Y","N"))</f>
        <v/>
      </c>
      <c r="Q388" s="63">
        <f>IF($A388="","",IF(COUNTIF(집계!$E$7:$E$506,O388)&gt;0,"Y","N"))</f>
        <v/>
      </c>
    </row>
    <row r="389">
      <c r="A389" s="60" t="n">
        <v>2025</v>
      </c>
      <c r="B389" s="60" t="n">
        <v>5</v>
      </c>
      <c r="C389" s="60" t="inlineStr">
        <is>
          <t>1000</t>
        </is>
      </c>
      <c r="D389" s="60" t="n">
        <v>1801</v>
      </c>
      <c r="E389" s="60" t="inlineStr">
        <is>
          <t>고객서비스</t>
        </is>
      </c>
      <c r="F389" s="60" t="n">
        <v>62201000</v>
      </c>
      <c r="G389" s="60" t="inlineStr">
        <is>
          <t>통신비</t>
        </is>
      </c>
      <c r="H389" s="61" t="n">
        <v>14878720</v>
      </c>
      <c r="J389" s="63">
        <f>IF($A389="","",IFERROR(INDEX(부서매핑!$C$5:$C$504,MATCH($D389&amp;"",부서매핑!$A$5:$A$504,0)),"미매핑"))</f>
        <v/>
      </c>
      <c r="K389" s="63">
        <f>IF($A389="","",IFERROR(INDEX(계정매핑!$C$5:$C$504,MATCH($F389&amp;"",계정매핑!$A$5:$A$504,0)),"미매핑"))</f>
        <v/>
      </c>
      <c r="L389" s="4">
        <f>IF($A389="","",VALUE($A389&amp;""))</f>
        <v/>
      </c>
      <c r="M389" s="4">
        <f>IF($A389="","",VALUE($B389&amp;""))</f>
        <v/>
      </c>
      <c r="N389" s="64">
        <f>IF($A389="","",$H389*설정!$C$15)</f>
        <v/>
      </c>
      <c r="O389" s="4">
        <f>IF($A389="","",J389&amp;"|"&amp;K389)</f>
        <v/>
      </c>
      <c r="P389" s="63">
        <f>IF($A389="","",IF(COUNTIFS(예산_원본!$T$5:$T$3004,O389,예산_원본!$B$5:$B$3004,설정!$C$8,예산_원본!$U$5:$U$3004,L389)&gt;0,"Y","N"))</f>
        <v/>
      </c>
      <c r="Q389" s="63">
        <f>IF($A389="","",IF(COUNTIF(집계!$E$7:$E$506,O389)&gt;0,"Y","N"))</f>
        <v/>
      </c>
    </row>
    <row r="390">
      <c r="A390" s="60" t="n">
        <v>2025</v>
      </c>
      <c r="B390" s="60" t="n">
        <v>5</v>
      </c>
      <c r="C390" s="60" t="inlineStr">
        <is>
          <t>1000</t>
        </is>
      </c>
      <c r="D390" s="60" t="n">
        <v>1801</v>
      </c>
      <c r="E390" s="60" t="inlineStr">
        <is>
          <t>고객서비스</t>
        </is>
      </c>
      <c r="F390" s="60" t="n">
        <v>62301000</v>
      </c>
      <c r="G390" s="60" t="inlineStr">
        <is>
          <t>소모품비</t>
        </is>
      </c>
      <c r="H390" s="61" t="n">
        <v>1441740</v>
      </c>
      <c r="J390" s="63">
        <f>IF($A390="","",IFERROR(INDEX(부서매핑!$C$5:$C$504,MATCH($D390&amp;"",부서매핑!$A$5:$A$504,0)),"미매핑"))</f>
        <v/>
      </c>
      <c r="K390" s="63">
        <f>IF($A390="","",IFERROR(INDEX(계정매핑!$C$5:$C$504,MATCH($F390&amp;"",계정매핑!$A$5:$A$504,0)),"미매핑"))</f>
        <v/>
      </c>
      <c r="L390" s="4">
        <f>IF($A390="","",VALUE($A390&amp;""))</f>
        <v/>
      </c>
      <c r="M390" s="4">
        <f>IF($A390="","",VALUE($B390&amp;""))</f>
        <v/>
      </c>
      <c r="N390" s="64">
        <f>IF($A390="","",$H390*설정!$C$15)</f>
        <v/>
      </c>
      <c r="O390" s="4">
        <f>IF($A390="","",J390&amp;"|"&amp;K390)</f>
        <v/>
      </c>
      <c r="P390" s="63">
        <f>IF($A390="","",IF(COUNTIFS(예산_원본!$T$5:$T$3004,O390,예산_원본!$B$5:$B$3004,설정!$C$8,예산_원본!$U$5:$U$3004,L390)&gt;0,"Y","N"))</f>
        <v/>
      </c>
      <c r="Q390" s="63">
        <f>IF($A390="","",IF(COUNTIF(집계!$E$7:$E$506,O390)&gt;0,"Y","N"))</f>
        <v/>
      </c>
    </row>
    <row r="391">
      <c r="A391" s="60" t="n">
        <v>2025</v>
      </c>
      <c r="B391" s="60" t="n">
        <v>5</v>
      </c>
      <c r="C391" s="60" t="inlineStr">
        <is>
          <t>1000</t>
        </is>
      </c>
      <c r="D391" s="60" t="n">
        <v>1801</v>
      </c>
      <c r="E391" s="60" t="inlineStr">
        <is>
          <t>고객서비스</t>
        </is>
      </c>
      <c r="F391" s="60" t="n">
        <v>62401000</v>
      </c>
      <c r="G391" s="60" t="inlineStr">
        <is>
          <t>도서인쇄비</t>
        </is>
      </c>
      <c r="H391" s="61" t="n">
        <v>7343610</v>
      </c>
      <c r="J391" s="63">
        <f>IF($A391="","",IFERROR(INDEX(부서매핑!$C$5:$C$504,MATCH($D391&amp;"",부서매핑!$A$5:$A$504,0)),"미매핑"))</f>
        <v/>
      </c>
      <c r="K391" s="63">
        <f>IF($A391="","",IFERROR(INDEX(계정매핑!$C$5:$C$504,MATCH($F391&amp;"",계정매핑!$A$5:$A$504,0)),"미매핑"))</f>
        <v/>
      </c>
      <c r="L391" s="4">
        <f>IF($A391="","",VALUE($A391&amp;""))</f>
        <v/>
      </c>
      <c r="M391" s="4">
        <f>IF($A391="","",VALUE($B391&amp;""))</f>
        <v/>
      </c>
      <c r="N391" s="64">
        <f>IF($A391="","",$H391*설정!$C$15)</f>
        <v/>
      </c>
      <c r="O391" s="4">
        <f>IF($A391="","",J391&amp;"|"&amp;K391)</f>
        <v/>
      </c>
      <c r="P391" s="63">
        <f>IF($A391="","",IF(COUNTIFS(예산_원본!$T$5:$T$3004,O391,예산_원본!$B$5:$B$3004,설정!$C$8,예산_원본!$U$5:$U$3004,L391)&gt;0,"Y","N"))</f>
        <v/>
      </c>
      <c r="Q391" s="63">
        <f>IF($A391="","",IF(COUNTIF(집계!$E$7:$E$506,O391)&gt;0,"Y","N"))</f>
        <v/>
      </c>
    </row>
    <row r="392">
      <c r="A392" s="60" t="n">
        <v>2025</v>
      </c>
      <c r="B392" s="60" t="n">
        <v>5</v>
      </c>
      <c r="C392" s="60" t="inlineStr">
        <is>
          <t>1000</t>
        </is>
      </c>
      <c r="D392" s="60" t="n">
        <v>1801</v>
      </c>
      <c r="E392" s="60" t="inlineStr">
        <is>
          <t>고객서비스</t>
        </is>
      </c>
      <c r="F392" s="60" t="n">
        <v>62501000</v>
      </c>
      <c r="G392" s="60" t="inlineStr">
        <is>
          <t>회의비</t>
        </is>
      </c>
      <c r="H392" s="61" t="n">
        <v>440640</v>
      </c>
      <c r="J392" s="63">
        <f>IF($A392="","",IFERROR(INDEX(부서매핑!$C$5:$C$504,MATCH($D392&amp;"",부서매핑!$A$5:$A$504,0)),"미매핑"))</f>
        <v/>
      </c>
      <c r="K392" s="63">
        <f>IF($A392="","",IFERROR(INDEX(계정매핑!$C$5:$C$504,MATCH($F392&amp;"",계정매핑!$A$5:$A$504,0)),"미매핑"))</f>
        <v/>
      </c>
      <c r="L392" s="4">
        <f>IF($A392="","",VALUE($A392&amp;""))</f>
        <v/>
      </c>
      <c r="M392" s="4">
        <f>IF($A392="","",VALUE($B392&amp;""))</f>
        <v/>
      </c>
      <c r="N392" s="64">
        <f>IF($A392="","",$H392*설정!$C$15)</f>
        <v/>
      </c>
      <c r="O392" s="4">
        <f>IF($A392="","",J392&amp;"|"&amp;K392)</f>
        <v/>
      </c>
      <c r="P392" s="63">
        <f>IF($A392="","",IF(COUNTIFS(예산_원본!$T$5:$T$3004,O392,예산_원본!$B$5:$B$3004,설정!$C$8,예산_원본!$U$5:$U$3004,L392)&gt;0,"Y","N"))</f>
        <v/>
      </c>
      <c r="Q392" s="63">
        <f>IF($A392="","",IF(COUNTIF(집계!$E$7:$E$506,O392)&gt;0,"Y","N"))</f>
        <v/>
      </c>
    </row>
    <row r="393">
      <c r="A393" s="60" t="n">
        <v>2025</v>
      </c>
      <c r="B393" s="60" t="n">
        <v>5</v>
      </c>
      <c r="C393" s="60" t="inlineStr">
        <is>
          <t>1000</t>
        </is>
      </c>
      <c r="D393" s="60" t="n">
        <v>1801</v>
      </c>
      <c r="E393" s="60" t="inlineStr">
        <is>
          <t>고객서비스</t>
        </is>
      </c>
      <c r="F393" s="60" t="n">
        <v>62901000</v>
      </c>
      <c r="G393" s="60" t="inlineStr">
        <is>
          <t>지급수수료-컨설팅</t>
        </is>
      </c>
      <c r="H393" s="61" t="n">
        <v>26228190</v>
      </c>
      <c r="J393" s="63">
        <f>IF($A393="","",IFERROR(INDEX(부서매핑!$C$5:$C$504,MATCH($D393&amp;"",부서매핑!$A$5:$A$504,0)),"미매핑"))</f>
        <v/>
      </c>
      <c r="K393" s="63">
        <f>IF($A393="","",IFERROR(INDEX(계정매핑!$C$5:$C$504,MATCH($F393&amp;"",계정매핑!$A$5:$A$504,0)),"미매핑"))</f>
        <v/>
      </c>
      <c r="L393" s="4">
        <f>IF($A393="","",VALUE($A393&amp;""))</f>
        <v/>
      </c>
      <c r="M393" s="4">
        <f>IF($A393="","",VALUE($B393&amp;""))</f>
        <v/>
      </c>
      <c r="N393" s="64">
        <f>IF($A393="","",$H393*설정!$C$15)</f>
        <v/>
      </c>
      <c r="O393" s="4">
        <f>IF($A393="","",J393&amp;"|"&amp;K393)</f>
        <v/>
      </c>
      <c r="P393" s="63">
        <f>IF($A393="","",IF(COUNTIFS(예산_원본!$T$5:$T$3004,O393,예산_원본!$B$5:$B$3004,설정!$C$8,예산_원본!$U$5:$U$3004,L393)&gt;0,"Y","N"))</f>
        <v/>
      </c>
      <c r="Q393" s="63">
        <f>IF($A393="","",IF(COUNTIF(집계!$E$7:$E$506,O393)&gt;0,"Y","N"))</f>
        <v/>
      </c>
    </row>
    <row r="394">
      <c r="A394" s="60" t="n">
        <v>2025</v>
      </c>
      <c r="B394" s="60" t="n">
        <v>5</v>
      </c>
      <c r="C394" s="60" t="inlineStr">
        <is>
          <t>1000</t>
        </is>
      </c>
      <c r="D394" s="60" t="n">
        <v>1801</v>
      </c>
      <c r="E394" s="60" t="inlineStr">
        <is>
          <t>고객서비스</t>
        </is>
      </c>
      <c r="F394" s="60" t="n">
        <v>62902000</v>
      </c>
      <c r="G394" s="60" t="inlineStr">
        <is>
          <t>지급수수료-기타</t>
        </is>
      </c>
      <c r="H394" s="61" t="n">
        <v>12435090</v>
      </c>
      <c r="J394" s="63">
        <f>IF($A394="","",IFERROR(INDEX(부서매핑!$C$5:$C$504,MATCH($D394&amp;"",부서매핑!$A$5:$A$504,0)),"미매핑"))</f>
        <v/>
      </c>
      <c r="K394" s="63">
        <f>IF($A394="","",IFERROR(INDEX(계정매핑!$C$5:$C$504,MATCH($F394&amp;"",계정매핑!$A$5:$A$504,0)),"미매핑"))</f>
        <v/>
      </c>
      <c r="L394" s="4">
        <f>IF($A394="","",VALUE($A394&amp;""))</f>
        <v/>
      </c>
      <c r="M394" s="4">
        <f>IF($A394="","",VALUE($B394&amp;""))</f>
        <v/>
      </c>
      <c r="N394" s="64">
        <f>IF($A394="","",$H394*설정!$C$15)</f>
        <v/>
      </c>
      <c r="O394" s="4">
        <f>IF($A394="","",J394&amp;"|"&amp;K394)</f>
        <v/>
      </c>
      <c r="P394" s="63">
        <f>IF($A394="","",IF(COUNTIFS(예산_원본!$T$5:$T$3004,O394,예산_원본!$B$5:$B$3004,설정!$C$8,예산_원본!$U$5:$U$3004,L394)&gt;0,"Y","N"))</f>
        <v/>
      </c>
      <c r="Q394" s="63">
        <f>IF($A394="","",IF(COUNTIF(집계!$E$7:$E$506,O394)&gt;0,"Y","N"))</f>
        <v/>
      </c>
    </row>
    <row r="395">
      <c r="A395" s="60" t="n">
        <v>2025</v>
      </c>
      <c r="B395" s="60" t="n">
        <v>6</v>
      </c>
      <c r="C395" s="60" t="inlineStr">
        <is>
          <t>1000</t>
        </is>
      </c>
      <c r="D395" s="60" t="n">
        <v>1101</v>
      </c>
      <c r="E395" s="60" t="inlineStr">
        <is>
          <t>경영기획</t>
        </is>
      </c>
      <c r="F395" s="60" t="n">
        <v>62101000</v>
      </c>
      <c r="G395" s="60" t="inlineStr">
        <is>
          <t>여비교통비-국내</t>
        </is>
      </c>
      <c r="H395" s="61" t="n">
        <v>2563000</v>
      </c>
      <c r="J395" s="63">
        <f>IF($A395="","",IFERROR(INDEX(부서매핑!$C$5:$C$504,MATCH($D395&amp;"",부서매핑!$A$5:$A$504,0)),"미매핑"))</f>
        <v/>
      </c>
      <c r="K395" s="63">
        <f>IF($A395="","",IFERROR(INDEX(계정매핑!$C$5:$C$504,MATCH($F395&amp;"",계정매핑!$A$5:$A$504,0)),"미매핑"))</f>
        <v/>
      </c>
      <c r="L395" s="4">
        <f>IF($A395="","",VALUE($A395&amp;""))</f>
        <v/>
      </c>
      <c r="M395" s="4">
        <f>IF($A395="","",VALUE($B395&amp;""))</f>
        <v/>
      </c>
      <c r="N395" s="64">
        <f>IF($A395="","",$H395*설정!$C$15)</f>
        <v/>
      </c>
      <c r="O395" s="4">
        <f>IF($A395="","",J395&amp;"|"&amp;K395)</f>
        <v/>
      </c>
      <c r="P395" s="63">
        <f>IF($A395="","",IF(COUNTIFS(예산_원본!$T$5:$T$3004,O395,예산_원본!$B$5:$B$3004,설정!$C$8,예산_원본!$U$5:$U$3004,L395)&gt;0,"Y","N"))</f>
        <v/>
      </c>
      <c r="Q395" s="63">
        <f>IF($A395="","",IF(COUNTIF(집계!$E$7:$E$506,O395)&gt;0,"Y","N"))</f>
        <v/>
      </c>
    </row>
    <row r="396">
      <c r="A396" s="60" t="n">
        <v>2025</v>
      </c>
      <c r="B396" s="60" t="n">
        <v>6</v>
      </c>
      <c r="C396" s="60" t="inlineStr">
        <is>
          <t>1000</t>
        </is>
      </c>
      <c r="D396" s="60" t="n">
        <v>1101</v>
      </c>
      <c r="E396" s="60" t="inlineStr">
        <is>
          <t>경영기획</t>
        </is>
      </c>
      <c r="F396" s="60" t="n">
        <v>62102000</v>
      </c>
      <c r="G396" s="60" t="inlineStr">
        <is>
          <t>여비교통비-해외</t>
        </is>
      </c>
      <c r="H396" s="61" t="n">
        <v>436220</v>
      </c>
      <c r="J396" s="63">
        <f>IF($A396="","",IFERROR(INDEX(부서매핑!$C$5:$C$504,MATCH($D396&amp;"",부서매핑!$A$5:$A$504,0)),"미매핑"))</f>
        <v/>
      </c>
      <c r="K396" s="63">
        <f>IF($A396="","",IFERROR(INDEX(계정매핑!$C$5:$C$504,MATCH($F396&amp;"",계정매핑!$A$5:$A$504,0)),"미매핑"))</f>
        <v/>
      </c>
      <c r="L396" s="4">
        <f>IF($A396="","",VALUE($A396&amp;""))</f>
        <v/>
      </c>
      <c r="M396" s="4">
        <f>IF($A396="","",VALUE($B396&amp;""))</f>
        <v/>
      </c>
      <c r="N396" s="64">
        <f>IF($A396="","",$H396*설정!$C$15)</f>
        <v/>
      </c>
      <c r="O396" s="4">
        <f>IF($A396="","",J396&amp;"|"&amp;K396)</f>
        <v/>
      </c>
      <c r="P396" s="63">
        <f>IF($A396="","",IF(COUNTIFS(예산_원본!$T$5:$T$3004,O396,예산_원본!$B$5:$B$3004,설정!$C$8,예산_원본!$U$5:$U$3004,L396)&gt;0,"Y","N"))</f>
        <v/>
      </c>
      <c r="Q396" s="63">
        <f>IF($A396="","",IF(COUNTIF(집계!$E$7:$E$506,O396)&gt;0,"Y","N"))</f>
        <v/>
      </c>
    </row>
    <row r="397">
      <c r="A397" s="60" t="n">
        <v>2025</v>
      </c>
      <c r="B397" s="60" t="n">
        <v>6</v>
      </c>
      <c r="C397" s="60" t="inlineStr">
        <is>
          <t>1000</t>
        </is>
      </c>
      <c r="D397" s="60" t="n">
        <v>1101</v>
      </c>
      <c r="E397" s="60" t="inlineStr">
        <is>
          <t>경영기획</t>
        </is>
      </c>
      <c r="F397" s="60" t="n">
        <v>62201000</v>
      </c>
      <c r="G397" s="60" t="inlineStr">
        <is>
          <t>통신비</t>
        </is>
      </c>
      <c r="H397" s="61" t="n">
        <v>741970</v>
      </c>
      <c r="J397" s="63">
        <f>IF($A397="","",IFERROR(INDEX(부서매핑!$C$5:$C$504,MATCH($D397&amp;"",부서매핑!$A$5:$A$504,0)),"미매핑"))</f>
        <v/>
      </c>
      <c r="K397" s="63">
        <f>IF($A397="","",IFERROR(INDEX(계정매핑!$C$5:$C$504,MATCH($F397&amp;"",계정매핑!$A$5:$A$504,0)),"미매핑"))</f>
        <v/>
      </c>
      <c r="L397" s="4">
        <f>IF($A397="","",VALUE($A397&amp;""))</f>
        <v/>
      </c>
      <c r="M397" s="4">
        <f>IF($A397="","",VALUE($B397&amp;""))</f>
        <v/>
      </c>
      <c r="N397" s="64">
        <f>IF($A397="","",$H397*설정!$C$15)</f>
        <v/>
      </c>
      <c r="O397" s="4">
        <f>IF($A397="","",J397&amp;"|"&amp;K397)</f>
        <v/>
      </c>
      <c r="P397" s="63">
        <f>IF($A397="","",IF(COUNTIFS(예산_원본!$T$5:$T$3004,O397,예산_원본!$B$5:$B$3004,설정!$C$8,예산_원본!$U$5:$U$3004,L397)&gt;0,"Y","N"))</f>
        <v/>
      </c>
      <c r="Q397" s="63">
        <f>IF($A397="","",IF(COUNTIF(집계!$E$7:$E$506,O397)&gt;0,"Y","N"))</f>
        <v/>
      </c>
    </row>
    <row r="398">
      <c r="A398" s="60" t="n">
        <v>2025</v>
      </c>
      <c r="B398" s="60" t="n">
        <v>6</v>
      </c>
      <c r="C398" s="60" t="inlineStr">
        <is>
          <t>1000</t>
        </is>
      </c>
      <c r="D398" s="60" t="n">
        <v>1101</v>
      </c>
      <c r="E398" s="60" t="inlineStr">
        <is>
          <t>경영기획</t>
        </is>
      </c>
      <c r="F398" s="60" t="n">
        <v>62301000</v>
      </c>
      <c r="G398" s="60" t="inlineStr">
        <is>
          <t>소모품비</t>
        </is>
      </c>
      <c r="H398" s="61" t="n">
        <v>443260</v>
      </c>
      <c r="J398" s="63">
        <f>IF($A398="","",IFERROR(INDEX(부서매핑!$C$5:$C$504,MATCH($D398&amp;"",부서매핑!$A$5:$A$504,0)),"미매핑"))</f>
        <v/>
      </c>
      <c r="K398" s="63">
        <f>IF($A398="","",IFERROR(INDEX(계정매핑!$C$5:$C$504,MATCH($F398&amp;"",계정매핑!$A$5:$A$504,0)),"미매핑"))</f>
        <v/>
      </c>
      <c r="L398" s="4">
        <f>IF($A398="","",VALUE($A398&amp;""))</f>
        <v/>
      </c>
      <c r="M398" s="4">
        <f>IF($A398="","",VALUE($B398&amp;""))</f>
        <v/>
      </c>
      <c r="N398" s="64">
        <f>IF($A398="","",$H398*설정!$C$15)</f>
        <v/>
      </c>
      <c r="O398" s="4">
        <f>IF($A398="","",J398&amp;"|"&amp;K398)</f>
        <v/>
      </c>
      <c r="P398" s="63">
        <f>IF($A398="","",IF(COUNTIFS(예산_원본!$T$5:$T$3004,O398,예산_원본!$B$5:$B$3004,설정!$C$8,예산_원본!$U$5:$U$3004,L398)&gt;0,"Y","N"))</f>
        <v/>
      </c>
      <c r="Q398" s="63">
        <f>IF($A398="","",IF(COUNTIF(집계!$E$7:$E$506,O398)&gt;0,"Y","N"))</f>
        <v/>
      </c>
    </row>
    <row r="399">
      <c r="A399" s="60" t="n">
        <v>2025</v>
      </c>
      <c r="B399" s="60" t="n">
        <v>6</v>
      </c>
      <c r="C399" s="60" t="inlineStr">
        <is>
          <t>1000</t>
        </is>
      </c>
      <c r="D399" s="60" t="n">
        <v>1101</v>
      </c>
      <c r="E399" s="60" t="inlineStr">
        <is>
          <t>경영기획</t>
        </is>
      </c>
      <c r="F399" s="60" t="n">
        <v>62501000</v>
      </c>
      <c r="G399" s="60" t="inlineStr">
        <is>
          <t>회의비</t>
        </is>
      </c>
      <c r="H399" s="61" t="n">
        <v>1011600</v>
      </c>
      <c r="J399" s="63">
        <f>IF($A399="","",IFERROR(INDEX(부서매핑!$C$5:$C$504,MATCH($D399&amp;"",부서매핑!$A$5:$A$504,0)),"미매핑"))</f>
        <v/>
      </c>
      <c r="K399" s="63">
        <f>IF($A399="","",IFERROR(INDEX(계정매핑!$C$5:$C$504,MATCH($F399&amp;"",계정매핑!$A$5:$A$504,0)),"미매핑"))</f>
        <v/>
      </c>
      <c r="L399" s="4">
        <f>IF($A399="","",VALUE($A399&amp;""))</f>
        <v/>
      </c>
      <c r="M399" s="4">
        <f>IF($A399="","",VALUE($B399&amp;""))</f>
        <v/>
      </c>
      <c r="N399" s="64">
        <f>IF($A399="","",$H399*설정!$C$15)</f>
        <v/>
      </c>
      <c r="O399" s="4">
        <f>IF($A399="","",J399&amp;"|"&amp;K399)</f>
        <v/>
      </c>
      <c r="P399" s="63">
        <f>IF($A399="","",IF(COUNTIFS(예산_원본!$T$5:$T$3004,O399,예산_원본!$B$5:$B$3004,설정!$C$8,예산_원본!$U$5:$U$3004,L399)&gt;0,"Y","N"))</f>
        <v/>
      </c>
      <c r="Q399" s="63">
        <f>IF($A399="","",IF(COUNTIF(집계!$E$7:$E$506,O399)&gt;0,"Y","N"))</f>
        <v/>
      </c>
    </row>
    <row r="400">
      <c r="A400" s="60" t="n">
        <v>2025</v>
      </c>
      <c r="B400" s="60" t="n">
        <v>6</v>
      </c>
      <c r="C400" s="60" t="inlineStr">
        <is>
          <t>1000</t>
        </is>
      </c>
      <c r="D400" s="60" t="n">
        <v>1101</v>
      </c>
      <c r="E400" s="60" t="inlineStr">
        <is>
          <t>경영기획</t>
        </is>
      </c>
      <c r="F400" s="60" t="n">
        <v>62601000</v>
      </c>
      <c r="G400" s="60" t="inlineStr">
        <is>
          <t>업무추진비</t>
        </is>
      </c>
      <c r="H400" s="61" t="n">
        <v>4523950</v>
      </c>
      <c r="J400" s="63">
        <f>IF($A400="","",IFERROR(INDEX(부서매핑!$C$5:$C$504,MATCH($D400&amp;"",부서매핑!$A$5:$A$504,0)),"미매핑"))</f>
        <v/>
      </c>
      <c r="K400" s="63">
        <f>IF($A400="","",IFERROR(INDEX(계정매핑!$C$5:$C$504,MATCH($F400&amp;"",계정매핑!$A$5:$A$504,0)),"미매핑"))</f>
        <v/>
      </c>
      <c r="L400" s="4">
        <f>IF($A400="","",VALUE($A400&amp;""))</f>
        <v/>
      </c>
      <c r="M400" s="4">
        <f>IF($A400="","",VALUE($B400&amp;""))</f>
        <v/>
      </c>
      <c r="N400" s="64">
        <f>IF($A400="","",$H400*설정!$C$15)</f>
        <v/>
      </c>
      <c r="O400" s="4">
        <f>IF($A400="","",J400&amp;"|"&amp;K400)</f>
        <v/>
      </c>
      <c r="P400" s="63">
        <f>IF($A400="","",IF(COUNTIFS(예산_원본!$T$5:$T$3004,O400,예산_원본!$B$5:$B$3004,설정!$C$8,예산_원본!$U$5:$U$3004,L400)&gt;0,"Y","N"))</f>
        <v/>
      </c>
      <c r="Q400" s="63">
        <f>IF($A400="","",IF(COUNTIF(집계!$E$7:$E$506,O400)&gt;0,"Y","N"))</f>
        <v/>
      </c>
    </row>
    <row r="401">
      <c r="A401" s="60" t="n">
        <v>2025</v>
      </c>
      <c r="B401" s="60" t="n">
        <v>6</v>
      </c>
      <c r="C401" s="60" t="inlineStr">
        <is>
          <t>1000</t>
        </is>
      </c>
      <c r="D401" s="60" t="n">
        <v>1101</v>
      </c>
      <c r="E401" s="60" t="inlineStr">
        <is>
          <t>경영기획</t>
        </is>
      </c>
      <c r="F401" s="60" t="n">
        <v>62901000</v>
      </c>
      <c r="G401" s="60" t="inlineStr">
        <is>
          <t>지급수수료-컨설팅</t>
        </is>
      </c>
      <c r="H401" s="61" t="n">
        <v>10920270</v>
      </c>
      <c r="J401" s="63">
        <f>IF($A401="","",IFERROR(INDEX(부서매핑!$C$5:$C$504,MATCH($D401&amp;"",부서매핑!$A$5:$A$504,0)),"미매핑"))</f>
        <v/>
      </c>
      <c r="K401" s="63">
        <f>IF($A401="","",IFERROR(INDEX(계정매핑!$C$5:$C$504,MATCH($F401&amp;"",계정매핑!$A$5:$A$504,0)),"미매핑"))</f>
        <v/>
      </c>
      <c r="L401" s="4">
        <f>IF($A401="","",VALUE($A401&amp;""))</f>
        <v/>
      </c>
      <c r="M401" s="4">
        <f>IF($A401="","",VALUE($B401&amp;""))</f>
        <v/>
      </c>
      <c r="N401" s="64">
        <f>IF($A401="","",$H401*설정!$C$15)</f>
        <v/>
      </c>
      <c r="O401" s="4">
        <f>IF($A401="","",J401&amp;"|"&amp;K401)</f>
        <v/>
      </c>
      <c r="P401" s="63">
        <f>IF($A401="","",IF(COUNTIFS(예산_원본!$T$5:$T$3004,O401,예산_원본!$B$5:$B$3004,설정!$C$8,예산_원본!$U$5:$U$3004,L401)&gt;0,"Y","N"))</f>
        <v/>
      </c>
      <c r="Q401" s="63">
        <f>IF($A401="","",IF(COUNTIF(집계!$E$7:$E$506,O401)&gt;0,"Y","N"))</f>
        <v/>
      </c>
    </row>
    <row r="402">
      <c r="A402" s="60" t="n">
        <v>2025</v>
      </c>
      <c r="B402" s="60" t="n">
        <v>6</v>
      </c>
      <c r="C402" s="60" t="inlineStr">
        <is>
          <t>1000</t>
        </is>
      </c>
      <c r="D402" s="60" t="n">
        <v>1101</v>
      </c>
      <c r="E402" s="60" t="inlineStr">
        <is>
          <t>경영기획</t>
        </is>
      </c>
      <c r="F402" s="60" t="n">
        <v>62902000</v>
      </c>
      <c r="G402" s="60" t="inlineStr">
        <is>
          <t>지급수수료-기타</t>
        </is>
      </c>
      <c r="H402" s="61" t="n">
        <v>4916970</v>
      </c>
      <c r="J402" s="63">
        <f>IF($A402="","",IFERROR(INDEX(부서매핑!$C$5:$C$504,MATCH($D402&amp;"",부서매핑!$A$5:$A$504,0)),"미매핑"))</f>
        <v/>
      </c>
      <c r="K402" s="63">
        <f>IF($A402="","",IFERROR(INDEX(계정매핑!$C$5:$C$504,MATCH($F402&amp;"",계정매핑!$A$5:$A$504,0)),"미매핑"))</f>
        <v/>
      </c>
      <c r="L402" s="4">
        <f>IF($A402="","",VALUE($A402&amp;""))</f>
        <v/>
      </c>
      <c r="M402" s="4">
        <f>IF($A402="","",VALUE($B402&amp;""))</f>
        <v/>
      </c>
      <c r="N402" s="64">
        <f>IF($A402="","",$H402*설정!$C$15)</f>
        <v/>
      </c>
      <c r="O402" s="4">
        <f>IF($A402="","",J402&amp;"|"&amp;K402)</f>
        <v/>
      </c>
      <c r="P402" s="63">
        <f>IF($A402="","",IF(COUNTIFS(예산_원본!$T$5:$T$3004,O402,예산_원본!$B$5:$B$3004,설정!$C$8,예산_원본!$U$5:$U$3004,L402)&gt;0,"Y","N"))</f>
        <v/>
      </c>
      <c r="Q402" s="63">
        <f>IF($A402="","",IF(COUNTIF(집계!$E$7:$E$506,O402)&gt;0,"Y","N"))</f>
        <v/>
      </c>
    </row>
    <row r="403">
      <c r="A403" s="60" t="n">
        <v>2025</v>
      </c>
      <c r="B403" s="60" t="n">
        <v>6</v>
      </c>
      <c r="C403" s="60" t="inlineStr">
        <is>
          <t>1000</t>
        </is>
      </c>
      <c r="D403" s="60" t="n">
        <v>1201</v>
      </c>
      <c r="E403" s="60" t="inlineStr">
        <is>
          <t>재무회계</t>
        </is>
      </c>
      <c r="F403" s="60" t="n">
        <v>62101000</v>
      </c>
      <c r="G403" s="60" t="inlineStr">
        <is>
          <t>여비교통비-국내</t>
        </is>
      </c>
      <c r="H403" s="61" t="n">
        <v>1231710</v>
      </c>
      <c r="J403" s="63">
        <f>IF($A403="","",IFERROR(INDEX(부서매핑!$C$5:$C$504,MATCH($D403&amp;"",부서매핑!$A$5:$A$504,0)),"미매핑"))</f>
        <v/>
      </c>
      <c r="K403" s="63">
        <f>IF($A403="","",IFERROR(INDEX(계정매핑!$C$5:$C$504,MATCH($F403&amp;"",계정매핑!$A$5:$A$504,0)),"미매핑"))</f>
        <v/>
      </c>
      <c r="L403" s="4">
        <f>IF($A403="","",VALUE($A403&amp;""))</f>
        <v/>
      </c>
      <c r="M403" s="4">
        <f>IF($A403="","",VALUE($B403&amp;""))</f>
        <v/>
      </c>
      <c r="N403" s="64">
        <f>IF($A403="","",$H403*설정!$C$15)</f>
        <v/>
      </c>
      <c r="O403" s="4">
        <f>IF($A403="","",J403&amp;"|"&amp;K403)</f>
        <v/>
      </c>
      <c r="P403" s="63">
        <f>IF($A403="","",IF(COUNTIFS(예산_원본!$T$5:$T$3004,O403,예산_원본!$B$5:$B$3004,설정!$C$8,예산_원본!$U$5:$U$3004,L403)&gt;0,"Y","N"))</f>
        <v/>
      </c>
      <c r="Q403" s="63">
        <f>IF($A403="","",IF(COUNTIF(집계!$E$7:$E$506,O403)&gt;0,"Y","N"))</f>
        <v/>
      </c>
    </row>
    <row r="404">
      <c r="A404" s="60" t="n">
        <v>2025</v>
      </c>
      <c r="B404" s="60" t="n">
        <v>6</v>
      </c>
      <c r="C404" s="60" t="inlineStr">
        <is>
          <t>1000</t>
        </is>
      </c>
      <c r="D404" s="60" t="n">
        <v>1201</v>
      </c>
      <c r="E404" s="60" t="inlineStr">
        <is>
          <t>재무회계</t>
        </is>
      </c>
      <c r="F404" s="60" t="n">
        <v>62102000</v>
      </c>
      <c r="G404" s="60" t="inlineStr">
        <is>
          <t>여비교통비-해외</t>
        </is>
      </c>
      <c r="H404" s="61" t="n">
        <v>212620</v>
      </c>
      <c r="J404" s="63">
        <f>IF($A404="","",IFERROR(INDEX(부서매핑!$C$5:$C$504,MATCH($D404&amp;"",부서매핑!$A$5:$A$504,0)),"미매핑"))</f>
        <v/>
      </c>
      <c r="K404" s="63">
        <f>IF($A404="","",IFERROR(INDEX(계정매핑!$C$5:$C$504,MATCH($F404&amp;"",계정매핑!$A$5:$A$504,0)),"미매핑"))</f>
        <v/>
      </c>
      <c r="L404" s="4">
        <f>IF($A404="","",VALUE($A404&amp;""))</f>
        <v/>
      </c>
      <c r="M404" s="4">
        <f>IF($A404="","",VALUE($B404&amp;""))</f>
        <v/>
      </c>
      <c r="N404" s="64">
        <f>IF($A404="","",$H404*설정!$C$15)</f>
        <v/>
      </c>
      <c r="O404" s="4">
        <f>IF($A404="","",J404&amp;"|"&amp;K404)</f>
        <v/>
      </c>
      <c r="P404" s="63">
        <f>IF($A404="","",IF(COUNTIFS(예산_원본!$T$5:$T$3004,O404,예산_원본!$B$5:$B$3004,설정!$C$8,예산_원본!$U$5:$U$3004,L404)&gt;0,"Y","N"))</f>
        <v/>
      </c>
      <c r="Q404" s="63">
        <f>IF($A404="","",IF(COUNTIF(집계!$E$7:$E$506,O404)&gt;0,"Y","N"))</f>
        <v/>
      </c>
    </row>
    <row r="405">
      <c r="A405" s="60" t="n">
        <v>2025</v>
      </c>
      <c r="B405" s="60" t="n">
        <v>6</v>
      </c>
      <c r="C405" s="60" t="inlineStr">
        <is>
          <t>1000</t>
        </is>
      </c>
      <c r="D405" s="60" t="n">
        <v>1201</v>
      </c>
      <c r="E405" s="60" t="inlineStr">
        <is>
          <t>재무회계</t>
        </is>
      </c>
      <c r="F405" s="60" t="n">
        <v>62201000</v>
      </c>
      <c r="G405" s="60" t="inlineStr">
        <is>
          <t>통신비</t>
        </is>
      </c>
      <c r="H405" s="61" t="n">
        <v>520670</v>
      </c>
      <c r="J405" s="63">
        <f>IF($A405="","",IFERROR(INDEX(부서매핑!$C$5:$C$504,MATCH($D405&amp;"",부서매핑!$A$5:$A$504,0)),"미매핑"))</f>
        <v/>
      </c>
      <c r="K405" s="63">
        <f>IF($A405="","",IFERROR(INDEX(계정매핑!$C$5:$C$504,MATCH($F405&amp;"",계정매핑!$A$5:$A$504,0)),"미매핑"))</f>
        <v/>
      </c>
      <c r="L405" s="4">
        <f>IF($A405="","",VALUE($A405&amp;""))</f>
        <v/>
      </c>
      <c r="M405" s="4">
        <f>IF($A405="","",VALUE($B405&amp;""))</f>
        <v/>
      </c>
      <c r="N405" s="64">
        <f>IF($A405="","",$H405*설정!$C$15)</f>
        <v/>
      </c>
      <c r="O405" s="4">
        <f>IF($A405="","",J405&amp;"|"&amp;K405)</f>
        <v/>
      </c>
      <c r="P405" s="63">
        <f>IF($A405="","",IF(COUNTIFS(예산_원본!$T$5:$T$3004,O405,예산_원본!$B$5:$B$3004,설정!$C$8,예산_원본!$U$5:$U$3004,L405)&gt;0,"Y","N"))</f>
        <v/>
      </c>
      <c r="Q405" s="63">
        <f>IF($A405="","",IF(COUNTIF(집계!$E$7:$E$506,O405)&gt;0,"Y","N"))</f>
        <v/>
      </c>
    </row>
    <row r="406">
      <c r="A406" s="60" t="n">
        <v>2025</v>
      </c>
      <c r="B406" s="60" t="n">
        <v>6</v>
      </c>
      <c r="C406" s="60" t="inlineStr">
        <is>
          <t>1000</t>
        </is>
      </c>
      <c r="D406" s="60" t="n">
        <v>1201</v>
      </c>
      <c r="E406" s="60" t="inlineStr">
        <is>
          <t>재무회계</t>
        </is>
      </c>
      <c r="F406" s="60" t="n">
        <v>62301000</v>
      </c>
      <c r="G406" s="60" t="inlineStr">
        <is>
          <t>소모품비</t>
        </is>
      </c>
      <c r="H406" s="61" t="n">
        <v>539140</v>
      </c>
      <c r="J406" s="63">
        <f>IF($A406="","",IFERROR(INDEX(부서매핑!$C$5:$C$504,MATCH($D406&amp;"",부서매핑!$A$5:$A$504,0)),"미매핑"))</f>
        <v/>
      </c>
      <c r="K406" s="63">
        <f>IF($A406="","",IFERROR(INDEX(계정매핑!$C$5:$C$504,MATCH($F406&amp;"",계정매핑!$A$5:$A$504,0)),"미매핑"))</f>
        <v/>
      </c>
      <c r="L406" s="4">
        <f>IF($A406="","",VALUE($A406&amp;""))</f>
        <v/>
      </c>
      <c r="M406" s="4">
        <f>IF($A406="","",VALUE($B406&amp;""))</f>
        <v/>
      </c>
      <c r="N406" s="64">
        <f>IF($A406="","",$H406*설정!$C$15)</f>
        <v/>
      </c>
      <c r="O406" s="4">
        <f>IF($A406="","",J406&amp;"|"&amp;K406)</f>
        <v/>
      </c>
      <c r="P406" s="63">
        <f>IF($A406="","",IF(COUNTIFS(예산_원본!$T$5:$T$3004,O406,예산_원본!$B$5:$B$3004,설정!$C$8,예산_원본!$U$5:$U$3004,L406)&gt;0,"Y","N"))</f>
        <v/>
      </c>
      <c r="Q406" s="63">
        <f>IF($A406="","",IF(COUNTIF(집계!$E$7:$E$506,O406)&gt;0,"Y","N"))</f>
        <v/>
      </c>
    </row>
    <row r="407">
      <c r="A407" s="60" t="n">
        <v>2025</v>
      </c>
      <c r="B407" s="60" t="n">
        <v>6</v>
      </c>
      <c r="C407" s="60" t="inlineStr">
        <is>
          <t>1000</t>
        </is>
      </c>
      <c r="D407" s="60" t="n">
        <v>1201</v>
      </c>
      <c r="E407" s="60" t="inlineStr">
        <is>
          <t>재무회계</t>
        </is>
      </c>
      <c r="F407" s="60" t="n">
        <v>62501000</v>
      </c>
      <c r="G407" s="60" t="inlineStr">
        <is>
          <t>회의비</t>
        </is>
      </c>
      <c r="H407" s="61" t="n">
        <v>499060</v>
      </c>
      <c r="J407" s="63">
        <f>IF($A407="","",IFERROR(INDEX(부서매핑!$C$5:$C$504,MATCH($D407&amp;"",부서매핑!$A$5:$A$504,0)),"미매핑"))</f>
        <v/>
      </c>
      <c r="K407" s="63">
        <f>IF($A407="","",IFERROR(INDEX(계정매핑!$C$5:$C$504,MATCH($F407&amp;"",계정매핑!$A$5:$A$504,0)),"미매핑"))</f>
        <v/>
      </c>
      <c r="L407" s="4">
        <f>IF($A407="","",VALUE($A407&amp;""))</f>
        <v/>
      </c>
      <c r="M407" s="4">
        <f>IF($A407="","",VALUE($B407&amp;""))</f>
        <v/>
      </c>
      <c r="N407" s="64">
        <f>IF($A407="","",$H407*설정!$C$15)</f>
        <v/>
      </c>
      <c r="O407" s="4">
        <f>IF($A407="","",J407&amp;"|"&amp;K407)</f>
        <v/>
      </c>
      <c r="P407" s="63">
        <f>IF($A407="","",IF(COUNTIFS(예산_원본!$T$5:$T$3004,O407,예산_원본!$B$5:$B$3004,설정!$C$8,예산_원본!$U$5:$U$3004,L407)&gt;0,"Y","N"))</f>
        <v/>
      </c>
      <c r="Q407" s="63">
        <f>IF($A407="","",IF(COUNTIF(집계!$E$7:$E$506,O407)&gt;0,"Y","N"))</f>
        <v/>
      </c>
    </row>
    <row r="408">
      <c r="A408" s="60" t="n">
        <v>2025</v>
      </c>
      <c r="B408" s="60" t="n">
        <v>6</v>
      </c>
      <c r="C408" s="60" t="inlineStr">
        <is>
          <t>1000</t>
        </is>
      </c>
      <c r="D408" s="60" t="n">
        <v>1201</v>
      </c>
      <c r="E408" s="60" t="inlineStr">
        <is>
          <t>재무회계</t>
        </is>
      </c>
      <c r="F408" s="60" t="n">
        <v>62901000</v>
      </c>
      <c r="G408" s="60" t="inlineStr">
        <is>
          <t>지급수수료-컨설팅</t>
        </is>
      </c>
      <c r="H408" s="61" t="n">
        <v>25227540</v>
      </c>
      <c r="J408" s="63">
        <f>IF($A408="","",IFERROR(INDEX(부서매핑!$C$5:$C$504,MATCH($D408&amp;"",부서매핑!$A$5:$A$504,0)),"미매핑"))</f>
        <v/>
      </c>
      <c r="K408" s="63">
        <f>IF($A408="","",IFERROR(INDEX(계정매핑!$C$5:$C$504,MATCH($F408&amp;"",계정매핑!$A$5:$A$504,0)),"미매핑"))</f>
        <v/>
      </c>
      <c r="L408" s="4">
        <f>IF($A408="","",VALUE($A408&amp;""))</f>
        <v/>
      </c>
      <c r="M408" s="4">
        <f>IF($A408="","",VALUE($B408&amp;""))</f>
        <v/>
      </c>
      <c r="N408" s="64">
        <f>IF($A408="","",$H408*설정!$C$15)</f>
        <v/>
      </c>
      <c r="O408" s="4">
        <f>IF($A408="","",J408&amp;"|"&amp;K408)</f>
        <v/>
      </c>
      <c r="P408" s="63">
        <f>IF($A408="","",IF(COUNTIFS(예산_원본!$T$5:$T$3004,O408,예산_원본!$B$5:$B$3004,설정!$C$8,예산_원본!$U$5:$U$3004,L408)&gt;0,"Y","N"))</f>
        <v/>
      </c>
      <c r="Q408" s="63">
        <f>IF($A408="","",IF(COUNTIF(집계!$E$7:$E$506,O408)&gt;0,"Y","N"))</f>
        <v/>
      </c>
    </row>
    <row r="409">
      <c r="A409" s="60" t="n">
        <v>2025</v>
      </c>
      <c r="B409" s="60" t="n">
        <v>6</v>
      </c>
      <c r="C409" s="60" t="inlineStr">
        <is>
          <t>1000</t>
        </is>
      </c>
      <c r="D409" s="60" t="n">
        <v>1201</v>
      </c>
      <c r="E409" s="60" t="inlineStr">
        <is>
          <t>재무회계</t>
        </is>
      </c>
      <c r="F409" s="60" t="n">
        <v>62902000</v>
      </c>
      <c r="G409" s="60" t="inlineStr">
        <is>
          <t>지급수수료-기타</t>
        </is>
      </c>
      <c r="H409" s="61" t="n">
        <v>9786290</v>
      </c>
      <c r="J409" s="63">
        <f>IF($A409="","",IFERROR(INDEX(부서매핑!$C$5:$C$504,MATCH($D409&amp;"",부서매핑!$A$5:$A$504,0)),"미매핑"))</f>
        <v/>
      </c>
      <c r="K409" s="63">
        <f>IF($A409="","",IFERROR(INDEX(계정매핑!$C$5:$C$504,MATCH($F409&amp;"",계정매핑!$A$5:$A$504,0)),"미매핑"))</f>
        <v/>
      </c>
      <c r="L409" s="4">
        <f>IF($A409="","",VALUE($A409&amp;""))</f>
        <v/>
      </c>
      <c r="M409" s="4">
        <f>IF($A409="","",VALUE($B409&amp;""))</f>
        <v/>
      </c>
      <c r="N409" s="64">
        <f>IF($A409="","",$H409*설정!$C$15)</f>
        <v/>
      </c>
      <c r="O409" s="4">
        <f>IF($A409="","",J409&amp;"|"&amp;K409)</f>
        <v/>
      </c>
      <c r="P409" s="63">
        <f>IF($A409="","",IF(COUNTIFS(예산_원본!$T$5:$T$3004,O409,예산_원본!$B$5:$B$3004,설정!$C$8,예산_원본!$U$5:$U$3004,L409)&gt;0,"Y","N"))</f>
        <v/>
      </c>
      <c r="Q409" s="63">
        <f>IF($A409="","",IF(COUNTIF(집계!$E$7:$E$506,O409)&gt;0,"Y","N"))</f>
        <v/>
      </c>
    </row>
    <row r="410">
      <c r="A410" s="60" t="n">
        <v>2025</v>
      </c>
      <c r="B410" s="60" t="n">
        <v>6</v>
      </c>
      <c r="C410" s="60" t="inlineStr">
        <is>
          <t>1000</t>
        </is>
      </c>
      <c r="D410" s="60" t="n">
        <v>1301</v>
      </c>
      <c r="E410" s="60" t="inlineStr">
        <is>
          <t>인사</t>
        </is>
      </c>
      <c r="F410" s="60" t="n">
        <v>62101000</v>
      </c>
      <c r="G410" s="60" t="inlineStr">
        <is>
          <t>여비교통비-국내</t>
        </is>
      </c>
      <c r="H410" s="61" t="n">
        <v>1510850</v>
      </c>
      <c r="J410" s="63">
        <f>IF($A410="","",IFERROR(INDEX(부서매핑!$C$5:$C$504,MATCH($D410&amp;"",부서매핑!$A$5:$A$504,0)),"미매핑"))</f>
        <v/>
      </c>
      <c r="K410" s="63">
        <f>IF($A410="","",IFERROR(INDEX(계정매핑!$C$5:$C$504,MATCH($F410&amp;"",계정매핑!$A$5:$A$504,0)),"미매핑"))</f>
        <v/>
      </c>
      <c r="L410" s="4">
        <f>IF($A410="","",VALUE($A410&amp;""))</f>
        <v/>
      </c>
      <c r="M410" s="4">
        <f>IF($A410="","",VALUE($B410&amp;""))</f>
        <v/>
      </c>
      <c r="N410" s="64">
        <f>IF($A410="","",$H410*설정!$C$15)</f>
        <v/>
      </c>
      <c r="O410" s="4">
        <f>IF($A410="","",J410&amp;"|"&amp;K410)</f>
        <v/>
      </c>
      <c r="P410" s="63">
        <f>IF($A410="","",IF(COUNTIFS(예산_원본!$T$5:$T$3004,O410,예산_원본!$B$5:$B$3004,설정!$C$8,예산_원본!$U$5:$U$3004,L410)&gt;0,"Y","N"))</f>
        <v/>
      </c>
      <c r="Q410" s="63">
        <f>IF($A410="","",IF(COUNTIF(집계!$E$7:$E$506,O410)&gt;0,"Y","N"))</f>
        <v/>
      </c>
    </row>
    <row r="411">
      <c r="A411" s="60" t="n">
        <v>2025</v>
      </c>
      <c r="B411" s="60" t="n">
        <v>6</v>
      </c>
      <c r="C411" s="60" t="inlineStr">
        <is>
          <t>1000</t>
        </is>
      </c>
      <c r="D411" s="60" t="n">
        <v>1301</v>
      </c>
      <c r="E411" s="60" t="inlineStr">
        <is>
          <t>인사</t>
        </is>
      </c>
      <c r="F411" s="60" t="n">
        <v>62102000</v>
      </c>
      <c r="G411" s="60" t="inlineStr">
        <is>
          <t>여비교통비-해외</t>
        </is>
      </c>
      <c r="H411" s="61" t="n">
        <v>253400</v>
      </c>
      <c r="J411" s="63">
        <f>IF($A411="","",IFERROR(INDEX(부서매핑!$C$5:$C$504,MATCH($D411&amp;"",부서매핑!$A$5:$A$504,0)),"미매핑"))</f>
        <v/>
      </c>
      <c r="K411" s="63">
        <f>IF($A411="","",IFERROR(INDEX(계정매핑!$C$5:$C$504,MATCH($F411&amp;"",계정매핑!$A$5:$A$504,0)),"미매핑"))</f>
        <v/>
      </c>
      <c r="L411" s="4">
        <f>IF($A411="","",VALUE($A411&amp;""))</f>
        <v/>
      </c>
      <c r="M411" s="4">
        <f>IF($A411="","",VALUE($B411&amp;""))</f>
        <v/>
      </c>
      <c r="N411" s="64">
        <f>IF($A411="","",$H411*설정!$C$15)</f>
        <v/>
      </c>
      <c r="O411" s="4">
        <f>IF($A411="","",J411&amp;"|"&amp;K411)</f>
        <v/>
      </c>
      <c r="P411" s="63">
        <f>IF($A411="","",IF(COUNTIFS(예산_원본!$T$5:$T$3004,O411,예산_원본!$B$5:$B$3004,설정!$C$8,예산_원본!$U$5:$U$3004,L411)&gt;0,"Y","N"))</f>
        <v/>
      </c>
      <c r="Q411" s="63">
        <f>IF($A411="","",IF(COUNTIF(집계!$E$7:$E$506,O411)&gt;0,"Y","N"))</f>
        <v/>
      </c>
    </row>
    <row r="412">
      <c r="A412" s="60" t="n">
        <v>2025</v>
      </c>
      <c r="B412" s="60" t="n">
        <v>6</v>
      </c>
      <c r="C412" s="60" t="inlineStr">
        <is>
          <t>1000</t>
        </is>
      </c>
      <c r="D412" s="60" t="n">
        <v>1301</v>
      </c>
      <c r="E412" s="60" t="inlineStr">
        <is>
          <t>인사</t>
        </is>
      </c>
      <c r="F412" s="60" t="n">
        <v>62201000</v>
      </c>
      <c r="G412" s="60" t="inlineStr">
        <is>
          <t>통신비</t>
        </is>
      </c>
      <c r="H412" s="61" t="n">
        <v>529720</v>
      </c>
      <c r="J412" s="63">
        <f>IF($A412="","",IFERROR(INDEX(부서매핑!$C$5:$C$504,MATCH($D412&amp;"",부서매핑!$A$5:$A$504,0)),"미매핑"))</f>
        <v/>
      </c>
      <c r="K412" s="63">
        <f>IF($A412="","",IFERROR(INDEX(계정매핑!$C$5:$C$504,MATCH($F412&amp;"",계정매핑!$A$5:$A$504,0)),"미매핑"))</f>
        <v/>
      </c>
      <c r="L412" s="4">
        <f>IF($A412="","",VALUE($A412&amp;""))</f>
        <v/>
      </c>
      <c r="M412" s="4">
        <f>IF($A412="","",VALUE($B412&amp;""))</f>
        <v/>
      </c>
      <c r="N412" s="64">
        <f>IF($A412="","",$H412*설정!$C$15)</f>
        <v/>
      </c>
      <c r="O412" s="4">
        <f>IF($A412="","",J412&amp;"|"&amp;K412)</f>
        <v/>
      </c>
      <c r="P412" s="63">
        <f>IF($A412="","",IF(COUNTIFS(예산_원본!$T$5:$T$3004,O412,예산_원본!$B$5:$B$3004,설정!$C$8,예산_원본!$U$5:$U$3004,L412)&gt;0,"Y","N"))</f>
        <v/>
      </c>
      <c r="Q412" s="63">
        <f>IF($A412="","",IF(COUNTIF(집계!$E$7:$E$506,O412)&gt;0,"Y","N"))</f>
        <v/>
      </c>
    </row>
    <row r="413">
      <c r="A413" s="60" t="n">
        <v>2025</v>
      </c>
      <c r="B413" s="60" t="n">
        <v>6</v>
      </c>
      <c r="C413" s="60" t="inlineStr">
        <is>
          <t>1000</t>
        </is>
      </c>
      <c r="D413" s="60" t="n">
        <v>1301</v>
      </c>
      <c r="E413" s="60" t="inlineStr">
        <is>
          <t>인사</t>
        </is>
      </c>
      <c r="F413" s="60" t="n">
        <v>62301000</v>
      </c>
      <c r="G413" s="60" t="inlineStr">
        <is>
          <t>소모품비</t>
        </is>
      </c>
      <c r="H413" s="61" t="n">
        <v>767550</v>
      </c>
      <c r="J413" s="63">
        <f>IF($A413="","",IFERROR(INDEX(부서매핑!$C$5:$C$504,MATCH($D413&amp;"",부서매핑!$A$5:$A$504,0)),"미매핑"))</f>
        <v/>
      </c>
      <c r="K413" s="63">
        <f>IF($A413="","",IFERROR(INDEX(계정매핑!$C$5:$C$504,MATCH($F413&amp;"",계정매핑!$A$5:$A$504,0)),"미매핑"))</f>
        <v/>
      </c>
      <c r="L413" s="4">
        <f>IF($A413="","",VALUE($A413&amp;""))</f>
        <v/>
      </c>
      <c r="M413" s="4">
        <f>IF($A413="","",VALUE($B413&amp;""))</f>
        <v/>
      </c>
      <c r="N413" s="64">
        <f>IF($A413="","",$H413*설정!$C$15)</f>
        <v/>
      </c>
      <c r="O413" s="4">
        <f>IF($A413="","",J413&amp;"|"&amp;K413)</f>
        <v/>
      </c>
      <c r="P413" s="63">
        <f>IF($A413="","",IF(COUNTIFS(예산_원본!$T$5:$T$3004,O413,예산_원본!$B$5:$B$3004,설정!$C$8,예산_원본!$U$5:$U$3004,L413)&gt;0,"Y","N"))</f>
        <v/>
      </c>
      <c r="Q413" s="63">
        <f>IF($A413="","",IF(COUNTIF(집계!$E$7:$E$506,O413)&gt;0,"Y","N"))</f>
        <v/>
      </c>
    </row>
    <row r="414">
      <c r="A414" s="60" t="n">
        <v>2025</v>
      </c>
      <c r="B414" s="60" t="n">
        <v>6</v>
      </c>
      <c r="C414" s="60" t="inlineStr">
        <is>
          <t>1000</t>
        </is>
      </c>
      <c r="D414" s="60" t="n">
        <v>1301</v>
      </c>
      <c r="E414" s="60" t="inlineStr">
        <is>
          <t>인사</t>
        </is>
      </c>
      <c r="F414" s="60" t="n">
        <v>62501000</v>
      </c>
      <c r="G414" s="60" t="inlineStr">
        <is>
          <t>회의비</t>
        </is>
      </c>
      <c r="H414" s="61" t="n">
        <v>870880</v>
      </c>
      <c r="J414" s="63">
        <f>IF($A414="","",IFERROR(INDEX(부서매핑!$C$5:$C$504,MATCH($D414&amp;"",부서매핑!$A$5:$A$504,0)),"미매핑"))</f>
        <v/>
      </c>
      <c r="K414" s="63">
        <f>IF($A414="","",IFERROR(INDEX(계정매핑!$C$5:$C$504,MATCH($F414&amp;"",계정매핑!$A$5:$A$504,0)),"미매핑"))</f>
        <v/>
      </c>
      <c r="L414" s="4">
        <f>IF($A414="","",VALUE($A414&amp;""))</f>
        <v/>
      </c>
      <c r="M414" s="4">
        <f>IF($A414="","",VALUE($B414&amp;""))</f>
        <v/>
      </c>
      <c r="N414" s="64">
        <f>IF($A414="","",$H414*설정!$C$15)</f>
        <v/>
      </c>
      <c r="O414" s="4">
        <f>IF($A414="","",J414&amp;"|"&amp;K414)</f>
        <v/>
      </c>
      <c r="P414" s="63">
        <f>IF($A414="","",IF(COUNTIFS(예산_원본!$T$5:$T$3004,O414,예산_원본!$B$5:$B$3004,설정!$C$8,예산_원본!$U$5:$U$3004,L414)&gt;0,"Y","N"))</f>
        <v/>
      </c>
      <c r="Q414" s="63">
        <f>IF($A414="","",IF(COUNTIF(집계!$E$7:$E$506,O414)&gt;0,"Y","N"))</f>
        <v/>
      </c>
    </row>
    <row r="415">
      <c r="A415" s="60" t="n">
        <v>2025</v>
      </c>
      <c r="B415" s="60" t="n">
        <v>6</v>
      </c>
      <c r="C415" s="60" t="inlineStr">
        <is>
          <t>1000</t>
        </is>
      </c>
      <c r="D415" s="60" t="n">
        <v>1301</v>
      </c>
      <c r="E415" s="60" t="inlineStr">
        <is>
          <t>인사</t>
        </is>
      </c>
      <c r="F415" s="60" t="n">
        <v>62601000</v>
      </c>
      <c r="G415" s="60" t="inlineStr">
        <is>
          <t>업무추진비</t>
        </is>
      </c>
      <c r="H415" s="61" t="n">
        <v>1902710</v>
      </c>
      <c r="J415" s="63">
        <f>IF($A415="","",IFERROR(INDEX(부서매핑!$C$5:$C$504,MATCH($D415&amp;"",부서매핑!$A$5:$A$504,0)),"미매핑"))</f>
        <v/>
      </c>
      <c r="K415" s="63">
        <f>IF($A415="","",IFERROR(INDEX(계정매핑!$C$5:$C$504,MATCH($F415&amp;"",계정매핑!$A$5:$A$504,0)),"미매핑"))</f>
        <v/>
      </c>
      <c r="L415" s="4">
        <f>IF($A415="","",VALUE($A415&amp;""))</f>
        <v/>
      </c>
      <c r="M415" s="4">
        <f>IF($A415="","",VALUE($B415&amp;""))</f>
        <v/>
      </c>
      <c r="N415" s="64">
        <f>IF($A415="","",$H415*설정!$C$15)</f>
        <v/>
      </c>
      <c r="O415" s="4">
        <f>IF($A415="","",J415&amp;"|"&amp;K415)</f>
        <v/>
      </c>
      <c r="P415" s="63">
        <f>IF($A415="","",IF(COUNTIFS(예산_원본!$T$5:$T$3004,O415,예산_원본!$B$5:$B$3004,설정!$C$8,예산_원본!$U$5:$U$3004,L415)&gt;0,"Y","N"))</f>
        <v/>
      </c>
      <c r="Q415" s="63">
        <f>IF($A415="","",IF(COUNTIF(집계!$E$7:$E$506,O415)&gt;0,"Y","N"))</f>
        <v/>
      </c>
    </row>
    <row r="416">
      <c r="A416" s="60" t="n">
        <v>2025</v>
      </c>
      <c r="B416" s="60" t="n">
        <v>6</v>
      </c>
      <c r="C416" s="60" t="inlineStr">
        <is>
          <t>1000</t>
        </is>
      </c>
      <c r="D416" s="60" t="n">
        <v>1301</v>
      </c>
      <c r="E416" s="60" t="inlineStr">
        <is>
          <t>인사</t>
        </is>
      </c>
      <c r="F416" s="60" t="n">
        <v>62801000</v>
      </c>
      <c r="G416" s="60" t="inlineStr">
        <is>
          <t>교육훈련비-사내</t>
        </is>
      </c>
      <c r="H416" s="61" t="n">
        <v>12174320</v>
      </c>
      <c r="J416" s="63">
        <f>IF($A416="","",IFERROR(INDEX(부서매핑!$C$5:$C$504,MATCH($D416&amp;"",부서매핑!$A$5:$A$504,0)),"미매핑"))</f>
        <v/>
      </c>
      <c r="K416" s="63">
        <f>IF($A416="","",IFERROR(INDEX(계정매핑!$C$5:$C$504,MATCH($F416&amp;"",계정매핑!$A$5:$A$504,0)),"미매핑"))</f>
        <v/>
      </c>
      <c r="L416" s="4">
        <f>IF($A416="","",VALUE($A416&amp;""))</f>
        <v/>
      </c>
      <c r="M416" s="4">
        <f>IF($A416="","",VALUE($B416&amp;""))</f>
        <v/>
      </c>
      <c r="N416" s="64">
        <f>IF($A416="","",$H416*설정!$C$15)</f>
        <v/>
      </c>
      <c r="O416" s="4">
        <f>IF($A416="","",J416&amp;"|"&amp;K416)</f>
        <v/>
      </c>
      <c r="P416" s="63">
        <f>IF($A416="","",IF(COUNTIFS(예산_원본!$T$5:$T$3004,O416,예산_원본!$B$5:$B$3004,설정!$C$8,예산_원본!$U$5:$U$3004,L416)&gt;0,"Y","N"))</f>
        <v/>
      </c>
      <c r="Q416" s="63">
        <f>IF($A416="","",IF(COUNTIF(집계!$E$7:$E$506,O416)&gt;0,"Y","N"))</f>
        <v/>
      </c>
    </row>
    <row r="417">
      <c r="A417" s="60" t="n">
        <v>2025</v>
      </c>
      <c r="B417" s="60" t="n">
        <v>6</v>
      </c>
      <c r="C417" s="60" t="inlineStr">
        <is>
          <t>1000</t>
        </is>
      </c>
      <c r="D417" s="60" t="n">
        <v>1301</v>
      </c>
      <c r="E417" s="60" t="inlineStr">
        <is>
          <t>인사</t>
        </is>
      </c>
      <c r="F417" s="60" t="n">
        <v>62802000</v>
      </c>
      <c r="G417" s="60" t="inlineStr">
        <is>
          <t>교육훈련비-외부위탁</t>
        </is>
      </c>
      <c r="H417" s="61" t="n">
        <v>18522190</v>
      </c>
      <c r="J417" s="63">
        <f>IF($A417="","",IFERROR(INDEX(부서매핑!$C$5:$C$504,MATCH($D417&amp;"",부서매핑!$A$5:$A$504,0)),"미매핑"))</f>
        <v/>
      </c>
      <c r="K417" s="63">
        <f>IF($A417="","",IFERROR(INDEX(계정매핑!$C$5:$C$504,MATCH($F417&amp;"",계정매핑!$A$5:$A$504,0)),"미매핑"))</f>
        <v/>
      </c>
      <c r="L417" s="4">
        <f>IF($A417="","",VALUE($A417&amp;""))</f>
        <v/>
      </c>
      <c r="M417" s="4">
        <f>IF($A417="","",VALUE($B417&amp;""))</f>
        <v/>
      </c>
      <c r="N417" s="64">
        <f>IF($A417="","",$H417*설정!$C$15)</f>
        <v/>
      </c>
      <c r="O417" s="4">
        <f>IF($A417="","",J417&amp;"|"&amp;K417)</f>
        <v/>
      </c>
      <c r="P417" s="63">
        <f>IF($A417="","",IF(COUNTIFS(예산_원본!$T$5:$T$3004,O417,예산_원본!$B$5:$B$3004,설정!$C$8,예산_원본!$U$5:$U$3004,L417)&gt;0,"Y","N"))</f>
        <v/>
      </c>
      <c r="Q417" s="63">
        <f>IF($A417="","",IF(COUNTIF(집계!$E$7:$E$506,O417)&gt;0,"Y","N"))</f>
        <v/>
      </c>
    </row>
    <row r="418">
      <c r="A418" s="60" t="n">
        <v>2025</v>
      </c>
      <c r="B418" s="60" t="n">
        <v>6</v>
      </c>
      <c r="C418" s="60" t="inlineStr">
        <is>
          <t>1000</t>
        </is>
      </c>
      <c r="D418" s="60" t="n">
        <v>1401</v>
      </c>
      <c r="E418" s="60" t="inlineStr">
        <is>
          <t>상품개발</t>
        </is>
      </c>
      <c r="F418" s="60" t="n">
        <v>62101000</v>
      </c>
      <c r="G418" s="60" t="inlineStr">
        <is>
          <t>여비교통비-국내</t>
        </is>
      </c>
      <c r="H418" s="61" t="n">
        <v>1952290</v>
      </c>
      <c r="J418" s="63">
        <f>IF($A418="","",IFERROR(INDEX(부서매핑!$C$5:$C$504,MATCH($D418&amp;"",부서매핑!$A$5:$A$504,0)),"미매핑"))</f>
        <v/>
      </c>
      <c r="K418" s="63">
        <f>IF($A418="","",IFERROR(INDEX(계정매핑!$C$5:$C$504,MATCH($F418&amp;"",계정매핑!$A$5:$A$504,0)),"미매핑"))</f>
        <v/>
      </c>
      <c r="L418" s="4">
        <f>IF($A418="","",VALUE($A418&amp;""))</f>
        <v/>
      </c>
      <c r="M418" s="4">
        <f>IF($A418="","",VALUE($B418&amp;""))</f>
        <v/>
      </c>
      <c r="N418" s="64">
        <f>IF($A418="","",$H418*설정!$C$15)</f>
        <v/>
      </c>
      <c r="O418" s="4">
        <f>IF($A418="","",J418&amp;"|"&amp;K418)</f>
        <v/>
      </c>
      <c r="P418" s="63">
        <f>IF($A418="","",IF(COUNTIFS(예산_원본!$T$5:$T$3004,O418,예산_원본!$B$5:$B$3004,설정!$C$8,예산_원본!$U$5:$U$3004,L418)&gt;0,"Y","N"))</f>
        <v/>
      </c>
      <c r="Q418" s="63">
        <f>IF($A418="","",IF(COUNTIF(집계!$E$7:$E$506,O418)&gt;0,"Y","N"))</f>
        <v/>
      </c>
    </row>
    <row r="419">
      <c r="A419" s="60" t="n">
        <v>2025</v>
      </c>
      <c r="B419" s="60" t="n">
        <v>6</v>
      </c>
      <c r="C419" s="60" t="inlineStr">
        <is>
          <t>1000</t>
        </is>
      </c>
      <c r="D419" s="60" t="n">
        <v>1401</v>
      </c>
      <c r="E419" s="60" t="inlineStr">
        <is>
          <t>상품개발</t>
        </is>
      </c>
      <c r="F419" s="60" t="n">
        <v>62102000</v>
      </c>
      <c r="G419" s="60" t="inlineStr">
        <is>
          <t>여비교통비-해외</t>
        </is>
      </c>
      <c r="H419" s="61" t="n">
        <v>307780</v>
      </c>
      <c r="J419" s="63">
        <f>IF($A419="","",IFERROR(INDEX(부서매핑!$C$5:$C$504,MATCH($D419&amp;"",부서매핑!$A$5:$A$504,0)),"미매핑"))</f>
        <v/>
      </c>
      <c r="K419" s="63">
        <f>IF($A419="","",IFERROR(INDEX(계정매핑!$C$5:$C$504,MATCH($F419&amp;"",계정매핑!$A$5:$A$504,0)),"미매핑"))</f>
        <v/>
      </c>
      <c r="L419" s="4">
        <f>IF($A419="","",VALUE($A419&amp;""))</f>
        <v/>
      </c>
      <c r="M419" s="4">
        <f>IF($A419="","",VALUE($B419&amp;""))</f>
        <v/>
      </c>
      <c r="N419" s="64">
        <f>IF($A419="","",$H419*설정!$C$15)</f>
        <v/>
      </c>
      <c r="O419" s="4">
        <f>IF($A419="","",J419&amp;"|"&amp;K419)</f>
        <v/>
      </c>
      <c r="P419" s="63">
        <f>IF($A419="","",IF(COUNTIFS(예산_원본!$T$5:$T$3004,O419,예산_원본!$B$5:$B$3004,설정!$C$8,예산_원본!$U$5:$U$3004,L419)&gt;0,"Y","N"))</f>
        <v/>
      </c>
      <c r="Q419" s="63">
        <f>IF($A419="","",IF(COUNTIF(집계!$E$7:$E$506,O419)&gt;0,"Y","N"))</f>
        <v/>
      </c>
    </row>
    <row r="420">
      <c r="A420" s="60" t="n">
        <v>2025</v>
      </c>
      <c r="B420" s="60" t="n">
        <v>6</v>
      </c>
      <c r="C420" s="60" t="inlineStr">
        <is>
          <t>1000</t>
        </is>
      </c>
      <c r="D420" s="60" t="n">
        <v>1401</v>
      </c>
      <c r="E420" s="60" t="inlineStr">
        <is>
          <t>상품개발</t>
        </is>
      </c>
      <c r="F420" s="60" t="n">
        <v>62201000</v>
      </c>
      <c r="G420" s="60" t="inlineStr">
        <is>
          <t>통신비</t>
        </is>
      </c>
      <c r="H420" s="61" t="n">
        <v>506650</v>
      </c>
      <c r="J420" s="63">
        <f>IF($A420="","",IFERROR(INDEX(부서매핑!$C$5:$C$504,MATCH($D420&amp;"",부서매핑!$A$5:$A$504,0)),"미매핑"))</f>
        <v/>
      </c>
      <c r="K420" s="63">
        <f>IF($A420="","",IFERROR(INDEX(계정매핑!$C$5:$C$504,MATCH($F420&amp;"",계정매핑!$A$5:$A$504,0)),"미매핑"))</f>
        <v/>
      </c>
      <c r="L420" s="4">
        <f>IF($A420="","",VALUE($A420&amp;""))</f>
        <v/>
      </c>
      <c r="M420" s="4">
        <f>IF($A420="","",VALUE($B420&amp;""))</f>
        <v/>
      </c>
      <c r="N420" s="64">
        <f>IF($A420="","",$H420*설정!$C$15)</f>
        <v/>
      </c>
      <c r="O420" s="4">
        <f>IF($A420="","",J420&amp;"|"&amp;K420)</f>
        <v/>
      </c>
      <c r="P420" s="63">
        <f>IF($A420="","",IF(COUNTIFS(예산_원본!$T$5:$T$3004,O420,예산_원본!$B$5:$B$3004,설정!$C$8,예산_원본!$U$5:$U$3004,L420)&gt;0,"Y","N"))</f>
        <v/>
      </c>
      <c r="Q420" s="63">
        <f>IF($A420="","",IF(COUNTIF(집계!$E$7:$E$506,O420)&gt;0,"Y","N"))</f>
        <v/>
      </c>
    </row>
    <row r="421">
      <c r="A421" s="60" t="n">
        <v>2025</v>
      </c>
      <c r="B421" s="60" t="n">
        <v>6</v>
      </c>
      <c r="C421" s="60" t="inlineStr">
        <is>
          <t>1000</t>
        </is>
      </c>
      <c r="D421" s="60" t="n">
        <v>1401</v>
      </c>
      <c r="E421" s="60" t="inlineStr">
        <is>
          <t>상품개발</t>
        </is>
      </c>
      <c r="F421" s="60" t="n">
        <v>62301000</v>
      </c>
      <c r="G421" s="60" t="inlineStr">
        <is>
          <t>소모품비</t>
        </is>
      </c>
      <c r="H421" s="61" t="n">
        <v>399990</v>
      </c>
      <c r="J421" s="63">
        <f>IF($A421="","",IFERROR(INDEX(부서매핑!$C$5:$C$504,MATCH($D421&amp;"",부서매핑!$A$5:$A$504,0)),"미매핑"))</f>
        <v/>
      </c>
      <c r="K421" s="63">
        <f>IF($A421="","",IFERROR(INDEX(계정매핑!$C$5:$C$504,MATCH($F421&amp;"",계정매핑!$A$5:$A$504,0)),"미매핑"))</f>
        <v/>
      </c>
      <c r="L421" s="4">
        <f>IF($A421="","",VALUE($A421&amp;""))</f>
        <v/>
      </c>
      <c r="M421" s="4">
        <f>IF($A421="","",VALUE($B421&amp;""))</f>
        <v/>
      </c>
      <c r="N421" s="64">
        <f>IF($A421="","",$H421*설정!$C$15)</f>
        <v/>
      </c>
      <c r="O421" s="4">
        <f>IF($A421="","",J421&amp;"|"&amp;K421)</f>
        <v/>
      </c>
      <c r="P421" s="63">
        <f>IF($A421="","",IF(COUNTIFS(예산_원본!$T$5:$T$3004,O421,예산_원본!$B$5:$B$3004,설정!$C$8,예산_원본!$U$5:$U$3004,L421)&gt;0,"Y","N"))</f>
        <v/>
      </c>
      <c r="Q421" s="63">
        <f>IF($A421="","",IF(COUNTIF(집계!$E$7:$E$506,O421)&gt;0,"Y","N"))</f>
        <v/>
      </c>
    </row>
    <row r="422">
      <c r="A422" s="60" t="n">
        <v>2025</v>
      </c>
      <c r="B422" s="60" t="n">
        <v>6</v>
      </c>
      <c r="C422" s="60" t="inlineStr">
        <is>
          <t>1000</t>
        </is>
      </c>
      <c r="D422" s="60" t="n">
        <v>1401</v>
      </c>
      <c r="E422" s="60" t="inlineStr">
        <is>
          <t>상품개발</t>
        </is>
      </c>
      <c r="F422" s="60" t="n">
        <v>62401000</v>
      </c>
      <c r="G422" s="60" t="inlineStr">
        <is>
          <t>도서인쇄비</t>
        </is>
      </c>
      <c r="H422" s="61" t="n">
        <v>880670</v>
      </c>
      <c r="J422" s="63">
        <f>IF($A422="","",IFERROR(INDEX(부서매핑!$C$5:$C$504,MATCH($D422&amp;"",부서매핑!$A$5:$A$504,0)),"미매핑"))</f>
        <v/>
      </c>
      <c r="K422" s="63">
        <f>IF($A422="","",IFERROR(INDEX(계정매핑!$C$5:$C$504,MATCH($F422&amp;"",계정매핑!$A$5:$A$504,0)),"미매핑"))</f>
        <v/>
      </c>
      <c r="L422" s="4">
        <f>IF($A422="","",VALUE($A422&amp;""))</f>
        <v/>
      </c>
      <c r="M422" s="4">
        <f>IF($A422="","",VALUE($B422&amp;""))</f>
        <v/>
      </c>
      <c r="N422" s="64">
        <f>IF($A422="","",$H422*설정!$C$15)</f>
        <v/>
      </c>
      <c r="O422" s="4">
        <f>IF($A422="","",J422&amp;"|"&amp;K422)</f>
        <v/>
      </c>
      <c r="P422" s="63">
        <f>IF($A422="","",IF(COUNTIFS(예산_원본!$T$5:$T$3004,O422,예산_원본!$B$5:$B$3004,설정!$C$8,예산_원본!$U$5:$U$3004,L422)&gt;0,"Y","N"))</f>
        <v/>
      </c>
      <c r="Q422" s="63">
        <f>IF($A422="","",IF(COUNTIF(집계!$E$7:$E$506,O422)&gt;0,"Y","N"))</f>
        <v/>
      </c>
    </row>
    <row r="423">
      <c r="A423" s="60" t="n">
        <v>2025</v>
      </c>
      <c r="B423" s="60" t="n">
        <v>6</v>
      </c>
      <c r="C423" s="60" t="inlineStr">
        <is>
          <t>1000</t>
        </is>
      </c>
      <c r="D423" s="60" t="n">
        <v>1401</v>
      </c>
      <c r="E423" s="60" t="inlineStr">
        <is>
          <t>상품개발</t>
        </is>
      </c>
      <c r="F423" s="60" t="n">
        <v>62501000</v>
      </c>
      <c r="G423" s="60" t="inlineStr">
        <is>
          <t>회의비</t>
        </is>
      </c>
      <c r="H423" s="61" t="n">
        <v>487360</v>
      </c>
      <c r="J423" s="63">
        <f>IF($A423="","",IFERROR(INDEX(부서매핑!$C$5:$C$504,MATCH($D423&amp;"",부서매핑!$A$5:$A$504,0)),"미매핑"))</f>
        <v/>
      </c>
      <c r="K423" s="63">
        <f>IF($A423="","",IFERROR(INDEX(계정매핑!$C$5:$C$504,MATCH($F423&amp;"",계정매핑!$A$5:$A$504,0)),"미매핑"))</f>
        <v/>
      </c>
      <c r="L423" s="4">
        <f>IF($A423="","",VALUE($A423&amp;""))</f>
        <v/>
      </c>
      <c r="M423" s="4">
        <f>IF($A423="","",VALUE($B423&amp;""))</f>
        <v/>
      </c>
      <c r="N423" s="64">
        <f>IF($A423="","",$H423*설정!$C$15)</f>
        <v/>
      </c>
      <c r="O423" s="4">
        <f>IF($A423="","",J423&amp;"|"&amp;K423)</f>
        <v/>
      </c>
      <c r="P423" s="63">
        <f>IF($A423="","",IF(COUNTIFS(예산_원본!$T$5:$T$3004,O423,예산_원본!$B$5:$B$3004,설정!$C$8,예산_원본!$U$5:$U$3004,L423)&gt;0,"Y","N"))</f>
        <v/>
      </c>
      <c r="Q423" s="63">
        <f>IF($A423="","",IF(COUNTIF(집계!$E$7:$E$506,O423)&gt;0,"Y","N"))</f>
        <v/>
      </c>
    </row>
    <row r="424">
      <c r="A424" s="60" t="n">
        <v>2025</v>
      </c>
      <c r="B424" s="60" t="n">
        <v>6</v>
      </c>
      <c r="C424" s="60" t="inlineStr">
        <is>
          <t>1000</t>
        </is>
      </c>
      <c r="D424" s="60" t="n">
        <v>1401</v>
      </c>
      <c r="E424" s="60" t="inlineStr">
        <is>
          <t>상품개발</t>
        </is>
      </c>
      <c r="F424" s="60" t="n">
        <v>62901000</v>
      </c>
      <c r="G424" s="60" t="inlineStr">
        <is>
          <t>지급수수료-컨설팅</t>
        </is>
      </c>
      <c r="H424" s="61" t="n">
        <v>19630330</v>
      </c>
      <c r="J424" s="63">
        <f>IF($A424="","",IFERROR(INDEX(부서매핑!$C$5:$C$504,MATCH($D424&amp;"",부서매핑!$A$5:$A$504,0)),"미매핑"))</f>
        <v/>
      </c>
      <c r="K424" s="63">
        <f>IF($A424="","",IFERROR(INDEX(계정매핑!$C$5:$C$504,MATCH($F424&amp;"",계정매핑!$A$5:$A$504,0)),"미매핑"))</f>
        <v/>
      </c>
      <c r="L424" s="4">
        <f>IF($A424="","",VALUE($A424&amp;""))</f>
        <v/>
      </c>
      <c r="M424" s="4">
        <f>IF($A424="","",VALUE($B424&amp;""))</f>
        <v/>
      </c>
      <c r="N424" s="64">
        <f>IF($A424="","",$H424*설정!$C$15)</f>
        <v/>
      </c>
      <c r="O424" s="4">
        <f>IF($A424="","",J424&amp;"|"&amp;K424)</f>
        <v/>
      </c>
      <c r="P424" s="63">
        <f>IF($A424="","",IF(COUNTIFS(예산_원본!$T$5:$T$3004,O424,예산_원본!$B$5:$B$3004,설정!$C$8,예산_원본!$U$5:$U$3004,L424)&gt;0,"Y","N"))</f>
        <v/>
      </c>
      <c r="Q424" s="63">
        <f>IF($A424="","",IF(COUNTIF(집계!$E$7:$E$506,O424)&gt;0,"Y","N"))</f>
        <v/>
      </c>
    </row>
    <row r="425">
      <c r="A425" s="60" t="n">
        <v>2025</v>
      </c>
      <c r="B425" s="60" t="n">
        <v>6</v>
      </c>
      <c r="C425" s="60" t="inlineStr">
        <is>
          <t>1000</t>
        </is>
      </c>
      <c r="D425" s="60" t="n">
        <v>1401</v>
      </c>
      <c r="E425" s="60" t="inlineStr">
        <is>
          <t>상품개발</t>
        </is>
      </c>
      <c r="F425" s="60" t="n">
        <v>62902000</v>
      </c>
      <c r="G425" s="60" t="inlineStr">
        <is>
          <t>지급수수료-기타</t>
        </is>
      </c>
      <c r="H425" s="61" t="n">
        <v>8028170</v>
      </c>
      <c r="J425" s="63">
        <f>IF($A425="","",IFERROR(INDEX(부서매핑!$C$5:$C$504,MATCH($D425&amp;"",부서매핑!$A$5:$A$504,0)),"미매핑"))</f>
        <v/>
      </c>
      <c r="K425" s="63">
        <f>IF($A425="","",IFERROR(INDEX(계정매핑!$C$5:$C$504,MATCH($F425&amp;"",계정매핑!$A$5:$A$504,0)),"미매핑"))</f>
        <v/>
      </c>
      <c r="L425" s="4">
        <f>IF($A425="","",VALUE($A425&amp;""))</f>
        <v/>
      </c>
      <c r="M425" s="4">
        <f>IF($A425="","",VALUE($B425&amp;""))</f>
        <v/>
      </c>
      <c r="N425" s="64">
        <f>IF($A425="","",$H425*설정!$C$15)</f>
        <v/>
      </c>
      <c r="O425" s="4">
        <f>IF($A425="","",J425&amp;"|"&amp;K425)</f>
        <v/>
      </c>
      <c r="P425" s="63">
        <f>IF($A425="","",IF(COUNTIFS(예산_원본!$T$5:$T$3004,O425,예산_원본!$B$5:$B$3004,설정!$C$8,예산_원본!$U$5:$U$3004,L425)&gt;0,"Y","N"))</f>
        <v/>
      </c>
      <c r="Q425" s="63">
        <f>IF($A425="","",IF(COUNTIF(집계!$E$7:$E$506,O425)&gt;0,"Y","N"))</f>
        <v/>
      </c>
    </row>
    <row r="426">
      <c r="A426" s="60" t="n">
        <v>2025</v>
      </c>
      <c r="B426" s="60" t="n">
        <v>6</v>
      </c>
      <c r="C426" s="60" t="inlineStr">
        <is>
          <t>1000</t>
        </is>
      </c>
      <c r="D426" s="60" t="n">
        <v>1501</v>
      </c>
      <c r="E426" s="60" t="inlineStr">
        <is>
          <t>마케팅전략</t>
        </is>
      </c>
      <c r="F426" s="60" t="n">
        <v>62101000</v>
      </c>
      <c r="G426" s="60" t="inlineStr">
        <is>
          <t>여비교통비-국내</t>
        </is>
      </c>
      <c r="H426" s="61" t="n">
        <v>1711890</v>
      </c>
      <c r="J426" s="63">
        <f>IF($A426="","",IFERROR(INDEX(부서매핑!$C$5:$C$504,MATCH($D426&amp;"",부서매핑!$A$5:$A$504,0)),"미매핑"))</f>
        <v/>
      </c>
      <c r="K426" s="63">
        <f>IF($A426="","",IFERROR(INDEX(계정매핑!$C$5:$C$504,MATCH($F426&amp;"",계정매핑!$A$5:$A$504,0)),"미매핑"))</f>
        <v/>
      </c>
      <c r="L426" s="4">
        <f>IF($A426="","",VALUE($A426&amp;""))</f>
        <v/>
      </c>
      <c r="M426" s="4">
        <f>IF($A426="","",VALUE($B426&amp;""))</f>
        <v/>
      </c>
      <c r="N426" s="64">
        <f>IF($A426="","",$H426*설정!$C$15)</f>
        <v/>
      </c>
      <c r="O426" s="4">
        <f>IF($A426="","",J426&amp;"|"&amp;K426)</f>
        <v/>
      </c>
      <c r="P426" s="63">
        <f>IF($A426="","",IF(COUNTIFS(예산_원본!$T$5:$T$3004,O426,예산_원본!$B$5:$B$3004,설정!$C$8,예산_원본!$U$5:$U$3004,L426)&gt;0,"Y","N"))</f>
        <v/>
      </c>
      <c r="Q426" s="63">
        <f>IF($A426="","",IF(COUNTIF(집계!$E$7:$E$506,O426)&gt;0,"Y","N"))</f>
        <v/>
      </c>
    </row>
    <row r="427">
      <c r="A427" s="60" t="n">
        <v>2025</v>
      </c>
      <c r="B427" s="60" t="n">
        <v>6</v>
      </c>
      <c r="C427" s="60" t="inlineStr">
        <is>
          <t>1000</t>
        </is>
      </c>
      <c r="D427" s="60" t="n">
        <v>1501</v>
      </c>
      <c r="E427" s="60" t="inlineStr">
        <is>
          <t>마케팅전략</t>
        </is>
      </c>
      <c r="F427" s="60" t="n">
        <v>62102000</v>
      </c>
      <c r="G427" s="60" t="inlineStr">
        <is>
          <t>여비교통비-해외</t>
        </is>
      </c>
      <c r="H427" s="61" t="n">
        <v>313330</v>
      </c>
      <c r="J427" s="63">
        <f>IF($A427="","",IFERROR(INDEX(부서매핑!$C$5:$C$504,MATCH($D427&amp;"",부서매핑!$A$5:$A$504,0)),"미매핑"))</f>
        <v/>
      </c>
      <c r="K427" s="63">
        <f>IF($A427="","",IFERROR(INDEX(계정매핑!$C$5:$C$504,MATCH($F427&amp;"",계정매핑!$A$5:$A$504,0)),"미매핑"))</f>
        <v/>
      </c>
      <c r="L427" s="4">
        <f>IF($A427="","",VALUE($A427&amp;""))</f>
        <v/>
      </c>
      <c r="M427" s="4">
        <f>IF($A427="","",VALUE($B427&amp;""))</f>
        <v/>
      </c>
      <c r="N427" s="64">
        <f>IF($A427="","",$H427*설정!$C$15)</f>
        <v/>
      </c>
      <c r="O427" s="4">
        <f>IF($A427="","",J427&amp;"|"&amp;K427)</f>
        <v/>
      </c>
      <c r="P427" s="63">
        <f>IF($A427="","",IF(COUNTIFS(예산_원본!$T$5:$T$3004,O427,예산_원본!$B$5:$B$3004,설정!$C$8,예산_원본!$U$5:$U$3004,L427)&gt;0,"Y","N"))</f>
        <v/>
      </c>
      <c r="Q427" s="63">
        <f>IF($A427="","",IF(COUNTIF(집계!$E$7:$E$506,O427)&gt;0,"Y","N"))</f>
        <v/>
      </c>
    </row>
    <row r="428">
      <c r="A428" s="60" t="n">
        <v>2025</v>
      </c>
      <c r="B428" s="60" t="n">
        <v>6</v>
      </c>
      <c r="C428" s="60" t="inlineStr">
        <is>
          <t>1000</t>
        </is>
      </c>
      <c r="D428" s="60" t="n">
        <v>1501</v>
      </c>
      <c r="E428" s="60" t="inlineStr">
        <is>
          <t>마케팅전략</t>
        </is>
      </c>
      <c r="F428" s="60" t="n">
        <v>62201000</v>
      </c>
      <c r="G428" s="60" t="inlineStr">
        <is>
          <t>통신비</t>
        </is>
      </c>
      <c r="H428" s="61" t="n">
        <v>508200</v>
      </c>
      <c r="J428" s="63">
        <f>IF($A428="","",IFERROR(INDEX(부서매핑!$C$5:$C$504,MATCH($D428&amp;"",부서매핑!$A$5:$A$504,0)),"미매핑"))</f>
        <v/>
      </c>
      <c r="K428" s="63">
        <f>IF($A428="","",IFERROR(INDEX(계정매핑!$C$5:$C$504,MATCH($F428&amp;"",계정매핑!$A$5:$A$504,0)),"미매핑"))</f>
        <v/>
      </c>
      <c r="L428" s="4">
        <f>IF($A428="","",VALUE($A428&amp;""))</f>
        <v/>
      </c>
      <c r="M428" s="4">
        <f>IF($A428="","",VALUE($B428&amp;""))</f>
        <v/>
      </c>
      <c r="N428" s="64">
        <f>IF($A428="","",$H428*설정!$C$15)</f>
        <v/>
      </c>
      <c r="O428" s="4">
        <f>IF($A428="","",J428&amp;"|"&amp;K428)</f>
        <v/>
      </c>
      <c r="P428" s="63">
        <f>IF($A428="","",IF(COUNTIFS(예산_원본!$T$5:$T$3004,O428,예산_원본!$B$5:$B$3004,설정!$C$8,예산_원본!$U$5:$U$3004,L428)&gt;0,"Y","N"))</f>
        <v/>
      </c>
      <c r="Q428" s="63">
        <f>IF($A428="","",IF(COUNTIF(집계!$E$7:$E$506,O428)&gt;0,"Y","N"))</f>
        <v/>
      </c>
    </row>
    <row r="429">
      <c r="A429" s="60" t="n">
        <v>2025</v>
      </c>
      <c r="B429" s="60" t="n">
        <v>6</v>
      </c>
      <c r="C429" s="60" t="inlineStr">
        <is>
          <t>1000</t>
        </is>
      </c>
      <c r="D429" s="60" t="n">
        <v>1501</v>
      </c>
      <c r="E429" s="60" t="inlineStr">
        <is>
          <t>마케팅전략</t>
        </is>
      </c>
      <c r="F429" s="60" t="n">
        <v>62301000</v>
      </c>
      <c r="G429" s="60" t="inlineStr">
        <is>
          <t>소모품비</t>
        </is>
      </c>
      <c r="H429" s="61" t="n">
        <v>454360</v>
      </c>
      <c r="J429" s="63">
        <f>IF($A429="","",IFERROR(INDEX(부서매핑!$C$5:$C$504,MATCH($D429&amp;"",부서매핑!$A$5:$A$504,0)),"미매핑"))</f>
        <v/>
      </c>
      <c r="K429" s="63">
        <f>IF($A429="","",IFERROR(INDEX(계정매핑!$C$5:$C$504,MATCH($F429&amp;"",계정매핑!$A$5:$A$504,0)),"미매핑"))</f>
        <v/>
      </c>
      <c r="L429" s="4">
        <f>IF($A429="","",VALUE($A429&amp;""))</f>
        <v/>
      </c>
      <c r="M429" s="4">
        <f>IF($A429="","",VALUE($B429&amp;""))</f>
        <v/>
      </c>
      <c r="N429" s="64">
        <f>IF($A429="","",$H429*설정!$C$15)</f>
        <v/>
      </c>
      <c r="O429" s="4">
        <f>IF($A429="","",J429&amp;"|"&amp;K429)</f>
        <v/>
      </c>
      <c r="P429" s="63">
        <f>IF($A429="","",IF(COUNTIFS(예산_원본!$T$5:$T$3004,O429,예산_원본!$B$5:$B$3004,설정!$C$8,예산_원본!$U$5:$U$3004,L429)&gt;0,"Y","N"))</f>
        <v/>
      </c>
      <c r="Q429" s="63">
        <f>IF($A429="","",IF(COUNTIF(집계!$E$7:$E$506,O429)&gt;0,"Y","N"))</f>
        <v/>
      </c>
    </row>
    <row r="430">
      <c r="A430" s="60" t="n">
        <v>2025</v>
      </c>
      <c r="B430" s="60" t="n">
        <v>6</v>
      </c>
      <c r="C430" s="60" t="inlineStr">
        <is>
          <t>1000</t>
        </is>
      </c>
      <c r="D430" s="60" t="n">
        <v>1501</v>
      </c>
      <c r="E430" s="60" t="inlineStr">
        <is>
          <t>마케팅전략</t>
        </is>
      </c>
      <c r="F430" s="60" t="n">
        <v>62401000</v>
      </c>
      <c r="G430" s="60" t="inlineStr">
        <is>
          <t>도서인쇄비</t>
        </is>
      </c>
      <c r="H430" s="61" t="n">
        <v>3369800</v>
      </c>
      <c r="J430" s="63">
        <f>IF($A430="","",IFERROR(INDEX(부서매핑!$C$5:$C$504,MATCH($D430&amp;"",부서매핑!$A$5:$A$504,0)),"미매핑"))</f>
        <v/>
      </c>
      <c r="K430" s="63">
        <f>IF($A430="","",IFERROR(INDEX(계정매핑!$C$5:$C$504,MATCH($F430&amp;"",계정매핑!$A$5:$A$504,0)),"미매핑"))</f>
        <v/>
      </c>
      <c r="L430" s="4">
        <f>IF($A430="","",VALUE($A430&amp;""))</f>
        <v/>
      </c>
      <c r="M430" s="4">
        <f>IF($A430="","",VALUE($B430&amp;""))</f>
        <v/>
      </c>
      <c r="N430" s="64">
        <f>IF($A430="","",$H430*설정!$C$15)</f>
        <v/>
      </c>
      <c r="O430" s="4">
        <f>IF($A430="","",J430&amp;"|"&amp;K430)</f>
        <v/>
      </c>
      <c r="P430" s="63">
        <f>IF($A430="","",IF(COUNTIFS(예산_원본!$T$5:$T$3004,O430,예산_원본!$B$5:$B$3004,설정!$C$8,예산_원본!$U$5:$U$3004,L430)&gt;0,"Y","N"))</f>
        <v/>
      </c>
      <c r="Q430" s="63">
        <f>IF($A430="","",IF(COUNTIF(집계!$E$7:$E$506,O430)&gt;0,"Y","N"))</f>
        <v/>
      </c>
    </row>
    <row r="431">
      <c r="A431" s="60" t="n">
        <v>2025</v>
      </c>
      <c r="B431" s="60" t="n">
        <v>6</v>
      </c>
      <c r="C431" s="60" t="inlineStr">
        <is>
          <t>1000</t>
        </is>
      </c>
      <c r="D431" s="60" t="n">
        <v>1501</v>
      </c>
      <c r="E431" s="60" t="inlineStr">
        <is>
          <t>마케팅전략</t>
        </is>
      </c>
      <c r="F431" s="60" t="n">
        <v>62501000</v>
      </c>
      <c r="G431" s="60" t="inlineStr">
        <is>
          <t>회의비</t>
        </is>
      </c>
      <c r="H431" s="61" t="n">
        <v>668140</v>
      </c>
      <c r="J431" s="63">
        <f>IF($A431="","",IFERROR(INDEX(부서매핑!$C$5:$C$504,MATCH($D431&amp;"",부서매핑!$A$5:$A$504,0)),"미매핑"))</f>
        <v/>
      </c>
      <c r="K431" s="63">
        <f>IF($A431="","",IFERROR(INDEX(계정매핑!$C$5:$C$504,MATCH($F431&amp;"",계정매핑!$A$5:$A$504,0)),"미매핑"))</f>
        <v/>
      </c>
      <c r="L431" s="4">
        <f>IF($A431="","",VALUE($A431&amp;""))</f>
        <v/>
      </c>
      <c r="M431" s="4">
        <f>IF($A431="","",VALUE($B431&amp;""))</f>
        <v/>
      </c>
      <c r="N431" s="64">
        <f>IF($A431="","",$H431*설정!$C$15)</f>
        <v/>
      </c>
      <c r="O431" s="4">
        <f>IF($A431="","",J431&amp;"|"&amp;K431)</f>
        <v/>
      </c>
      <c r="P431" s="63">
        <f>IF($A431="","",IF(COUNTIFS(예산_원본!$T$5:$T$3004,O431,예산_원본!$B$5:$B$3004,설정!$C$8,예산_원본!$U$5:$U$3004,L431)&gt;0,"Y","N"))</f>
        <v/>
      </c>
      <c r="Q431" s="63">
        <f>IF($A431="","",IF(COUNTIF(집계!$E$7:$E$506,O431)&gt;0,"Y","N"))</f>
        <v/>
      </c>
    </row>
    <row r="432">
      <c r="A432" s="60" t="n">
        <v>2025</v>
      </c>
      <c r="B432" s="60" t="n">
        <v>6</v>
      </c>
      <c r="C432" s="60" t="inlineStr">
        <is>
          <t>1000</t>
        </is>
      </c>
      <c r="D432" s="60" t="n">
        <v>1501</v>
      </c>
      <c r="E432" s="60" t="inlineStr">
        <is>
          <t>마케팅전략</t>
        </is>
      </c>
      <c r="F432" s="60" t="n">
        <v>62601000</v>
      </c>
      <c r="G432" s="60" t="inlineStr">
        <is>
          <t>업무추진비</t>
        </is>
      </c>
      <c r="H432" s="61" t="n">
        <v>1520640</v>
      </c>
      <c r="J432" s="63">
        <f>IF($A432="","",IFERROR(INDEX(부서매핑!$C$5:$C$504,MATCH($D432&amp;"",부서매핑!$A$5:$A$504,0)),"미매핑"))</f>
        <v/>
      </c>
      <c r="K432" s="63">
        <f>IF($A432="","",IFERROR(INDEX(계정매핑!$C$5:$C$504,MATCH($F432&amp;"",계정매핑!$A$5:$A$504,0)),"미매핑"))</f>
        <v/>
      </c>
      <c r="L432" s="4">
        <f>IF($A432="","",VALUE($A432&amp;""))</f>
        <v/>
      </c>
      <c r="M432" s="4">
        <f>IF($A432="","",VALUE($B432&amp;""))</f>
        <v/>
      </c>
      <c r="N432" s="64">
        <f>IF($A432="","",$H432*설정!$C$15)</f>
        <v/>
      </c>
      <c r="O432" s="4">
        <f>IF($A432="","",J432&amp;"|"&amp;K432)</f>
        <v/>
      </c>
      <c r="P432" s="63">
        <f>IF($A432="","",IF(COUNTIFS(예산_원본!$T$5:$T$3004,O432,예산_원본!$B$5:$B$3004,설정!$C$8,예산_원본!$U$5:$U$3004,L432)&gt;0,"Y","N"))</f>
        <v/>
      </c>
      <c r="Q432" s="63">
        <f>IF($A432="","",IF(COUNTIF(집계!$E$7:$E$506,O432)&gt;0,"Y","N"))</f>
        <v/>
      </c>
    </row>
    <row r="433">
      <c r="A433" s="60" t="n">
        <v>2025</v>
      </c>
      <c r="B433" s="60" t="n">
        <v>6</v>
      </c>
      <c r="C433" s="60" t="inlineStr">
        <is>
          <t>1000</t>
        </is>
      </c>
      <c r="D433" s="60" t="n">
        <v>1501</v>
      </c>
      <c r="E433" s="60" t="inlineStr">
        <is>
          <t>마케팅전략</t>
        </is>
      </c>
      <c r="F433" s="60" t="n">
        <v>62701000</v>
      </c>
      <c r="G433" s="60" t="inlineStr">
        <is>
          <t>광고선전비</t>
        </is>
      </c>
      <c r="H433" s="61" t="n">
        <v>70276500</v>
      </c>
      <c r="J433" s="63">
        <f>IF($A433="","",IFERROR(INDEX(부서매핑!$C$5:$C$504,MATCH($D433&amp;"",부서매핑!$A$5:$A$504,0)),"미매핑"))</f>
        <v/>
      </c>
      <c r="K433" s="63">
        <f>IF($A433="","",IFERROR(INDEX(계정매핑!$C$5:$C$504,MATCH($F433&amp;"",계정매핑!$A$5:$A$504,0)),"미매핑"))</f>
        <v/>
      </c>
      <c r="L433" s="4">
        <f>IF($A433="","",VALUE($A433&amp;""))</f>
        <v/>
      </c>
      <c r="M433" s="4">
        <f>IF($A433="","",VALUE($B433&amp;""))</f>
        <v/>
      </c>
      <c r="N433" s="64">
        <f>IF($A433="","",$H433*설정!$C$15)</f>
        <v/>
      </c>
      <c r="O433" s="4">
        <f>IF($A433="","",J433&amp;"|"&amp;K433)</f>
        <v/>
      </c>
      <c r="P433" s="63">
        <f>IF($A433="","",IF(COUNTIFS(예산_원본!$T$5:$T$3004,O433,예산_원본!$B$5:$B$3004,설정!$C$8,예산_원본!$U$5:$U$3004,L433)&gt;0,"Y","N"))</f>
        <v/>
      </c>
      <c r="Q433" s="63">
        <f>IF($A433="","",IF(COUNTIF(집계!$E$7:$E$506,O433)&gt;0,"Y","N"))</f>
        <v/>
      </c>
    </row>
    <row r="434">
      <c r="A434" s="60" t="n">
        <v>2025</v>
      </c>
      <c r="B434" s="60" t="n">
        <v>6</v>
      </c>
      <c r="C434" s="60" t="inlineStr">
        <is>
          <t>1000</t>
        </is>
      </c>
      <c r="D434" s="60" t="n">
        <v>1502</v>
      </c>
      <c r="E434" s="60" t="inlineStr">
        <is>
          <t>디지털마케팅</t>
        </is>
      </c>
      <c r="F434" s="60" t="n">
        <v>62101000</v>
      </c>
      <c r="G434" s="60" t="inlineStr">
        <is>
          <t>여비교통비-국내</t>
        </is>
      </c>
      <c r="H434" s="61" t="n">
        <v>1140670</v>
      </c>
      <c r="J434" s="63">
        <f>IF($A434="","",IFERROR(INDEX(부서매핑!$C$5:$C$504,MATCH($D434&amp;"",부서매핑!$A$5:$A$504,0)),"미매핑"))</f>
        <v/>
      </c>
      <c r="K434" s="63">
        <f>IF($A434="","",IFERROR(INDEX(계정매핑!$C$5:$C$504,MATCH($F434&amp;"",계정매핑!$A$5:$A$504,0)),"미매핑"))</f>
        <v/>
      </c>
      <c r="L434" s="4">
        <f>IF($A434="","",VALUE($A434&amp;""))</f>
        <v/>
      </c>
      <c r="M434" s="4">
        <f>IF($A434="","",VALUE($B434&amp;""))</f>
        <v/>
      </c>
      <c r="N434" s="64">
        <f>IF($A434="","",$H434*설정!$C$15)</f>
        <v/>
      </c>
      <c r="O434" s="4">
        <f>IF($A434="","",J434&amp;"|"&amp;K434)</f>
        <v/>
      </c>
      <c r="P434" s="63">
        <f>IF($A434="","",IF(COUNTIFS(예산_원본!$T$5:$T$3004,O434,예산_원본!$B$5:$B$3004,설정!$C$8,예산_원본!$U$5:$U$3004,L434)&gt;0,"Y","N"))</f>
        <v/>
      </c>
      <c r="Q434" s="63">
        <f>IF($A434="","",IF(COUNTIF(집계!$E$7:$E$506,O434)&gt;0,"Y","N"))</f>
        <v/>
      </c>
    </row>
    <row r="435">
      <c r="A435" s="60" t="n">
        <v>2025</v>
      </c>
      <c r="B435" s="60" t="n">
        <v>6</v>
      </c>
      <c r="C435" s="60" t="inlineStr">
        <is>
          <t>1000</t>
        </is>
      </c>
      <c r="D435" s="60" t="n">
        <v>1502</v>
      </c>
      <c r="E435" s="60" t="inlineStr">
        <is>
          <t>디지털마케팅</t>
        </is>
      </c>
      <c r="F435" s="60" t="n">
        <v>62102000</v>
      </c>
      <c r="G435" s="60" t="inlineStr">
        <is>
          <t>여비교통비-해외</t>
        </is>
      </c>
      <c r="H435" s="61" t="n">
        <v>187790</v>
      </c>
      <c r="J435" s="63">
        <f>IF($A435="","",IFERROR(INDEX(부서매핑!$C$5:$C$504,MATCH($D435&amp;"",부서매핑!$A$5:$A$504,0)),"미매핑"))</f>
        <v/>
      </c>
      <c r="K435" s="63">
        <f>IF($A435="","",IFERROR(INDEX(계정매핑!$C$5:$C$504,MATCH($F435&amp;"",계정매핑!$A$5:$A$504,0)),"미매핑"))</f>
        <v/>
      </c>
      <c r="L435" s="4">
        <f>IF($A435="","",VALUE($A435&amp;""))</f>
        <v/>
      </c>
      <c r="M435" s="4">
        <f>IF($A435="","",VALUE($B435&amp;""))</f>
        <v/>
      </c>
      <c r="N435" s="64">
        <f>IF($A435="","",$H435*설정!$C$15)</f>
        <v/>
      </c>
      <c r="O435" s="4">
        <f>IF($A435="","",J435&amp;"|"&amp;K435)</f>
        <v/>
      </c>
      <c r="P435" s="63">
        <f>IF($A435="","",IF(COUNTIFS(예산_원본!$T$5:$T$3004,O435,예산_원본!$B$5:$B$3004,설정!$C$8,예산_원본!$U$5:$U$3004,L435)&gt;0,"Y","N"))</f>
        <v/>
      </c>
      <c r="Q435" s="63">
        <f>IF($A435="","",IF(COUNTIF(집계!$E$7:$E$506,O435)&gt;0,"Y","N"))</f>
        <v/>
      </c>
    </row>
    <row r="436">
      <c r="A436" s="60" t="n">
        <v>2025</v>
      </c>
      <c r="B436" s="60" t="n">
        <v>6</v>
      </c>
      <c r="C436" s="60" t="inlineStr">
        <is>
          <t>1000</t>
        </is>
      </c>
      <c r="D436" s="60" t="n">
        <v>1502</v>
      </c>
      <c r="E436" s="60" t="inlineStr">
        <is>
          <t>디지털마케팅</t>
        </is>
      </c>
      <c r="F436" s="60" t="n">
        <v>62201000</v>
      </c>
      <c r="G436" s="60" t="inlineStr">
        <is>
          <t>통신비</t>
        </is>
      </c>
      <c r="H436" s="61" t="n">
        <v>352530</v>
      </c>
      <c r="J436" s="63">
        <f>IF($A436="","",IFERROR(INDEX(부서매핑!$C$5:$C$504,MATCH($D436&amp;"",부서매핑!$A$5:$A$504,0)),"미매핑"))</f>
        <v/>
      </c>
      <c r="K436" s="63">
        <f>IF($A436="","",IFERROR(INDEX(계정매핑!$C$5:$C$504,MATCH($F436&amp;"",계정매핑!$A$5:$A$504,0)),"미매핑"))</f>
        <v/>
      </c>
      <c r="L436" s="4">
        <f>IF($A436="","",VALUE($A436&amp;""))</f>
        <v/>
      </c>
      <c r="M436" s="4">
        <f>IF($A436="","",VALUE($B436&amp;""))</f>
        <v/>
      </c>
      <c r="N436" s="64">
        <f>IF($A436="","",$H436*설정!$C$15)</f>
        <v/>
      </c>
      <c r="O436" s="4">
        <f>IF($A436="","",J436&amp;"|"&amp;K436)</f>
        <v/>
      </c>
      <c r="P436" s="63">
        <f>IF($A436="","",IF(COUNTIFS(예산_원본!$T$5:$T$3004,O436,예산_원본!$B$5:$B$3004,설정!$C$8,예산_원본!$U$5:$U$3004,L436)&gt;0,"Y","N"))</f>
        <v/>
      </c>
      <c r="Q436" s="63">
        <f>IF($A436="","",IF(COUNTIF(집계!$E$7:$E$506,O436)&gt;0,"Y","N"))</f>
        <v/>
      </c>
    </row>
    <row r="437">
      <c r="A437" s="60" t="n">
        <v>2025</v>
      </c>
      <c r="B437" s="60" t="n">
        <v>6</v>
      </c>
      <c r="C437" s="60" t="inlineStr">
        <is>
          <t>1000</t>
        </is>
      </c>
      <c r="D437" s="60" t="n">
        <v>1502</v>
      </c>
      <c r="E437" s="60" t="inlineStr">
        <is>
          <t>디지털마케팅</t>
        </is>
      </c>
      <c r="F437" s="60" t="n">
        <v>62301000</v>
      </c>
      <c r="G437" s="60" t="inlineStr">
        <is>
          <t>소모품비</t>
        </is>
      </c>
      <c r="H437" s="61" t="n">
        <v>336630</v>
      </c>
      <c r="J437" s="63">
        <f>IF($A437="","",IFERROR(INDEX(부서매핑!$C$5:$C$504,MATCH($D437&amp;"",부서매핑!$A$5:$A$504,0)),"미매핑"))</f>
        <v/>
      </c>
      <c r="K437" s="63">
        <f>IF($A437="","",IFERROR(INDEX(계정매핑!$C$5:$C$504,MATCH($F437&amp;"",계정매핑!$A$5:$A$504,0)),"미매핑"))</f>
        <v/>
      </c>
      <c r="L437" s="4">
        <f>IF($A437="","",VALUE($A437&amp;""))</f>
        <v/>
      </c>
      <c r="M437" s="4">
        <f>IF($A437="","",VALUE($B437&amp;""))</f>
        <v/>
      </c>
      <c r="N437" s="64">
        <f>IF($A437="","",$H437*설정!$C$15)</f>
        <v/>
      </c>
      <c r="O437" s="4">
        <f>IF($A437="","",J437&amp;"|"&amp;K437)</f>
        <v/>
      </c>
      <c r="P437" s="63">
        <f>IF($A437="","",IF(COUNTIFS(예산_원본!$T$5:$T$3004,O437,예산_원본!$B$5:$B$3004,설정!$C$8,예산_원본!$U$5:$U$3004,L437)&gt;0,"Y","N"))</f>
        <v/>
      </c>
      <c r="Q437" s="63">
        <f>IF($A437="","",IF(COUNTIF(집계!$E$7:$E$506,O437)&gt;0,"Y","N"))</f>
        <v/>
      </c>
    </row>
    <row r="438">
      <c r="A438" s="60" t="n">
        <v>2025</v>
      </c>
      <c r="B438" s="60" t="n">
        <v>6</v>
      </c>
      <c r="C438" s="60" t="inlineStr">
        <is>
          <t>1000</t>
        </is>
      </c>
      <c r="D438" s="60" t="n">
        <v>1502</v>
      </c>
      <c r="E438" s="60" t="inlineStr">
        <is>
          <t>디지털마케팅</t>
        </is>
      </c>
      <c r="F438" s="60" t="n">
        <v>62401000</v>
      </c>
      <c r="G438" s="60" t="inlineStr">
        <is>
          <t>도서인쇄비</t>
        </is>
      </c>
      <c r="H438" s="61" t="n">
        <v>2056980</v>
      </c>
      <c r="J438" s="63">
        <f>IF($A438="","",IFERROR(INDEX(부서매핑!$C$5:$C$504,MATCH($D438&amp;"",부서매핑!$A$5:$A$504,0)),"미매핑"))</f>
        <v/>
      </c>
      <c r="K438" s="63">
        <f>IF($A438="","",IFERROR(INDEX(계정매핑!$C$5:$C$504,MATCH($F438&amp;"",계정매핑!$A$5:$A$504,0)),"미매핑"))</f>
        <v/>
      </c>
      <c r="L438" s="4">
        <f>IF($A438="","",VALUE($A438&amp;""))</f>
        <v/>
      </c>
      <c r="M438" s="4">
        <f>IF($A438="","",VALUE($B438&amp;""))</f>
        <v/>
      </c>
      <c r="N438" s="64">
        <f>IF($A438="","",$H438*설정!$C$15)</f>
        <v/>
      </c>
      <c r="O438" s="4">
        <f>IF($A438="","",J438&amp;"|"&amp;K438)</f>
        <v/>
      </c>
      <c r="P438" s="63">
        <f>IF($A438="","",IF(COUNTIFS(예산_원본!$T$5:$T$3004,O438,예산_원본!$B$5:$B$3004,설정!$C$8,예산_원본!$U$5:$U$3004,L438)&gt;0,"Y","N"))</f>
        <v/>
      </c>
      <c r="Q438" s="63">
        <f>IF($A438="","",IF(COUNTIF(집계!$E$7:$E$506,O438)&gt;0,"Y","N"))</f>
        <v/>
      </c>
    </row>
    <row r="439">
      <c r="A439" s="60" t="n">
        <v>2025</v>
      </c>
      <c r="B439" s="60" t="n">
        <v>6</v>
      </c>
      <c r="C439" s="60" t="inlineStr">
        <is>
          <t>1000</t>
        </is>
      </c>
      <c r="D439" s="60" t="n">
        <v>1502</v>
      </c>
      <c r="E439" s="60" t="inlineStr">
        <is>
          <t>디지털마케팅</t>
        </is>
      </c>
      <c r="F439" s="60" t="n">
        <v>62501000</v>
      </c>
      <c r="G439" s="60" t="inlineStr">
        <is>
          <t>회의비</t>
        </is>
      </c>
      <c r="H439" s="61" t="n">
        <v>373220</v>
      </c>
      <c r="J439" s="63">
        <f>IF($A439="","",IFERROR(INDEX(부서매핑!$C$5:$C$504,MATCH($D439&amp;"",부서매핑!$A$5:$A$504,0)),"미매핑"))</f>
        <v/>
      </c>
      <c r="K439" s="63">
        <f>IF($A439="","",IFERROR(INDEX(계정매핑!$C$5:$C$504,MATCH($F439&amp;"",계정매핑!$A$5:$A$504,0)),"미매핑"))</f>
        <v/>
      </c>
      <c r="L439" s="4">
        <f>IF($A439="","",VALUE($A439&amp;""))</f>
        <v/>
      </c>
      <c r="M439" s="4">
        <f>IF($A439="","",VALUE($B439&amp;""))</f>
        <v/>
      </c>
      <c r="N439" s="64">
        <f>IF($A439="","",$H439*설정!$C$15)</f>
        <v/>
      </c>
      <c r="O439" s="4">
        <f>IF($A439="","",J439&amp;"|"&amp;K439)</f>
        <v/>
      </c>
      <c r="P439" s="63">
        <f>IF($A439="","",IF(COUNTIFS(예산_원본!$T$5:$T$3004,O439,예산_원본!$B$5:$B$3004,설정!$C$8,예산_원본!$U$5:$U$3004,L439)&gt;0,"Y","N"))</f>
        <v/>
      </c>
      <c r="Q439" s="63">
        <f>IF($A439="","",IF(COUNTIF(집계!$E$7:$E$506,O439)&gt;0,"Y","N"))</f>
        <v/>
      </c>
    </row>
    <row r="440">
      <c r="A440" s="60" t="n">
        <v>2025</v>
      </c>
      <c r="B440" s="60" t="n">
        <v>6</v>
      </c>
      <c r="C440" s="60" t="inlineStr">
        <is>
          <t>1000</t>
        </is>
      </c>
      <c r="D440" s="60" t="n">
        <v>1502</v>
      </c>
      <c r="E440" s="60" t="inlineStr">
        <is>
          <t>디지털마케팅</t>
        </is>
      </c>
      <c r="F440" s="60" t="n">
        <v>62601000</v>
      </c>
      <c r="G440" s="60" t="inlineStr">
        <is>
          <t>업무추진비</t>
        </is>
      </c>
      <c r="H440" s="61" t="n">
        <v>1031370</v>
      </c>
      <c r="J440" s="63">
        <f>IF($A440="","",IFERROR(INDEX(부서매핑!$C$5:$C$504,MATCH($D440&amp;"",부서매핑!$A$5:$A$504,0)),"미매핑"))</f>
        <v/>
      </c>
      <c r="K440" s="63">
        <f>IF($A440="","",IFERROR(INDEX(계정매핑!$C$5:$C$504,MATCH($F440&amp;"",계정매핑!$A$5:$A$504,0)),"미매핑"))</f>
        <v/>
      </c>
      <c r="L440" s="4">
        <f>IF($A440="","",VALUE($A440&amp;""))</f>
        <v/>
      </c>
      <c r="M440" s="4">
        <f>IF($A440="","",VALUE($B440&amp;""))</f>
        <v/>
      </c>
      <c r="N440" s="64">
        <f>IF($A440="","",$H440*설정!$C$15)</f>
        <v/>
      </c>
      <c r="O440" s="4">
        <f>IF($A440="","",J440&amp;"|"&amp;K440)</f>
        <v/>
      </c>
      <c r="P440" s="63">
        <f>IF($A440="","",IF(COUNTIFS(예산_원본!$T$5:$T$3004,O440,예산_원본!$B$5:$B$3004,설정!$C$8,예산_원본!$U$5:$U$3004,L440)&gt;0,"Y","N"))</f>
        <v/>
      </c>
      <c r="Q440" s="63">
        <f>IF($A440="","",IF(COUNTIF(집계!$E$7:$E$506,O440)&gt;0,"Y","N"))</f>
        <v/>
      </c>
    </row>
    <row r="441">
      <c r="A441" s="60" t="n">
        <v>2025</v>
      </c>
      <c r="B441" s="60" t="n">
        <v>6</v>
      </c>
      <c r="C441" s="60" t="inlineStr">
        <is>
          <t>1000</t>
        </is>
      </c>
      <c r="D441" s="60" t="n">
        <v>1502</v>
      </c>
      <c r="E441" s="60" t="inlineStr">
        <is>
          <t>디지털마케팅</t>
        </is>
      </c>
      <c r="F441" s="60" t="n">
        <v>62701000</v>
      </c>
      <c r="G441" s="60" t="inlineStr">
        <is>
          <t>광고선전비</t>
        </is>
      </c>
      <c r="H441" s="61" t="n">
        <v>40351470</v>
      </c>
      <c r="J441" s="63">
        <f>IF($A441="","",IFERROR(INDEX(부서매핑!$C$5:$C$504,MATCH($D441&amp;"",부서매핑!$A$5:$A$504,0)),"미매핑"))</f>
        <v/>
      </c>
      <c r="K441" s="63">
        <f>IF($A441="","",IFERROR(INDEX(계정매핑!$C$5:$C$504,MATCH($F441&amp;"",계정매핑!$A$5:$A$504,0)),"미매핑"))</f>
        <v/>
      </c>
      <c r="L441" s="4">
        <f>IF($A441="","",VALUE($A441&amp;""))</f>
        <v/>
      </c>
      <c r="M441" s="4">
        <f>IF($A441="","",VALUE($B441&amp;""))</f>
        <v/>
      </c>
      <c r="N441" s="64">
        <f>IF($A441="","",$H441*설정!$C$15)</f>
        <v/>
      </c>
      <c r="O441" s="4">
        <f>IF($A441="","",J441&amp;"|"&amp;K441)</f>
        <v/>
      </c>
      <c r="P441" s="63">
        <f>IF($A441="","",IF(COUNTIFS(예산_원본!$T$5:$T$3004,O441,예산_원본!$B$5:$B$3004,설정!$C$8,예산_원본!$U$5:$U$3004,L441)&gt;0,"Y","N"))</f>
        <v/>
      </c>
      <c r="Q441" s="63">
        <f>IF($A441="","",IF(COUNTIF(집계!$E$7:$E$506,O441)&gt;0,"Y","N"))</f>
        <v/>
      </c>
    </row>
    <row r="442">
      <c r="A442" s="60" t="n">
        <v>2025</v>
      </c>
      <c r="B442" s="60" t="n">
        <v>6</v>
      </c>
      <c r="C442" s="60" t="inlineStr">
        <is>
          <t>1000</t>
        </is>
      </c>
      <c r="D442" s="60" t="n">
        <v>1601</v>
      </c>
      <c r="E442" s="60" t="inlineStr">
        <is>
          <t>영업지원-본사</t>
        </is>
      </c>
      <c r="F442" s="60" t="n">
        <v>62101000</v>
      </c>
      <c r="G442" s="60" t="inlineStr">
        <is>
          <t>여비교통비-국내</t>
        </is>
      </c>
      <c r="H442" s="61" t="n">
        <v>2978670</v>
      </c>
      <c r="J442" s="63">
        <f>IF($A442="","",IFERROR(INDEX(부서매핑!$C$5:$C$504,MATCH($D442&amp;"",부서매핑!$A$5:$A$504,0)),"미매핑"))</f>
        <v/>
      </c>
      <c r="K442" s="63">
        <f>IF($A442="","",IFERROR(INDEX(계정매핑!$C$5:$C$504,MATCH($F442&amp;"",계정매핑!$A$5:$A$504,0)),"미매핑"))</f>
        <v/>
      </c>
      <c r="L442" s="4">
        <f>IF($A442="","",VALUE($A442&amp;""))</f>
        <v/>
      </c>
      <c r="M442" s="4">
        <f>IF($A442="","",VALUE($B442&amp;""))</f>
        <v/>
      </c>
      <c r="N442" s="64">
        <f>IF($A442="","",$H442*설정!$C$15)</f>
        <v/>
      </c>
      <c r="O442" s="4">
        <f>IF($A442="","",J442&amp;"|"&amp;K442)</f>
        <v/>
      </c>
      <c r="P442" s="63">
        <f>IF($A442="","",IF(COUNTIFS(예산_원본!$T$5:$T$3004,O442,예산_원본!$B$5:$B$3004,설정!$C$8,예산_원본!$U$5:$U$3004,L442)&gt;0,"Y","N"))</f>
        <v/>
      </c>
      <c r="Q442" s="63">
        <f>IF($A442="","",IF(COUNTIF(집계!$E$7:$E$506,O442)&gt;0,"Y","N"))</f>
        <v/>
      </c>
    </row>
    <row r="443">
      <c r="A443" s="60" t="n">
        <v>2025</v>
      </c>
      <c r="B443" s="60" t="n">
        <v>6</v>
      </c>
      <c r="C443" s="60" t="inlineStr">
        <is>
          <t>1000</t>
        </is>
      </c>
      <c r="D443" s="60" t="n">
        <v>1601</v>
      </c>
      <c r="E443" s="60" t="inlineStr">
        <is>
          <t>영업지원-본사</t>
        </is>
      </c>
      <c r="F443" s="60" t="n">
        <v>62102000</v>
      </c>
      <c r="G443" s="60" t="inlineStr">
        <is>
          <t>여비교통비-해외</t>
        </is>
      </c>
      <c r="H443" s="61" t="n">
        <v>522240</v>
      </c>
      <c r="J443" s="63">
        <f>IF($A443="","",IFERROR(INDEX(부서매핑!$C$5:$C$504,MATCH($D443&amp;"",부서매핑!$A$5:$A$504,0)),"미매핑"))</f>
        <v/>
      </c>
      <c r="K443" s="63">
        <f>IF($A443="","",IFERROR(INDEX(계정매핑!$C$5:$C$504,MATCH($F443&amp;"",계정매핑!$A$5:$A$504,0)),"미매핑"))</f>
        <v/>
      </c>
      <c r="L443" s="4">
        <f>IF($A443="","",VALUE($A443&amp;""))</f>
        <v/>
      </c>
      <c r="M443" s="4">
        <f>IF($A443="","",VALUE($B443&amp;""))</f>
        <v/>
      </c>
      <c r="N443" s="64">
        <f>IF($A443="","",$H443*설정!$C$15)</f>
        <v/>
      </c>
      <c r="O443" s="4">
        <f>IF($A443="","",J443&amp;"|"&amp;K443)</f>
        <v/>
      </c>
      <c r="P443" s="63">
        <f>IF($A443="","",IF(COUNTIFS(예산_원본!$T$5:$T$3004,O443,예산_원본!$B$5:$B$3004,설정!$C$8,예산_원본!$U$5:$U$3004,L443)&gt;0,"Y","N"))</f>
        <v/>
      </c>
      <c r="Q443" s="63">
        <f>IF($A443="","",IF(COUNTIF(집계!$E$7:$E$506,O443)&gt;0,"Y","N"))</f>
        <v/>
      </c>
    </row>
    <row r="444">
      <c r="A444" s="60" t="n">
        <v>2025</v>
      </c>
      <c r="B444" s="60" t="n">
        <v>6</v>
      </c>
      <c r="C444" s="60" t="inlineStr">
        <is>
          <t>1000</t>
        </is>
      </c>
      <c r="D444" s="60" t="n">
        <v>1601</v>
      </c>
      <c r="E444" s="60" t="inlineStr">
        <is>
          <t>영업지원-본사</t>
        </is>
      </c>
      <c r="F444" s="60" t="n">
        <v>62201000</v>
      </c>
      <c r="G444" s="60" t="inlineStr">
        <is>
          <t>통신비</t>
        </is>
      </c>
      <c r="H444" s="61" t="n">
        <v>939680</v>
      </c>
      <c r="J444" s="63">
        <f>IF($A444="","",IFERROR(INDEX(부서매핑!$C$5:$C$504,MATCH($D444&amp;"",부서매핑!$A$5:$A$504,0)),"미매핑"))</f>
        <v/>
      </c>
      <c r="K444" s="63">
        <f>IF($A444="","",IFERROR(INDEX(계정매핑!$C$5:$C$504,MATCH($F444&amp;"",계정매핑!$A$5:$A$504,0)),"미매핑"))</f>
        <v/>
      </c>
      <c r="L444" s="4">
        <f>IF($A444="","",VALUE($A444&amp;""))</f>
        <v/>
      </c>
      <c r="M444" s="4">
        <f>IF($A444="","",VALUE($B444&amp;""))</f>
        <v/>
      </c>
      <c r="N444" s="64">
        <f>IF($A444="","",$H444*설정!$C$15)</f>
        <v/>
      </c>
      <c r="O444" s="4">
        <f>IF($A444="","",J444&amp;"|"&amp;K444)</f>
        <v/>
      </c>
      <c r="P444" s="63">
        <f>IF($A444="","",IF(COUNTIFS(예산_원본!$T$5:$T$3004,O444,예산_원본!$B$5:$B$3004,설정!$C$8,예산_원본!$U$5:$U$3004,L444)&gt;0,"Y","N"))</f>
        <v/>
      </c>
      <c r="Q444" s="63">
        <f>IF($A444="","",IF(COUNTIF(집계!$E$7:$E$506,O444)&gt;0,"Y","N"))</f>
        <v/>
      </c>
    </row>
    <row r="445">
      <c r="A445" s="60" t="n">
        <v>2025</v>
      </c>
      <c r="B445" s="60" t="n">
        <v>6</v>
      </c>
      <c r="C445" s="60" t="inlineStr">
        <is>
          <t>1000</t>
        </is>
      </c>
      <c r="D445" s="60" t="n">
        <v>1601</v>
      </c>
      <c r="E445" s="60" t="inlineStr">
        <is>
          <t>영업지원-본사</t>
        </is>
      </c>
      <c r="F445" s="60" t="n">
        <v>62301000</v>
      </c>
      <c r="G445" s="60" t="inlineStr">
        <is>
          <t>소모품비</t>
        </is>
      </c>
      <c r="H445" s="61" t="n">
        <v>589880</v>
      </c>
      <c r="J445" s="63">
        <f>IF($A445="","",IFERROR(INDEX(부서매핑!$C$5:$C$504,MATCH($D445&amp;"",부서매핑!$A$5:$A$504,0)),"미매핑"))</f>
        <v/>
      </c>
      <c r="K445" s="63">
        <f>IF($A445="","",IFERROR(INDEX(계정매핑!$C$5:$C$504,MATCH($F445&amp;"",계정매핑!$A$5:$A$504,0)),"미매핑"))</f>
        <v/>
      </c>
      <c r="L445" s="4">
        <f>IF($A445="","",VALUE($A445&amp;""))</f>
        <v/>
      </c>
      <c r="M445" s="4">
        <f>IF($A445="","",VALUE($B445&amp;""))</f>
        <v/>
      </c>
      <c r="N445" s="64">
        <f>IF($A445="","",$H445*설정!$C$15)</f>
        <v/>
      </c>
      <c r="O445" s="4">
        <f>IF($A445="","",J445&amp;"|"&amp;K445)</f>
        <v/>
      </c>
      <c r="P445" s="63">
        <f>IF($A445="","",IF(COUNTIFS(예산_원본!$T$5:$T$3004,O445,예산_원본!$B$5:$B$3004,설정!$C$8,예산_원본!$U$5:$U$3004,L445)&gt;0,"Y","N"))</f>
        <v/>
      </c>
      <c r="Q445" s="63">
        <f>IF($A445="","",IF(COUNTIF(집계!$E$7:$E$506,O445)&gt;0,"Y","N"))</f>
        <v/>
      </c>
    </row>
    <row r="446">
      <c r="A446" s="60" t="n">
        <v>2025</v>
      </c>
      <c r="B446" s="60" t="n">
        <v>6</v>
      </c>
      <c r="C446" s="60" t="inlineStr">
        <is>
          <t>1000</t>
        </is>
      </c>
      <c r="D446" s="60" t="n">
        <v>1601</v>
      </c>
      <c r="E446" s="60" t="inlineStr">
        <is>
          <t>영업지원-본사</t>
        </is>
      </c>
      <c r="F446" s="60" t="n">
        <v>62501000</v>
      </c>
      <c r="G446" s="60" t="inlineStr">
        <is>
          <t>회의비</t>
        </is>
      </c>
      <c r="H446" s="61" t="n">
        <v>676460</v>
      </c>
      <c r="J446" s="63">
        <f>IF($A446="","",IFERROR(INDEX(부서매핑!$C$5:$C$504,MATCH($D446&amp;"",부서매핑!$A$5:$A$504,0)),"미매핑"))</f>
        <v/>
      </c>
      <c r="K446" s="63">
        <f>IF($A446="","",IFERROR(INDEX(계정매핑!$C$5:$C$504,MATCH($F446&amp;"",계정매핑!$A$5:$A$504,0)),"미매핑"))</f>
        <v/>
      </c>
      <c r="L446" s="4">
        <f>IF($A446="","",VALUE($A446&amp;""))</f>
        <v/>
      </c>
      <c r="M446" s="4">
        <f>IF($A446="","",VALUE($B446&amp;""))</f>
        <v/>
      </c>
      <c r="N446" s="64">
        <f>IF($A446="","",$H446*설정!$C$15)</f>
        <v/>
      </c>
      <c r="O446" s="4">
        <f>IF($A446="","",J446&amp;"|"&amp;K446)</f>
        <v/>
      </c>
      <c r="P446" s="63">
        <f>IF($A446="","",IF(COUNTIFS(예산_원본!$T$5:$T$3004,O446,예산_원본!$B$5:$B$3004,설정!$C$8,예산_원본!$U$5:$U$3004,L446)&gt;0,"Y","N"))</f>
        <v/>
      </c>
      <c r="Q446" s="63">
        <f>IF($A446="","",IF(COUNTIF(집계!$E$7:$E$506,O446)&gt;0,"Y","N"))</f>
        <v/>
      </c>
    </row>
    <row r="447">
      <c r="A447" s="60" t="n">
        <v>2025</v>
      </c>
      <c r="B447" s="60" t="n">
        <v>6</v>
      </c>
      <c r="C447" s="60" t="inlineStr">
        <is>
          <t>1000</t>
        </is>
      </c>
      <c r="D447" s="60" t="n">
        <v>1601</v>
      </c>
      <c r="E447" s="60" t="inlineStr">
        <is>
          <t>영업지원-본사</t>
        </is>
      </c>
      <c r="F447" s="60" t="n">
        <v>62601000</v>
      </c>
      <c r="G447" s="60" t="inlineStr">
        <is>
          <t>업무추진비</t>
        </is>
      </c>
      <c r="H447" s="61" t="n">
        <v>2251000</v>
      </c>
      <c r="J447" s="63">
        <f>IF($A447="","",IFERROR(INDEX(부서매핑!$C$5:$C$504,MATCH($D447&amp;"",부서매핑!$A$5:$A$504,0)),"미매핑"))</f>
        <v/>
      </c>
      <c r="K447" s="63">
        <f>IF($A447="","",IFERROR(INDEX(계정매핑!$C$5:$C$504,MATCH($F447&amp;"",계정매핑!$A$5:$A$504,0)),"미매핑"))</f>
        <v/>
      </c>
      <c r="L447" s="4">
        <f>IF($A447="","",VALUE($A447&amp;""))</f>
        <v/>
      </c>
      <c r="M447" s="4">
        <f>IF($A447="","",VALUE($B447&amp;""))</f>
        <v/>
      </c>
      <c r="N447" s="64">
        <f>IF($A447="","",$H447*설정!$C$15)</f>
        <v/>
      </c>
      <c r="O447" s="4">
        <f>IF($A447="","",J447&amp;"|"&amp;K447)</f>
        <v/>
      </c>
      <c r="P447" s="63">
        <f>IF($A447="","",IF(COUNTIFS(예산_원본!$T$5:$T$3004,O447,예산_원본!$B$5:$B$3004,설정!$C$8,예산_원본!$U$5:$U$3004,L447)&gt;0,"Y","N"))</f>
        <v/>
      </c>
      <c r="Q447" s="63">
        <f>IF($A447="","",IF(COUNTIF(집계!$E$7:$E$506,O447)&gt;0,"Y","N"))</f>
        <v/>
      </c>
    </row>
    <row r="448">
      <c r="A448" s="60" t="n">
        <v>2025</v>
      </c>
      <c r="B448" s="60" t="n">
        <v>6</v>
      </c>
      <c r="C448" s="60" t="inlineStr">
        <is>
          <t>1000</t>
        </is>
      </c>
      <c r="D448" s="60" t="n">
        <v>1601</v>
      </c>
      <c r="E448" s="60" t="inlineStr">
        <is>
          <t>영업지원-본사</t>
        </is>
      </c>
      <c r="F448" s="60" t="n">
        <v>63101000</v>
      </c>
      <c r="G448" s="60" t="inlineStr">
        <is>
          <t>임차료</t>
        </is>
      </c>
      <c r="H448" s="61" t="n">
        <v>8864600</v>
      </c>
      <c r="J448" s="63">
        <f>IF($A448="","",IFERROR(INDEX(부서매핑!$C$5:$C$504,MATCH($D448&amp;"",부서매핑!$A$5:$A$504,0)),"미매핑"))</f>
        <v/>
      </c>
      <c r="K448" s="63">
        <f>IF($A448="","",IFERROR(INDEX(계정매핑!$C$5:$C$504,MATCH($F448&amp;"",계정매핑!$A$5:$A$504,0)),"미매핑"))</f>
        <v/>
      </c>
      <c r="L448" s="4">
        <f>IF($A448="","",VALUE($A448&amp;""))</f>
        <v/>
      </c>
      <c r="M448" s="4">
        <f>IF($A448="","",VALUE($B448&amp;""))</f>
        <v/>
      </c>
      <c r="N448" s="64">
        <f>IF($A448="","",$H448*설정!$C$15)</f>
        <v/>
      </c>
      <c r="O448" s="4">
        <f>IF($A448="","",J448&amp;"|"&amp;K448)</f>
        <v/>
      </c>
      <c r="P448" s="63">
        <f>IF($A448="","",IF(COUNTIFS(예산_원본!$T$5:$T$3004,O448,예산_원본!$B$5:$B$3004,설정!$C$8,예산_원본!$U$5:$U$3004,L448)&gt;0,"Y","N"))</f>
        <v/>
      </c>
      <c r="Q448" s="63">
        <f>IF($A448="","",IF(COUNTIF(집계!$E$7:$E$506,O448)&gt;0,"Y","N"))</f>
        <v/>
      </c>
    </row>
    <row r="449">
      <c r="A449" s="60" t="n">
        <v>2025</v>
      </c>
      <c r="B449" s="60" t="n">
        <v>6</v>
      </c>
      <c r="C449" s="60" t="inlineStr">
        <is>
          <t>1000</t>
        </is>
      </c>
      <c r="D449" s="60" t="n">
        <v>1601</v>
      </c>
      <c r="E449" s="60" t="inlineStr">
        <is>
          <t>영업지원-본사</t>
        </is>
      </c>
      <c r="F449" s="60" t="n">
        <v>63201000</v>
      </c>
      <c r="G449" s="60" t="inlineStr">
        <is>
          <t>차량유지비</t>
        </is>
      </c>
      <c r="H449" s="61" t="n">
        <v>4555600</v>
      </c>
      <c r="J449" s="63">
        <f>IF($A449="","",IFERROR(INDEX(부서매핑!$C$5:$C$504,MATCH($D449&amp;"",부서매핑!$A$5:$A$504,0)),"미매핑"))</f>
        <v/>
      </c>
      <c r="K449" s="63">
        <f>IF($A449="","",IFERROR(INDEX(계정매핑!$C$5:$C$504,MATCH($F449&amp;"",계정매핑!$A$5:$A$504,0)),"미매핑"))</f>
        <v/>
      </c>
      <c r="L449" s="4">
        <f>IF($A449="","",VALUE($A449&amp;""))</f>
        <v/>
      </c>
      <c r="M449" s="4">
        <f>IF($A449="","",VALUE($B449&amp;""))</f>
        <v/>
      </c>
      <c r="N449" s="64">
        <f>IF($A449="","",$H449*설정!$C$15)</f>
        <v/>
      </c>
      <c r="O449" s="4">
        <f>IF($A449="","",J449&amp;"|"&amp;K449)</f>
        <v/>
      </c>
      <c r="P449" s="63">
        <f>IF($A449="","",IF(COUNTIFS(예산_원본!$T$5:$T$3004,O449,예산_원본!$B$5:$B$3004,설정!$C$8,예산_원본!$U$5:$U$3004,L449)&gt;0,"Y","N"))</f>
        <v/>
      </c>
      <c r="Q449" s="63">
        <f>IF($A449="","",IF(COUNTIF(집계!$E$7:$E$506,O449)&gt;0,"Y","N"))</f>
        <v/>
      </c>
    </row>
    <row r="450">
      <c r="A450" s="60" t="n">
        <v>2025</v>
      </c>
      <c r="B450" s="60" t="n">
        <v>6</v>
      </c>
      <c r="C450" s="60" t="inlineStr">
        <is>
          <t>1000</t>
        </is>
      </c>
      <c r="D450" s="60" t="n">
        <v>1602</v>
      </c>
      <c r="E450" s="60" t="inlineStr">
        <is>
          <t>영업지원-지역본부</t>
        </is>
      </c>
      <c r="F450" s="60" t="n">
        <v>62101000</v>
      </c>
      <c r="G450" s="60" t="inlineStr">
        <is>
          <t>여비교통비-국내</t>
        </is>
      </c>
      <c r="H450" s="61" t="n">
        <v>2173610</v>
      </c>
      <c r="J450" s="63">
        <f>IF($A450="","",IFERROR(INDEX(부서매핑!$C$5:$C$504,MATCH($D450&amp;"",부서매핑!$A$5:$A$504,0)),"미매핑"))</f>
        <v/>
      </c>
      <c r="K450" s="63">
        <f>IF($A450="","",IFERROR(INDEX(계정매핑!$C$5:$C$504,MATCH($F450&amp;"",계정매핑!$A$5:$A$504,0)),"미매핑"))</f>
        <v/>
      </c>
      <c r="L450" s="4">
        <f>IF($A450="","",VALUE($A450&amp;""))</f>
        <v/>
      </c>
      <c r="M450" s="4">
        <f>IF($A450="","",VALUE($B450&amp;""))</f>
        <v/>
      </c>
      <c r="N450" s="64">
        <f>IF($A450="","",$H450*설정!$C$15)</f>
        <v/>
      </c>
      <c r="O450" s="4">
        <f>IF($A450="","",J450&amp;"|"&amp;K450)</f>
        <v/>
      </c>
      <c r="P450" s="63">
        <f>IF($A450="","",IF(COUNTIFS(예산_원본!$T$5:$T$3004,O450,예산_원본!$B$5:$B$3004,설정!$C$8,예산_원본!$U$5:$U$3004,L450)&gt;0,"Y","N"))</f>
        <v/>
      </c>
      <c r="Q450" s="63">
        <f>IF($A450="","",IF(COUNTIF(집계!$E$7:$E$506,O450)&gt;0,"Y","N"))</f>
        <v/>
      </c>
    </row>
    <row r="451">
      <c r="A451" s="60" t="n">
        <v>2025</v>
      </c>
      <c r="B451" s="60" t="n">
        <v>6</v>
      </c>
      <c r="C451" s="60" t="inlineStr">
        <is>
          <t>1000</t>
        </is>
      </c>
      <c r="D451" s="60" t="n">
        <v>1602</v>
      </c>
      <c r="E451" s="60" t="inlineStr">
        <is>
          <t>영업지원-지역본부</t>
        </is>
      </c>
      <c r="F451" s="60" t="n">
        <v>62102000</v>
      </c>
      <c r="G451" s="60" t="inlineStr">
        <is>
          <t>여비교통비-해외</t>
        </is>
      </c>
      <c r="H451" s="61" t="n">
        <v>411680</v>
      </c>
      <c r="J451" s="63">
        <f>IF($A451="","",IFERROR(INDEX(부서매핑!$C$5:$C$504,MATCH($D451&amp;"",부서매핑!$A$5:$A$504,0)),"미매핑"))</f>
        <v/>
      </c>
      <c r="K451" s="63">
        <f>IF($A451="","",IFERROR(INDEX(계정매핑!$C$5:$C$504,MATCH($F451&amp;"",계정매핑!$A$5:$A$504,0)),"미매핑"))</f>
        <v/>
      </c>
      <c r="L451" s="4">
        <f>IF($A451="","",VALUE($A451&amp;""))</f>
        <v/>
      </c>
      <c r="M451" s="4">
        <f>IF($A451="","",VALUE($B451&amp;""))</f>
        <v/>
      </c>
      <c r="N451" s="64">
        <f>IF($A451="","",$H451*설정!$C$15)</f>
        <v/>
      </c>
      <c r="O451" s="4">
        <f>IF($A451="","",J451&amp;"|"&amp;K451)</f>
        <v/>
      </c>
      <c r="P451" s="63">
        <f>IF($A451="","",IF(COUNTIFS(예산_원본!$T$5:$T$3004,O451,예산_원본!$B$5:$B$3004,설정!$C$8,예산_원본!$U$5:$U$3004,L451)&gt;0,"Y","N"))</f>
        <v/>
      </c>
      <c r="Q451" s="63">
        <f>IF($A451="","",IF(COUNTIF(집계!$E$7:$E$506,O451)&gt;0,"Y","N"))</f>
        <v/>
      </c>
    </row>
    <row r="452">
      <c r="A452" s="60" t="n">
        <v>2025</v>
      </c>
      <c r="B452" s="60" t="n">
        <v>6</v>
      </c>
      <c r="C452" s="60" t="inlineStr">
        <is>
          <t>1000</t>
        </is>
      </c>
      <c r="D452" s="60" t="n">
        <v>1602</v>
      </c>
      <c r="E452" s="60" t="inlineStr">
        <is>
          <t>영업지원-지역본부</t>
        </is>
      </c>
      <c r="F452" s="60" t="n">
        <v>62201000</v>
      </c>
      <c r="G452" s="60" t="inlineStr">
        <is>
          <t>통신비</t>
        </is>
      </c>
      <c r="H452" s="61" t="n">
        <v>691890</v>
      </c>
      <c r="J452" s="63">
        <f>IF($A452="","",IFERROR(INDEX(부서매핑!$C$5:$C$504,MATCH($D452&amp;"",부서매핑!$A$5:$A$504,0)),"미매핑"))</f>
        <v/>
      </c>
      <c r="K452" s="63">
        <f>IF($A452="","",IFERROR(INDEX(계정매핑!$C$5:$C$504,MATCH($F452&amp;"",계정매핑!$A$5:$A$504,0)),"미매핑"))</f>
        <v/>
      </c>
      <c r="L452" s="4">
        <f>IF($A452="","",VALUE($A452&amp;""))</f>
        <v/>
      </c>
      <c r="M452" s="4">
        <f>IF($A452="","",VALUE($B452&amp;""))</f>
        <v/>
      </c>
      <c r="N452" s="64">
        <f>IF($A452="","",$H452*설정!$C$15)</f>
        <v/>
      </c>
      <c r="O452" s="4">
        <f>IF($A452="","",J452&amp;"|"&amp;K452)</f>
        <v/>
      </c>
      <c r="P452" s="63">
        <f>IF($A452="","",IF(COUNTIFS(예산_원본!$T$5:$T$3004,O452,예산_원본!$B$5:$B$3004,설정!$C$8,예산_원본!$U$5:$U$3004,L452)&gt;0,"Y","N"))</f>
        <v/>
      </c>
      <c r="Q452" s="63">
        <f>IF($A452="","",IF(COUNTIF(집계!$E$7:$E$506,O452)&gt;0,"Y","N"))</f>
        <v/>
      </c>
    </row>
    <row r="453">
      <c r="A453" s="60" t="n">
        <v>2025</v>
      </c>
      <c r="B453" s="60" t="n">
        <v>6</v>
      </c>
      <c r="C453" s="60" t="inlineStr">
        <is>
          <t>1000</t>
        </is>
      </c>
      <c r="D453" s="60" t="n">
        <v>1602</v>
      </c>
      <c r="E453" s="60" t="inlineStr">
        <is>
          <t>영업지원-지역본부</t>
        </is>
      </c>
      <c r="F453" s="60" t="n">
        <v>62301000</v>
      </c>
      <c r="G453" s="60" t="inlineStr">
        <is>
          <t>소모품비</t>
        </is>
      </c>
      <c r="H453" s="61" t="n">
        <v>529250</v>
      </c>
      <c r="J453" s="63">
        <f>IF($A453="","",IFERROR(INDEX(부서매핑!$C$5:$C$504,MATCH($D453&amp;"",부서매핑!$A$5:$A$504,0)),"미매핑"))</f>
        <v/>
      </c>
      <c r="K453" s="63">
        <f>IF($A453="","",IFERROR(INDEX(계정매핑!$C$5:$C$504,MATCH($F453&amp;"",계정매핑!$A$5:$A$504,0)),"미매핑"))</f>
        <v/>
      </c>
      <c r="L453" s="4">
        <f>IF($A453="","",VALUE($A453&amp;""))</f>
        <v/>
      </c>
      <c r="M453" s="4">
        <f>IF($A453="","",VALUE($B453&amp;""))</f>
        <v/>
      </c>
      <c r="N453" s="64">
        <f>IF($A453="","",$H453*설정!$C$15)</f>
        <v/>
      </c>
      <c r="O453" s="4">
        <f>IF($A453="","",J453&amp;"|"&amp;K453)</f>
        <v/>
      </c>
      <c r="P453" s="63">
        <f>IF($A453="","",IF(COUNTIFS(예산_원본!$T$5:$T$3004,O453,예산_원본!$B$5:$B$3004,설정!$C$8,예산_원본!$U$5:$U$3004,L453)&gt;0,"Y","N"))</f>
        <v/>
      </c>
      <c r="Q453" s="63">
        <f>IF($A453="","",IF(COUNTIF(집계!$E$7:$E$506,O453)&gt;0,"Y","N"))</f>
        <v/>
      </c>
    </row>
    <row r="454">
      <c r="A454" s="60" t="n">
        <v>2025</v>
      </c>
      <c r="B454" s="60" t="n">
        <v>6</v>
      </c>
      <c r="C454" s="60" t="inlineStr">
        <is>
          <t>1000</t>
        </is>
      </c>
      <c r="D454" s="60" t="n">
        <v>1602</v>
      </c>
      <c r="E454" s="60" t="inlineStr">
        <is>
          <t>영업지원-지역본부</t>
        </is>
      </c>
      <c r="F454" s="60" t="n">
        <v>62501000</v>
      </c>
      <c r="G454" s="60" t="inlineStr">
        <is>
          <t>회의비</t>
        </is>
      </c>
      <c r="H454" s="61" t="n">
        <v>619500</v>
      </c>
      <c r="J454" s="63">
        <f>IF($A454="","",IFERROR(INDEX(부서매핑!$C$5:$C$504,MATCH($D454&amp;"",부서매핑!$A$5:$A$504,0)),"미매핑"))</f>
        <v/>
      </c>
      <c r="K454" s="63">
        <f>IF($A454="","",IFERROR(INDEX(계정매핑!$C$5:$C$504,MATCH($F454&amp;"",계정매핑!$A$5:$A$504,0)),"미매핑"))</f>
        <v/>
      </c>
      <c r="L454" s="4">
        <f>IF($A454="","",VALUE($A454&amp;""))</f>
        <v/>
      </c>
      <c r="M454" s="4">
        <f>IF($A454="","",VALUE($B454&amp;""))</f>
        <v/>
      </c>
      <c r="N454" s="64">
        <f>IF($A454="","",$H454*설정!$C$15)</f>
        <v/>
      </c>
      <c r="O454" s="4">
        <f>IF($A454="","",J454&amp;"|"&amp;K454)</f>
        <v/>
      </c>
      <c r="P454" s="63">
        <f>IF($A454="","",IF(COUNTIFS(예산_원본!$T$5:$T$3004,O454,예산_원본!$B$5:$B$3004,설정!$C$8,예산_원본!$U$5:$U$3004,L454)&gt;0,"Y","N"))</f>
        <v/>
      </c>
      <c r="Q454" s="63">
        <f>IF($A454="","",IF(COUNTIF(집계!$E$7:$E$506,O454)&gt;0,"Y","N"))</f>
        <v/>
      </c>
    </row>
    <row r="455">
      <c r="A455" s="60" t="n">
        <v>2025</v>
      </c>
      <c r="B455" s="60" t="n">
        <v>6</v>
      </c>
      <c r="C455" s="60" t="inlineStr">
        <is>
          <t>1000</t>
        </is>
      </c>
      <c r="D455" s="60" t="n">
        <v>1602</v>
      </c>
      <c r="E455" s="60" t="inlineStr">
        <is>
          <t>영업지원-지역본부</t>
        </is>
      </c>
      <c r="F455" s="60" t="n">
        <v>62601000</v>
      </c>
      <c r="G455" s="60" t="inlineStr">
        <is>
          <t>업무추진비</t>
        </is>
      </c>
      <c r="H455" s="61" t="n">
        <v>1841820</v>
      </c>
      <c r="J455" s="63">
        <f>IF($A455="","",IFERROR(INDEX(부서매핑!$C$5:$C$504,MATCH($D455&amp;"",부서매핑!$A$5:$A$504,0)),"미매핑"))</f>
        <v/>
      </c>
      <c r="K455" s="63">
        <f>IF($A455="","",IFERROR(INDEX(계정매핑!$C$5:$C$504,MATCH($F455&amp;"",계정매핑!$A$5:$A$504,0)),"미매핑"))</f>
        <v/>
      </c>
      <c r="L455" s="4">
        <f>IF($A455="","",VALUE($A455&amp;""))</f>
        <v/>
      </c>
      <c r="M455" s="4">
        <f>IF($A455="","",VALUE($B455&amp;""))</f>
        <v/>
      </c>
      <c r="N455" s="64">
        <f>IF($A455="","",$H455*설정!$C$15)</f>
        <v/>
      </c>
      <c r="O455" s="4">
        <f>IF($A455="","",J455&amp;"|"&amp;K455)</f>
        <v/>
      </c>
      <c r="P455" s="63">
        <f>IF($A455="","",IF(COUNTIFS(예산_원본!$T$5:$T$3004,O455,예산_원본!$B$5:$B$3004,설정!$C$8,예산_원본!$U$5:$U$3004,L455)&gt;0,"Y","N"))</f>
        <v/>
      </c>
      <c r="Q455" s="63">
        <f>IF($A455="","",IF(COUNTIF(집계!$E$7:$E$506,O455)&gt;0,"Y","N"))</f>
        <v/>
      </c>
    </row>
    <row r="456">
      <c r="A456" s="60" t="n">
        <v>2025</v>
      </c>
      <c r="B456" s="60" t="n">
        <v>6</v>
      </c>
      <c r="C456" s="60" t="inlineStr">
        <is>
          <t>1000</t>
        </is>
      </c>
      <c r="D456" s="60" t="n">
        <v>1602</v>
      </c>
      <c r="E456" s="60" t="inlineStr">
        <is>
          <t>영업지원-지역본부</t>
        </is>
      </c>
      <c r="F456" s="60" t="n">
        <v>63101000</v>
      </c>
      <c r="G456" s="60" t="inlineStr">
        <is>
          <t>임차료</t>
        </is>
      </c>
      <c r="H456" s="61" t="n">
        <v>7686740</v>
      </c>
      <c r="J456" s="63">
        <f>IF($A456="","",IFERROR(INDEX(부서매핑!$C$5:$C$504,MATCH($D456&amp;"",부서매핑!$A$5:$A$504,0)),"미매핑"))</f>
        <v/>
      </c>
      <c r="K456" s="63">
        <f>IF($A456="","",IFERROR(INDEX(계정매핑!$C$5:$C$504,MATCH($F456&amp;"",계정매핑!$A$5:$A$504,0)),"미매핑"))</f>
        <v/>
      </c>
      <c r="L456" s="4">
        <f>IF($A456="","",VALUE($A456&amp;""))</f>
        <v/>
      </c>
      <c r="M456" s="4">
        <f>IF($A456="","",VALUE($B456&amp;""))</f>
        <v/>
      </c>
      <c r="N456" s="64">
        <f>IF($A456="","",$H456*설정!$C$15)</f>
        <v/>
      </c>
      <c r="O456" s="4">
        <f>IF($A456="","",J456&amp;"|"&amp;K456)</f>
        <v/>
      </c>
      <c r="P456" s="63">
        <f>IF($A456="","",IF(COUNTIFS(예산_원본!$T$5:$T$3004,O456,예산_원본!$B$5:$B$3004,설정!$C$8,예산_원본!$U$5:$U$3004,L456)&gt;0,"Y","N"))</f>
        <v/>
      </c>
      <c r="Q456" s="63">
        <f>IF($A456="","",IF(COUNTIF(집계!$E$7:$E$506,O456)&gt;0,"Y","N"))</f>
        <v/>
      </c>
    </row>
    <row r="457">
      <c r="A457" s="60" t="n">
        <v>2025</v>
      </c>
      <c r="B457" s="60" t="n">
        <v>6</v>
      </c>
      <c r="C457" s="60" t="inlineStr">
        <is>
          <t>1000</t>
        </is>
      </c>
      <c r="D457" s="60" t="n">
        <v>1602</v>
      </c>
      <c r="E457" s="60" t="inlineStr">
        <is>
          <t>영업지원-지역본부</t>
        </is>
      </c>
      <c r="F457" s="60" t="n">
        <v>63201000</v>
      </c>
      <c r="G457" s="60" t="inlineStr">
        <is>
          <t>차량유지비</t>
        </is>
      </c>
      <c r="H457" s="61" t="n">
        <v>3561230</v>
      </c>
      <c r="J457" s="63">
        <f>IF($A457="","",IFERROR(INDEX(부서매핑!$C$5:$C$504,MATCH($D457&amp;"",부서매핑!$A$5:$A$504,0)),"미매핑"))</f>
        <v/>
      </c>
      <c r="K457" s="63">
        <f>IF($A457="","",IFERROR(INDEX(계정매핑!$C$5:$C$504,MATCH($F457&amp;"",계정매핑!$A$5:$A$504,0)),"미매핑"))</f>
        <v/>
      </c>
      <c r="L457" s="4">
        <f>IF($A457="","",VALUE($A457&amp;""))</f>
        <v/>
      </c>
      <c r="M457" s="4">
        <f>IF($A457="","",VALUE($B457&amp;""))</f>
        <v/>
      </c>
      <c r="N457" s="64">
        <f>IF($A457="","",$H457*설정!$C$15)</f>
        <v/>
      </c>
      <c r="O457" s="4">
        <f>IF($A457="","",J457&amp;"|"&amp;K457)</f>
        <v/>
      </c>
      <c r="P457" s="63">
        <f>IF($A457="","",IF(COUNTIFS(예산_원본!$T$5:$T$3004,O457,예산_원본!$B$5:$B$3004,설정!$C$8,예산_원본!$U$5:$U$3004,L457)&gt;0,"Y","N"))</f>
        <v/>
      </c>
      <c r="Q457" s="63">
        <f>IF($A457="","",IF(COUNTIF(집계!$E$7:$E$506,O457)&gt;0,"Y","N"))</f>
        <v/>
      </c>
    </row>
    <row r="458">
      <c r="A458" s="60" t="n">
        <v>2025</v>
      </c>
      <c r="B458" s="60" t="n">
        <v>6</v>
      </c>
      <c r="C458" s="60" t="inlineStr">
        <is>
          <t>1000</t>
        </is>
      </c>
      <c r="D458" s="60" t="n">
        <v>1701</v>
      </c>
      <c r="E458" s="60" t="inlineStr">
        <is>
          <t>IT운영</t>
        </is>
      </c>
      <c r="F458" s="60" t="n">
        <v>62101000</v>
      </c>
      <c r="G458" s="60" t="inlineStr">
        <is>
          <t>여비교통비-국내</t>
        </is>
      </c>
      <c r="H458" s="61" t="n">
        <v>1070630</v>
      </c>
      <c r="J458" s="63">
        <f>IF($A458="","",IFERROR(INDEX(부서매핑!$C$5:$C$504,MATCH($D458&amp;"",부서매핑!$A$5:$A$504,0)),"미매핑"))</f>
        <v/>
      </c>
      <c r="K458" s="63">
        <f>IF($A458="","",IFERROR(INDEX(계정매핑!$C$5:$C$504,MATCH($F458&amp;"",계정매핑!$A$5:$A$504,0)),"미매핑"))</f>
        <v/>
      </c>
      <c r="L458" s="4">
        <f>IF($A458="","",VALUE($A458&amp;""))</f>
        <v/>
      </c>
      <c r="M458" s="4">
        <f>IF($A458="","",VALUE($B458&amp;""))</f>
        <v/>
      </c>
      <c r="N458" s="64">
        <f>IF($A458="","",$H458*설정!$C$15)</f>
        <v/>
      </c>
      <c r="O458" s="4">
        <f>IF($A458="","",J458&amp;"|"&amp;K458)</f>
        <v/>
      </c>
      <c r="P458" s="63">
        <f>IF($A458="","",IF(COUNTIFS(예산_원본!$T$5:$T$3004,O458,예산_원본!$B$5:$B$3004,설정!$C$8,예산_원본!$U$5:$U$3004,L458)&gt;0,"Y","N"))</f>
        <v/>
      </c>
      <c r="Q458" s="63">
        <f>IF($A458="","",IF(COUNTIF(집계!$E$7:$E$506,O458)&gt;0,"Y","N"))</f>
        <v/>
      </c>
    </row>
    <row r="459">
      <c r="A459" s="60" t="n">
        <v>2025</v>
      </c>
      <c r="B459" s="60" t="n">
        <v>6</v>
      </c>
      <c r="C459" s="60" t="inlineStr">
        <is>
          <t>1000</t>
        </is>
      </c>
      <c r="D459" s="60" t="n">
        <v>1701</v>
      </c>
      <c r="E459" s="60" t="inlineStr">
        <is>
          <t>IT운영</t>
        </is>
      </c>
      <c r="F459" s="60" t="n">
        <v>62102000</v>
      </c>
      <c r="G459" s="60" t="inlineStr">
        <is>
          <t>여비교통비-해외</t>
        </is>
      </c>
      <c r="H459" s="61" t="n">
        <v>206420</v>
      </c>
      <c r="J459" s="63">
        <f>IF($A459="","",IFERROR(INDEX(부서매핑!$C$5:$C$504,MATCH($D459&amp;"",부서매핑!$A$5:$A$504,0)),"미매핑"))</f>
        <v/>
      </c>
      <c r="K459" s="63">
        <f>IF($A459="","",IFERROR(INDEX(계정매핑!$C$5:$C$504,MATCH($F459&amp;"",계정매핑!$A$5:$A$504,0)),"미매핑"))</f>
        <v/>
      </c>
      <c r="L459" s="4">
        <f>IF($A459="","",VALUE($A459&amp;""))</f>
        <v/>
      </c>
      <c r="M459" s="4">
        <f>IF($A459="","",VALUE($B459&amp;""))</f>
        <v/>
      </c>
      <c r="N459" s="64">
        <f>IF($A459="","",$H459*설정!$C$15)</f>
        <v/>
      </c>
      <c r="O459" s="4">
        <f>IF($A459="","",J459&amp;"|"&amp;K459)</f>
        <v/>
      </c>
      <c r="P459" s="63">
        <f>IF($A459="","",IF(COUNTIFS(예산_원본!$T$5:$T$3004,O459,예산_원본!$B$5:$B$3004,설정!$C$8,예산_원본!$U$5:$U$3004,L459)&gt;0,"Y","N"))</f>
        <v/>
      </c>
      <c r="Q459" s="63">
        <f>IF($A459="","",IF(COUNTIF(집계!$E$7:$E$506,O459)&gt;0,"Y","N"))</f>
        <v/>
      </c>
    </row>
    <row r="460">
      <c r="A460" s="60" t="n">
        <v>2025</v>
      </c>
      <c r="B460" s="60" t="n">
        <v>6</v>
      </c>
      <c r="C460" s="60" t="inlineStr">
        <is>
          <t>1000</t>
        </is>
      </c>
      <c r="D460" s="60" t="n">
        <v>1701</v>
      </c>
      <c r="E460" s="60" t="inlineStr">
        <is>
          <t>IT운영</t>
        </is>
      </c>
      <c r="F460" s="60" t="n">
        <v>62201000</v>
      </c>
      <c r="G460" s="60" t="inlineStr">
        <is>
          <t>통신비</t>
        </is>
      </c>
      <c r="H460" s="61" t="n">
        <v>13630180</v>
      </c>
      <c r="J460" s="63">
        <f>IF($A460="","",IFERROR(INDEX(부서매핑!$C$5:$C$504,MATCH($D460&amp;"",부서매핑!$A$5:$A$504,0)),"미매핑"))</f>
        <v/>
      </c>
      <c r="K460" s="63">
        <f>IF($A460="","",IFERROR(INDEX(계정매핑!$C$5:$C$504,MATCH($F460&amp;"",계정매핑!$A$5:$A$504,0)),"미매핑"))</f>
        <v/>
      </c>
      <c r="L460" s="4">
        <f>IF($A460="","",VALUE($A460&amp;""))</f>
        <v/>
      </c>
      <c r="M460" s="4">
        <f>IF($A460="","",VALUE($B460&amp;""))</f>
        <v/>
      </c>
      <c r="N460" s="64">
        <f>IF($A460="","",$H460*설정!$C$15)</f>
        <v/>
      </c>
      <c r="O460" s="4">
        <f>IF($A460="","",J460&amp;"|"&amp;K460)</f>
        <v/>
      </c>
      <c r="P460" s="63">
        <f>IF($A460="","",IF(COUNTIFS(예산_원본!$T$5:$T$3004,O460,예산_원본!$B$5:$B$3004,설정!$C$8,예산_원본!$U$5:$U$3004,L460)&gt;0,"Y","N"))</f>
        <v/>
      </c>
      <c r="Q460" s="63">
        <f>IF($A460="","",IF(COUNTIF(집계!$E$7:$E$506,O460)&gt;0,"Y","N"))</f>
        <v/>
      </c>
    </row>
    <row r="461">
      <c r="A461" s="60" t="n">
        <v>2025</v>
      </c>
      <c r="B461" s="60" t="n">
        <v>6</v>
      </c>
      <c r="C461" s="60" t="inlineStr">
        <is>
          <t>1000</t>
        </is>
      </c>
      <c r="D461" s="60" t="n">
        <v>1701</v>
      </c>
      <c r="E461" s="60" t="inlineStr">
        <is>
          <t>IT운영</t>
        </is>
      </c>
      <c r="F461" s="60" t="n">
        <v>62301000</v>
      </c>
      <c r="G461" s="60" t="inlineStr">
        <is>
          <t>소모품비</t>
        </is>
      </c>
      <c r="H461" s="61" t="n">
        <v>908890</v>
      </c>
      <c r="J461" s="63">
        <f>IF($A461="","",IFERROR(INDEX(부서매핑!$C$5:$C$504,MATCH($D461&amp;"",부서매핑!$A$5:$A$504,0)),"미매핑"))</f>
        <v/>
      </c>
      <c r="K461" s="63">
        <f>IF($A461="","",IFERROR(INDEX(계정매핑!$C$5:$C$504,MATCH($F461&amp;"",계정매핑!$A$5:$A$504,0)),"미매핑"))</f>
        <v/>
      </c>
      <c r="L461" s="4">
        <f>IF($A461="","",VALUE($A461&amp;""))</f>
        <v/>
      </c>
      <c r="M461" s="4">
        <f>IF($A461="","",VALUE($B461&amp;""))</f>
        <v/>
      </c>
      <c r="N461" s="64">
        <f>IF($A461="","",$H461*설정!$C$15)</f>
        <v/>
      </c>
      <c r="O461" s="4">
        <f>IF($A461="","",J461&amp;"|"&amp;K461)</f>
        <v/>
      </c>
      <c r="P461" s="63">
        <f>IF($A461="","",IF(COUNTIFS(예산_원본!$T$5:$T$3004,O461,예산_원본!$B$5:$B$3004,설정!$C$8,예산_원본!$U$5:$U$3004,L461)&gt;0,"Y","N"))</f>
        <v/>
      </c>
      <c r="Q461" s="63">
        <f>IF($A461="","",IF(COUNTIF(집계!$E$7:$E$506,O461)&gt;0,"Y","N"))</f>
        <v/>
      </c>
    </row>
    <row r="462">
      <c r="A462" s="60" t="n">
        <v>2025</v>
      </c>
      <c r="B462" s="60" t="n">
        <v>6</v>
      </c>
      <c r="C462" s="60" t="inlineStr">
        <is>
          <t>1000</t>
        </is>
      </c>
      <c r="D462" s="60" t="n">
        <v>1701</v>
      </c>
      <c r="E462" s="60" t="inlineStr">
        <is>
          <t>IT운영</t>
        </is>
      </c>
      <c r="F462" s="60" t="n">
        <v>62501000</v>
      </c>
      <c r="G462" s="60" t="inlineStr">
        <is>
          <t>회의비</t>
        </is>
      </c>
      <c r="H462" s="61" t="n">
        <v>341060</v>
      </c>
      <c r="J462" s="63">
        <f>IF($A462="","",IFERROR(INDEX(부서매핑!$C$5:$C$504,MATCH($D462&amp;"",부서매핑!$A$5:$A$504,0)),"미매핑"))</f>
        <v/>
      </c>
      <c r="K462" s="63">
        <f>IF($A462="","",IFERROR(INDEX(계정매핑!$C$5:$C$504,MATCH($F462&amp;"",계정매핑!$A$5:$A$504,0)),"미매핑"))</f>
        <v/>
      </c>
      <c r="L462" s="4">
        <f>IF($A462="","",VALUE($A462&amp;""))</f>
        <v/>
      </c>
      <c r="M462" s="4">
        <f>IF($A462="","",VALUE($B462&amp;""))</f>
        <v/>
      </c>
      <c r="N462" s="64">
        <f>IF($A462="","",$H462*설정!$C$15)</f>
        <v/>
      </c>
      <c r="O462" s="4">
        <f>IF($A462="","",J462&amp;"|"&amp;K462)</f>
        <v/>
      </c>
      <c r="P462" s="63">
        <f>IF($A462="","",IF(COUNTIFS(예산_원본!$T$5:$T$3004,O462,예산_원본!$B$5:$B$3004,설정!$C$8,예산_원본!$U$5:$U$3004,L462)&gt;0,"Y","N"))</f>
        <v/>
      </c>
      <c r="Q462" s="63">
        <f>IF($A462="","",IF(COUNTIF(집계!$E$7:$E$506,O462)&gt;0,"Y","N"))</f>
        <v/>
      </c>
    </row>
    <row r="463">
      <c r="A463" s="60" t="n">
        <v>2025</v>
      </c>
      <c r="B463" s="60" t="n">
        <v>6</v>
      </c>
      <c r="C463" s="60" t="inlineStr">
        <is>
          <t>1000</t>
        </is>
      </c>
      <c r="D463" s="60" t="n">
        <v>1701</v>
      </c>
      <c r="E463" s="60" t="inlineStr">
        <is>
          <t>IT운영</t>
        </is>
      </c>
      <c r="F463" s="60" t="n">
        <v>63001000</v>
      </c>
      <c r="G463" s="60" t="inlineStr">
        <is>
          <t>전산운영비-SW유지보수</t>
        </is>
      </c>
      <c r="H463" s="61" t="n">
        <v>108901220</v>
      </c>
      <c r="J463" s="63">
        <f>IF($A463="","",IFERROR(INDEX(부서매핑!$C$5:$C$504,MATCH($D463&amp;"",부서매핑!$A$5:$A$504,0)),"미매핑"))</f>
        <v/>
      </c>
      <c r="K463" s="63">
        <f>IF($A463="","",IFERROR(INDEX(계정매핑!$C$5:$C$504,MATCH($F463&amp;"",계정매핑!$A$5:$A$504,0)),"미매핑"))</f>
        <v/>
      </c>
      <c r="L463" s="4">
        <f>IF($A463="","",VALUE($A463&amp;""))</f>
        <v/>
      </c>
      <c r="M463" s="4">
        <f>IF($A463="","",VALUE($B463&amp;""))</f>
        <v/>
      </c>
      <c r="N463" s="64">
        <f>IF($A463="","",$H463*설정!$C$15)</f>
        <v/>
      </c>
      <c r="O463" s="4">
        <f>IF($A463="","",J463&amp;"|"&amp;K463)</f>
        <v/>
      </c>
      <c r="P463" s="63">
        <f>IF($A463="","",IF(COUNTIFS(예산_원본!$T$5:$T$3004,O463,예산_원본!$B$5:$B$3004,설정!$C$8,예산_원본!$U$5:$U$3004,L463)&gt;0,"Y","N"))</f>
        <v/>
      </c>
      <c r="Q463" s="63">
        <f>IF($A463="","",IF(COUNTIF(집계!$E$7:$E$506,O463)&gt;0,"Y","N"))</f>
        <v/>
      </c>
    </row>
    <row r="464">
      <c r="A464" s="60" t="n">
        <v>2025</v>
      </c>
      <c r="B464" s="60" t="n">
        <v>6</v>
      </c>
      <c r="C464" s="60" t="inlineStr">
        <is>
          <t>1000</t>
        </is>
      </c>
      <c r="D464" s="60" t="n">
        <v>1701</v>
      </c>
      <c r="E464" s="60" t="inlineStr">
        <is>
          <t>IT운영</t>
        </is>
      </c>
      <c r="F464" s="60" t="n">
        <v>63002000</v>
      </c>
      <c r="G464" s="60" t="inlineStr">
        <is>
          <t>전산운영비-클라우드</t>
        </is>
      </c>
      <c r="H464" s="61" t="n">
        <v>85726050</v>
      </c>
      <c r="J464" s="63">
        <f>IF($A464="","",IFERROR(INDEX(부서매핑!$C$5:$C$504,MATCH($D464&amp;"",부서매핑!$A$5:$A$504,0)),"미매핑"))</f>
        <v/>
      </c>
      <c r="K464" s="63">
        <f>IF($A464="","",IFERROR(INDEX(계정매핑!$C$5:$C$504,MATCH($F464&amp;"",계정매핑!$A$5:$A$504,0)),"미매핑"))</f>
        <v/>
      </c>
      <c r="L464" s="4">
        <f>IF($A464="","",VALUE($A464&amp;""))</f>
        <v/>
      </c>
      <c r="M464" s="4">
        <f>IF($A464="","",VALUE($B464&amp;""))</f>
        <v/>
      </c>
      <c r="N464" s="64">
        <f>IF($A464="","",$H464*설정!$C$15)</f>
        <v/>
      </c>
      <c r="O464" s="4">
        <f>IF($A464="","",J464&amp;"|"&amp;K464)</f>
        <v/>
      </c>
      <c r="P464" s="63">
        <f>IF($A464="","",IF(COUNTIFS(예산_원본!$T$5:$T$3004,O464,예산_원본!$B$5:$B$3004,설정!$C$8,예산_원본!$U$5:$U$3004,L464)&gt;0,"Y","N"))</f>
        <v/>
      </c>
      <c r="Q464" s="63">
        <f>IF($A464="","",IF(COUNTIF(집계!$E$7:$E$506,O464)&gt;0,"Y","N"))</f>
        <v/>
      </c>
    </row>
    <row r="465">
      <c r="A465" s="60" t="n">
        <v>2025</v>
      </c>
      <c r="B465" s="60" t="n">
        <v>6</v>
      </c>
      <c r="C465" s="60" t="inlineStr">
        <is>
          <t>1000</t>
        </is>
      </c>
      <c r="D465" s="60" t="n">
        <v>1801</v>
      </c>
      <c r="E465" s="60" t="inlineStr">
        <is>
          <t>고객서비스</t>
        </is>
      </c>
      <c r="F465" s="60" t="n">
        <v>62101000</v>
      </c>
      <c r="G465" s="60" t="inlineStr">
        <is>
          <t>여비교통비-국내</t>
        </is>
      </c>
      <c r="H465" s="61" t="n">
        <v>748510</v>
      </c>
      <c r="J465" s="63">
        <f>IF($A465="","",IFERROR(INDEX(부서매핑!$C$5:$C$504,MATCH($D465&amp;"",부서매핑!$A$5:$A$504,0)),"미매핑"))</f>
        <v/>
      </c>
      <c r="K465" s="63">
        <f>IF($A465="","",IFERROR(INDEX(계정매핑!$C$5:$C$504,MATCH($F465&amp;"",계정매핑!$A$5:$A$504,0)),"미매핑"))</f>
        <v/>
      </c>
      <c r="L465" s="4">
        <f>IF($A465="","",VALUE($A465&amp;""))</f>
        <v/>
      </c>
      <c r="M465" s="4">
        <f>IF($A465="","",VALUE($B465&amp;""))</f>
        <v/>
      </c>
      <c r="N465" s="64">
        <f>IF($A465="","",$H465*설정!$C$15)</f>
        <v/>
      </c>
      <c r="O465" s="4">
        <f>IF($A465="","",J465&amp;"|"&amp;K465)</f>
        <v/>
      </c>
      <c r="P465" s="63">
        <f>IF($A465="","",IF(COUNTIFS(예산_원본!$T$5:$T$3004,O465,예산_원본!$B$5:$B$3004,설정!$C$8,예산_원본!$U$5:$U$3004,L465)&gt;0,"Y","N"))</f>
        <v/>
      </c>
      <c r="Q465" s="63">
        <f>IF($A465="","",IF(COUNTIF(집계!$E$7:$E$506,O465)&gt;0,"Y","N"))</f>
        <v/>
      </c>
    </row>
    <row r="466">
      <c r="A466" s="60" t="n">
        <v>2025</v>
      </c>
      <c r="B466" s="60" t="n">
        <v>6</v>
      </c>
      <c r="C466" s="60" t="inlineStr">
        <is>
          <t>1000</t>
        </is>
      </c>
      <c r="D466" s="60" t="n">
        <v>1801</v>
      </c>
      <c r="E466" s="60" t="inlineStr">
        <is>
          <t>고객서비스</t>
        </is>
      </c>
      <c r="F466" s="60" t="n">
        <v>62102000</v>
      </c>
      <c r="G466" s="60" t="inlineStr">
        <is>
          <t>여비교통비-해외</t>
        </is>
      </c>
      <c r="H466" s="61" t="n">
        <v>150340</v>
      </c>
      <c r="J466" s="63">
        <f>IF($A466="","",IFERROR(INDEX(부서매핑!$C$5:$C$504,MATCH($D466&amp;"",부서매핑!$A$5:$A$504,0)),"미매핑"))</f>
        <v/>
      </c>
      <c r="K466" s="63">
        <f>IF($A466="","",IFERROR(INDEX(계정매핑!$C$5:$C$504,MATCH($F466&amp;"",계정매핑!$A$5:$A$504,0)),"미매핑"))</f>
        <v/>
      </c>
      <c r="L466" s="4">
        <f>IF($A466="","",VALUE($A466&amp;""))</f>
        <v/>
      </c>
      <c r="M466" s="4">
        <f>IF($A466="","",VALUE($B466&amp;""))</f>
        <v/>
      </c>
      <c r="N466" s="64">
        <f>IF($A466="","",$H466*설정!$C$15)</f>
        <v/>
      </c>
      <c r="O466" s="4">
        <f>IF($A466="","",J466&amp;"|"&amp;K466)</f>
        <v/>
      </c>
      <c r="P466" s="63">
        <f>IF($A466="","",IF(COUNTIFS(예산_원본!$T$5:$T$3004,O466,예산_원본!$B$5:$B$3004,설정!$C$8,예산_원본!$U$5:$U$3004,L466)&gt;0,"Y","N"))</f>
        <v/>
      </c>
      <c r="Q466" s="63">
        <f>IF($A466="","",IF(COUNTIF(집계!$E$7:$E$506,O466)&gt;0,"Y","N"))</f>
        <v/>
      </c>
    </row>
    <row r="467">
      <c r="A467" s="60" t="n">
        <v>2025</v>
      </c>
      <c r="B467" s="60" t="n">
        <v>6</v>
      </c>
      <c r="C467" s="60" t="inlineStr">
        <is>
          <t>1000</t>
        </is>
      </c>
      <c r="D467" s="60" t="n">
        <v>1801</v>
      </c>
      <c r="E467" s="60" t="inlineStr">
        <is>
          <t>고객서비스</t>
        </is>
      </c>
      <c r="F467" s="60" t="n">
        <v>62201000</v>
      </c>
      <c r="G467" s="60" t="inlineStr">
        <is>
          <t>통신비</t>
        </is>
      </c>
      <c r="H467" s="61" t="n">
        <v>16558610</v>
      </c>
      <c r="J467" s="63">
        <f>IF($A467="","",IFERROR(INDEX(부서매핑!$C$5:$C$504,MATCH($D467&amp;"",부서매핑!$A$5:$A$504,0)),"미매핑"))</f>
        <v/>
      </c>
      <c r="K467" s="63">
        <f>IF($A467="","",IFERROR(INDEX(계정매핑!$C$5:$C$504,MATCH($F467&amp;"",계정매핑!$A$5:$A$504,0)),"미매핑"))</f>
        <v/>
      </c>
      <c r="L467" s="4">
        <f>IF($A467="","",VALUE($A467&amp;""))</f>
        <v/>
      </c>
      <c r="M467" s="4">
        <f>IF($A467="","",VALUE($B467&amp;""))</f>
        <v/>
      </c>
      <c r="N467" s="64">
        <f>IF($A467="","",$H467*설정!$C$15)</f>
        <v/>
      </c>
      <c r="O467" s="4">
        <f>IF($A467="","",J467&amp;"|"&amp;K467)</f>
        <v/>
      </c>
      <c r="P467" s="63">
        <f>IF($A467="","",IF(COUNTIFS(예산_원본!$T$5:$T$3004,O467,예산_원본!$B$5:$B$3004,설정!$C$8,예산_원본!$U$5:$U$3004,L467)&gt;0,"Y","N"))</f>
        <v/>
      </c>
      <c r="Q467" s="63">
        <f>IF($A467="","",IF(COUNTIF(집계!$E$7:$E$506,O467)&gt;0,"Y","N"))</f>
        <v/>
      </c>
    </row>
    <row r="468">
      <c r="A468" s="60" t="n">
        <v>2025</v>
      </c>
      <c r="B468" s="60" t="n">
        <v>6</v>
      </c>
      <c r="C468" s="60" t="inlineStr">
        <is>
          <t>1000</t>
        </is>
      </c>
      <c r="D468" s="60" t="n">
        <v>1801</v>
      </c>
      <c r="E468" s="60" t="inlineStr">
        <is>
          <t>고객서비스</t>
        </is>
      </c>
      <c r="F468" s="60" t="n">
        <v>62301000</v>
      </c>
      <c r="G468" s="60" t="inlineStr">
        <is>
          <t>소모품비</t>
        </is>
      </c>
      <c r="H468" s="61" t="n">
        <v>1340220</v>
      </c>
      <c r="J468" s="63">
        <f>IF($A468="","",IFERROR(INDEX(부서매핑!$C$5:$C$504,MATCH($D468&amp;"",부서매핑!$A$5:$A$504,0)),"미매핑"))</f>
        <v/>
      </c>
      <c r="K468" s="63">
        <f>IF($A468="","",IFERROR(INDEX(계정매핑!$C$5:$C$504,MATCH($F468&amp;"",계정매핑!$A$5:$A$504,0)),"미매핑"))</f>
        <v/>
      </c>
      <c r="L468" s="4">
        <f>IF($A468="","",VALUE($A468&amp;""))</f>
        <v/>
      </c>
      <c r="M468" s="4">
        <f>IF($A468="","",VALUE($B468&amp;""))</f>
        <v/>
      </c>
      <c r="N468" s="64">
        <f>IF($A468="","",$H468*설정!$C$15)</f>
        <v/>
      </c>
      <c r="O468" s="4">
        <f>IF($A468="","",J468&amp;"|"&amp;K468)</f>
        <v/>
      </c>
      <c r="P468" s="63">
        <f>IF($A468="","",IF(COUNTIFS(예산_원본!$T$5:$T$3004,O468,예산_원본!$B$5:$B$3004,설정!$C$8,예산_원본!$U$5:$U$3004,L468)&gt;0,"Y","N"))</f>
        <v/>
      </c>
      <c r="Q468" s="63">
        <f>IF($A468="","",IF(COUNTIF(집계!$E$7:$E$506,O468)&gt;0,"Y","N"))</f>
        <v/>
      </c>
    </row>
    <row r="469">
      <c r="A469" s="60" t="n">
        <v>2025</v>
      </c>
      <c r="B469" s="60" t="n">
        <v>6</v>
      </c>
      <c r="C469" s="60" t="inlineStr">
        <is>
          <t>1000</t>
        </is>
      </c>
      <c r="D469" s="60" t="n">
        <v>1801</v>
      </c>
      <c r="E469" s="60" t="inlineStr">
        <is>
          <t>고객서비스</t>
        </is>
      </c>
      <c r="F469" s="60" t="n">
        <v>62401000</v>
      </c>
      <c r="G469" s="60" t="inlineStr">
        <is>
          <t>도서인쇄비</t>
        </is>
      </c>
      <c r="H469" s="61" t="n">
        <v>8019820</v>
      </c>
      <c r="J469" s="63">
        <f>IF($A469="","",IFERROR(INDEX(부서매핑!$C$5:$C$504,MATCH($D469&amp;"",부서매핑!$A$5:$A$504,0)),"미매핑"))</f>
        <v/>
      </c>
      <c r="K469" s="63">
        <f>IF($A469="","",IFERROR(INDEX(계정매핑!$C$5:$C$504,MATCH($F469&amp;"",계정매핑!$A$5:$A$504,0)),"미매핑"))</f>
        <v/>
      </c>
      <c r="L469" s="4">
        <f>IF($A469="","",VALUE($A469&amp;""))</f>
        <v/>
      </c>
      <c r="M469" s="4">
        <f>IF($A469="","",VALUE($B469&amp;""))</f>
        <v/>
      </c>
      <c r="N469" s="64">
        <f>IF($A469="","",$H469*설정!$C$15)</f>
        <v/>
      </c>
      <c r="O469" s="4">
        <f>IF($A469="","",J469&amp;"|"&amp;K469)</f>
        <v/>
      </c>
      <c r="P469" s="63">
        <f>IF($A469="","",IF(COUNTIFS(예산_원본!$T$5:$T$3004,O469,예산_원본!$B$5:$B$3004,설정!$C$8,예산_원본!$U$5:$U$3004,L469)&gt;0,"Y","N"))</f>
        <v/>
      </c>
      <c r="Q469" s="63">
        <f>IF($A469="","",IF(COUNTIF(집계!$E$7:$E$506,O469)&gt;0,"Y","N"))</f>
        <v/>
      </c>
    </row>
    <row r="470">
      <c r="A470" s="60" t="n">
        <v>2025</v>
      </c>
      <c r="B470" s="60" t="n">
        <v>6</v>
      </c>
      <c r="C470" s="60" t="inlineStr">
        <is>
          <t>1000</t>
        </is>
      </c>
      <c r="D470" s="60" t="n">
        <v>1801</v>
      </c>
      <c r="E470" s="60" t="inlineStr">
        <is>
          <t>고객서비스</t>
        </is>
      </c>
      <c r="F470" s="60" t="n">
        <v>62501000</v>
      </c>
      <c r="G470" s="60" t="inlineStr">
        <is>
          <t>회의비</t>
        </is>
      </c>
      <c r="H470" s="61" t="n">
        <v>368070</v>
      </c>
      <c r="J470" s="63">
        <f>IF($A470="","",IFERROR(INDEX(부서매핑!$C$5:$C$504,MATCH($D470&amp;"",부서매핑!$A$5:$A$504,0)),"미매핑"))</f>
        <v/>
      </c>
      <c r="K470" s="63">
        <f>IF($A470="","",IFERROR(INDEX(계정매핑!$C$5:$C$504,MATCH($F470&amp;"",계정매핑!$A$5:$A$504,0)),"미매핑"))</f>
        <v/>
      </c>
      <c r="L470" s="4">
        <f>IF($A470="","",VALUE($A470&amp;""))</f>
        <v/>
      </c>
      <c r="M470" s="4">
        <f>IF($A470="","",VALUE($B470&amp;""))</f>
        <v/>
      </c>
      <c r="N470" s="64">
        <f>IF($A470="","",$H470*설정!$C$15)</f>
        <v/>
      </c>
      <c r="O470" s="4">
        <f>IF($A470="","",J470&amp;"|"&amp;K470)</f>
        <v/>
      </c>
      <c r="P470" s="63">
        <f>IF($A470="","",IF(COUNTIFS(예산_원본!$T$5:$T$3004,O470,예산_원본!$B$5:$B$3004,설정!$C$8,예산_원본!$U$5:$U$3004,L470)&gt;0,"Y","N"))</f>
        <v/>
      </c>
      <c r="Q470" s="63">
        <f>IF($A470="","",IF(COUNTIF(집계!$E$7:$E$506,O470)&gt;0,"Y","N"))</f>
        <v/>
      </c>
    </row>
    <row r="471">
      <c r="A471" s="60" t="n">
        <v>2025</v>
      </c>
      <c r="B471" s="60" t="n">
        <v>6</v>
      </c>
      <c r="C471" s="60" t="inlineStr">
        <is>
          <t>1000</t>
        </is>
      </c>
      <c r="D471" s="60" t="n">
        <v>1801</v>
      </c>
      <c r="E471" s="60" t="inlineStr">
        <is>
          <t>고객서비스</t>
        </is>
      </c>
      <c r="F471" s="60" t="n">
        <v>62901000</v>
      </c>
      <c r="G471" s="60" t="inlineStr">
        <is>
          <t>지급수수료-컨설팅</t>
        </is>
      </c>
      <c r="H471" s="61" t="n">
        <v>24783910</v>
      </c>
      <c r="J471" s="63">
        <f>IF($A471="","",IFERROR(INDEX(부서매핑!$C$5:$C$504,MATCH($D471&amp;"",부서매핑!$A$5:$A$504,0)),"미매핑"))</f>
        <v/>
      </c>
      <c r="K471" s="63">
        <f>IF($A471="","",IFERROR(INDEX(계정매핑!$C$5:$C$504,MATCH($F471&amp;"",계정매핑!$A$5:$A$504,0)),"미매핑"))</f>
        <v/>
      </c>
      <c r="L471" s="4">
        <f>IF($A471="","",VALUE($A471&amp;""))</f>
        <v/>
      </c>
      <c r="M471" s="4">
        <f>IF($A471="","",VALUE($B471&amp;""))</f>
        <v/>
      </c>
      <c r="N471" s="64">
        <f>IF($A471="","",$H471*설정!$C$15)</f>
        <v/>
      </c>
      <c r="O471" s="4">
        <f>IF($A471="","",J471&amp;"|"&amp;K471)</f>
        <v/>
      </c>
      <c r="P471" s="63">
        <f>IF($A471="","",IF(COUNTIFS(예산_원본!$T$5:$T$3004,O471,예산_원본!$B$5:$B$3004,설정!$C$8,예산_원본!$U$5:$U$3004,L471)&gt;0,"Y","N"))</f>
        <v/>
      </c>
      <c r="Q471" s="63">
        <f>IF($A471="","",IF(COUNTIF(집계!$E$7:$E$506,O471)&gt;0,"Y","N"))</f>
        <v/>
      </c>
    </row>
    <row r="472">
      <c r="A472" s="60" t="n">
        <v>2025</v>
      </c>
      <c r="B472" s="60" t="n">
        <v>6</v>
      </c>
      <c r="C472" s="60" t="inlineStr">
        <is>
          <t>1000</t>
        </is>
      </c>
      <c r="D472" s="60" t="n">
        <v>1801</v>
      </c>
      <c r="E472" s="60" t="inlineStr">
        <is>
          <t>고객서비스</t>
        </is>
      </c>
      <c r="F472" s="60" t="n">
        <v>62902000</v>
      </c>
      <c r="G472" s="60" t="inlineStr">
        <is>
          <t>지급수수료-기타</t>
        </is>
      </c>
      <c r="H472" s="61" t="n">
        <v>11822310</v>
      </c>
      <c r="J472" s="63">
        <f>IF($A472="","",IFERROR(INDEX(부서매핑!$C$5:$C$504,MATCH($D472&amp;"",부서매핑!$A$5:$A$504,0)),"미매핑"))</f>
        <v/>
      </c>
      <c r="K472" s="63">
        <f>IF($A472="","",IFERROR(INDEX(계정매핑!$C$5:$C$504,MATCH($F472&amp;"",계정매핑!$A$5:$A$504,0)),"미매핑"))</f>
        <v/>
      </c>
      <c r="L472" s="4">
        <f>IF($A472="","",VALUE($A472&amp;""))</f>
        <v/>
      </c>
      <c r="M472" s="4">
        <f>IF($A472="","",VALUE($B472&amp;""))</f>
        <v/>
      </c>
      <c r="N472" s="64">
        <f>IF($A472="","",$H472*설정!$C$15)</f>
        <v/>
      </c>
      <c r="O472" s="4">
        <f>IF($A472="","",J472&amp;"|"&amp;K472)</f>
        <v/>
      </c>
      <c r="P472" s="63">
        <f>IF($A472="","",IF(COUNTIFS(예산_원본!$T$5:$T$3004,O472,예산_원본!$B$5:$B$3004,설정!$C$8,예산_원본!$U$5:$U$3004,L472)&gt;0,"Y","N"))</f>
        <v/>
      </c>
      <c r="Q472" s="63">
        <f>IF($A472="","",IF(COUNTIF(집계!$E$7:$E$506,O472)&gt;0,"Y","N"))</f>
        <v/>
      </c>
    </row>
    <row r="473">
      <c r="A473" s="60" t="n">
        <v>2025</v>
      </c>
      <c r="B473" s="60" t="n">
        <v>7</v>
      </c>
      <c r="C473" s="60" t="inlineStr">
        <is>
          <t>1000</t>
        </is>
      </c>
      <c r="D473" s="60" t="n">
        <v>1101</v>
      </c>
      <c r="E473" s="60" t="inlineStr">
        <is>
          <t>경영기획</t>
        </is>
      </c>
      <c r="F473" s="60" t="n">
        <v>62101000</v>
      </c>
      <c r="G473" s="60" t="inlineStr">
        <is>
          <t>여비교통비-국내</t>
        </is>
      </c>
      <c r="H473" s="61" t="n">
        <v>2312510</v>
      </c>
      <c r="J473" s="63">
        <f>IF($A473="","",IFERROR(INDEX(부서매핑!$C$5:$C$504,MATCH($D473&amp;"",부서매핑!$A$5:$A$504,0)),"미매핑"))</f>
        <v/>
      </c>
      <c r="K473" s="63">
        <f>IF($A473="","",IFERROR(INDEX(계정매핑!$C$5:$C$504,MATCH($F473&amp;"",계정매핑!$A$5:$A$504,0)),"미매핑"))</f>
        <v/>
      </c>
      <c r="L473" s="4">
        <f>IF($A473="","",VALUE($A473&amp;""))</f>
        <v/>
      </c>
      <c r="M473" s="4">
        <f>IF($A473="","",VALUE($B473&amp;""))</f>
        <v/>
      </c>
      <c r="N473" s="64">
        <f>IF($A473="","",$H473*설정!$C$15)</f>
        <v/>
      </c>
      <c r="O473" s="4">
        <f>IF($A473="","",J473&amp;"|"&amp;K473)</f>
        <v/>
      </c>
      <c r="P473" s="63">
        <f>IF($A473="","",IF(COUNTIFS(예산_원본!$T$5:$T$3004,O473,예산_원본!$B$5:$B$3004,설정!$C$8,예산_원본!$U$5:$U$3004,L473)&gt;0,"Y","N"))</f>
        <v/>
      </c>
      <c r="Q473" s="63">
        <f>IF($A473="","",IF(COUNTIF(집계!$E$7:$E$506,O473)&gt;0,"Y","N"))</f>
        <v/>
      </c>
    </row>
    <row r="474">
      <c r="A474" s="60" t="n">
        <v>2025</v>
      </c>
      <c r="B474" s="60" t="n">
        <v>7</v>
      </c>
      <c r="C474" s="60" t="inlineStr">
        <is>
          <t>1000</t>
        </is>
      </c>
      <c r="D474" s="60" t="n">
        <v>1101</v>
      </c>
      <c r="E474" s="60" t="inlineStr">
        <is>
          <t>경영기획</t>
        </is>
      </c>
      <c r="F474" s="60" t="n">
        <v>62102000</v>
      </c>
      <c r="G474" s="60" t="inlineStr">
        <is>
          <t>여비교통비-해외</t>
        </is>
      </c>
      <c r="H474" s="61" t="n">
        <v>480960</v>
      </c>
      <c r="J474" s="63">
        <f>IF($A474="","",IFERROR(INDEX(부서매핑!$C$5:$C$504,MATCH($D474&amp;"",부서매핑!$A$5:$A$504,0)),"미매핑"))</f>
        <v/>
      </c>
      <c r="K474" s="63">
        <f>IF($A474="","",IFERROR(INDEX(계정매핑!$C$5:$C$504,MATCH($F474&amp;"",계정매핑!$A$5:$A$504,0)),"미매핑"))</f>
        <v/>
      </c>
      <c r="L474" s="4">
        <f>IF($A474="","",VALUE($A474&amp;""))</f>
        <v/>
      </c>
      <c r="M474" s="4">
        <f>IF($A474="","",VALUE($B474&amp;""))</f>
        <v/>
      </c>
      <c r="N474" s="64">
        <f>IF($A474="","",$H474*설정!$C$15)</f>
        <v/>
      </c>
      <c r="O474" s="4">
        <f>IF($A474="","",J474&amp;"|"&amp;K474)</f>
        <v/>
      </c>
      <c r="P474" s="63">
        <f>IF($A474="","",IF(COUNTIFS(예산_원본!$T$5:$T$3004,O474,예산_원본!$B$5:$B$3004,설정!$C$8,예산_원본!$U$5:$U$3004,L474)&gt;0,"Y","N"))</f>
        <v/>
      </c>
      <c r="Q474" s="63">
        <f>IF($A474="","",IF(COUNTIF(집계!$E$7:$E$506,O474)&gt;0,"Y","N"))</f>
        <v/>
      </c>
    </row>
    <row r="475">
      <c r="A475" s="60" t="n">
        <v>2025</v>
      </c>
      <c r="B475" s="60" t="n">
        <v>7</v>
      </c>
      <c r="C475" s="60" t="inlineStr">
        <is>
          <t>1000</t>
        </is>
      </c>
      <c r="D475" s="60" t="n">
        <v>1101</v>
      </c>
      <c r="E475" s="60" t="inlineStr">
        <is>
          <t>경영기획</t>
        </is>
      </c>
      <c r="F475" s="60" t="n">
        <v>62201000</v>
      </c>
      <c r="G475" s="60" t="inlineStr">
        <is>
          <t>통신비</t>
        </is>
      </c>
      <c r="H475" s="61" t="n">
        <v>720580</v>
      </c>
      <c r="J475" s="63">
        <f>IF($A475="","",IFERROR(INDEX(부서매핑!$C$5:$C$504,MATCH($D475&amp;"",부서매핑!$A$5:$A$504,0)),"미매핑"))</f>
        <v/>
      </c>
      <c r="K475" s="63">
        <f>IF($A475="","",IFERROR(INDEX(계정매핑!$C$5:$C$504,MATCH($F475&amp;"",계정매핑!$A$5:$A$504,0)),"미매핑"))</f>
        <v/>
      </c>
      <c r="L475" s="4">
        <f>IF($A475="","",VALUE($A475&amp;""))</f>
        <v/>
      </c>
      <c r="M475" s="4">
        <f>IF($A475="","",VALUE($B475&amp;""))</f>
        <v/>
      </c>
      <c r="N475" s="64">
        <f>IF($A475="","",$H475*설정!$C$15)</f>
        <v/>
      </c>
      <c r="O475" s="4">
        <f>IF($A475="","",J475&amp;"|"&amp;K475)</f>
        <v/>
      </c>
      <c r="P475" s="63">
        <f>IF($A475="","",IF(COUNTIFS(예산_원본!$T$5:$T$3004,O475,예산_원본!$B$5:$B$3004,설정!$C$8,예산_원본!$U$5:$U$3004,L475)&gt;0,"Y","N"))</f>
        <v/>
      </c>
      <c r="Q475" s="63">
        <f>IF($A475="","",IF(COUNTIF(집계!$E$7:$E$506,O475)&gt;0,"Y","N"))</f>
        <v/>
      </c>
    </row>
    <row r="476">
      <c r="A476" s="60" t="n">
        <v>2025</v>
      </c>
      <c r="B476" s="60" t="n">
        <v>7</v>
      </c>
      <c r="C476" s="60" t="inlineStr">
        <is>
          <t>1000</t>
        </is>
      </c>
      <c r="D476" s="60" t="n">
        <v>1101</v>
      </c>
      <c r="E476" s="60" t="inlineStr">
        <is>
          <t>경영기획</t>
        </is>
      </c>
      <c r="F476" s="60" t="n">
        <v>62301000</v>
      </c>
      <c r="G476" s="60" t="inlineStr">
        <is>
          <t>소모품비</t>
        </is>
      </c>
      <c r="H476" s="61" t="n">
        <v>471270</v>
      </c>
      <c r="J476" s="63">
        <f>IF($A476="","",IFERROR(INDEX(부서매핑!$C$5:$C$504,MATCH($D476&amp;"",부서매핑!$A$5:$A$504,0)),"미매핑"))</f>
        <v/>
      </c>
      <c r="K476" s="63">
        <f>IF($A476="","",IFERROR(INDEX(계정매핑!$C$5:$C$504,MATCH($F476&amp;"",계정매핑!$A$5:$A$504,0)),"미매핑"))</f>
        <v/>
      </c>
      <c r="L476" s="4">
        <f>IF($A476="","",VALUE($A476&amp;""))</f>
        <v/>
      </c>
      <c r="M476" s="4">
        <f>IF($A476="","",VALUE($B476&amp;""))</f>
        <v/>
      </c>
      <c r="N476" s="64">
        <f>IF($A476="","",$H476*설정!$C$15)</f>
        <v/>
      </c>
      <c r="O476" s="4">
        <f>IF($A476="","",J476&amp;"|"&amp;K476)</f>
        <v/>
      </c>
      <c r="P476" s="63">
        <f>IF($A476="","",IF(COUNTIFS(예산_원본!$T$5:$T$3004,O476,예산_원본!$B$5:$B$3004,설정!$C$8,예산_원본!$U$5:$U$3004,L476)&gt;0,"Y","N"))</f>
        <v/>
      </c>
      <c r="Q476" s="63">
        <f>IF($A476="","",IF(COUNTIF(집계!$E$7:$E$506,O476)&gt;0,"Y","N"))</f>
        <v/>
      </c>
    </row>
    <row r="477">
      <c r="A477" s="60" t="n">
        <v>2025</v>
      </c>
      <c r="B477" s="60" t="n">
        <v>7</v>
      </c>
      <c r="C477" s="60" t="inlineStr">
        <is>
          <t>1000</t>
        </is>
      </c>
      <c r="D477" s="60" t="n">
        <v>1101</v>
      </c>
      <c r="E477" s="60" t="inlineStr">
        <is>
          <t>경영기획</t>
        </is>
      </c>
      <c r="F477" s="60" t="n">
        <v>62501000</v>
      </c>
      <c r="G477" s="60" t="inlineStr">
        <is>
          <t>회의비</t>
        </is>
      </c>
      <c r="H477" s="61" t="n">
        <v>972720</v>
      </c>
      <c r="J477" s="63">
        <f>IF($A477="","",IFERROR(INDEX(부서매핑!$C$5:$C$504,MATCH($D477&amp;"",부서매핑!$A$5:$A$504,0)),"미매핑"))</f>
        <v/>
      </c>
      <c r="K477" s="63">
        <f>IF($A477="","",IFERROR(INDEX(계정매핑!$C$5:$C$504,MATCH($F477&amp;"",계정매핑!$A$5:$A$504,0)),"미매핑"))</f>
        <v/>
      </c>
      <c r="L477" s="4">
        <f>IF($A477="","",VALUE($A477&amp;""))</f>
        <v/>
      </c>
      <c r="M477" s="4">
        <f>IF($A477="","",VALUE($B477&amp;""))</f>
        <v/>
      </c>
      <c r="N477" s="64">
        <f>IF($A477="","",$H477*설정!$C$15)</f>
        <v/>
      </c>
      <c r="O477" s="4">
        <f>IF($A477="","",J477&amp;"|"&amp;K477)</f>
        <v/>
      </c>
      <c r="P477" s="63">
        <f>IF($A477="","",IF(COUNTIFS(예산_원본!$T$5:$T$3004,O477,예산_원본!$B$5:$B$3004,설정!$C$8,예산_원본!$U$5:$U$3004,L477)&gt;0,"Y","N"))</f>
        <v/>
      </c>
      <c r="Q477" s="63">
        <f>IF($A477="","",IF(COUNTIF(집계!$E$7:$E$506,O477)&gt;0,"Y","N"))</f>
        <v/>
      </c>
    </row>
    <row r="478">
      <c r="A478" s="60" t="n">
        <v>2025</v>
      </c>
      <c r="B478" s="60" t="n">
        <v>7</v>
      </c>
      <c r="C478" s="60" t="inlineStr">
        <is>
          <t>1000</t>
        </is>
      </c>
      <c r="D478" s="60" t="n">
        <v>1101</v>
      </c>
      <c r="E478" s="60" t="inlineStr">
        <is>
          <t>경영기획</t>
        </is>
      </c>
      <c r="F478" s="60" t="n">
        <v>62601000</v>
      </c>
      <c r="G478" s="60" t="inlineStr">
        <is>
          <t>업무추진비</t>
        </is>
      </c>
      <c r="H478" s="61" t="n">
        <v>3600850</v>
      </c>
      <c r="J478" s="63">
        <f>IF($A478="","",IFERROR(INDEX(부서매핑!$C$5:$C$504,MATCH($D478&amp;"",부서매핑!$A$5:$A$504,0)),"미매핑"))</f>
        <v/>
      </c>
      <c r="K478" s="63">
        <f>IF($A478="","",IFERROR(INDEX(계정매핑!$C$5:$C$504,MATCH($F478&amp;"",계정매핑!$A$5:$A$504,0)),"미매핑"))</f>
        <v/>
      </c>
      <c r="L478" s="4">
        <f>IF($A478="","",VALUE($A478&amp;""))</f>
        <v/>
      </c>
      <c r="M478" s="4">
        <f>IF($A478="","",VALUE($B478&amp;""))</f>
        <v/>
      </c>
      <c r="N478" s="64">
        <f>IF($A478="","",$H478*설정!$C$15)</f>
        <v/>
      </c>
      <c r="O478" s="4">
        <f>IF($A478="","",J478&amp;"|"&amp;K478)</f>
        <v/>
      </c>
      <c r="P478" s="63">
        <f>IF($A478="","",IF(COUNTIFS(예산_원본!$T$5:$T$3004,O478,예산_원본!$B$5:$B$3004,설정!$C$8,예산_원본!$U$5:$U$3004,L478)&gt;0,"Y","N"))</f>
        <v/>
      </c>
      <c r="Q478" s="63">
        <f>IF($A478="","",IF(COUNTIF(집계!$E$7:$E$506,O478)&gt;0,"Y","N"))</f>
        <v/>
      </c>
    </row>
    <row r="479">
      <c r="A479" s="60" t="n">
        <v>2025</v>
      </c>
      <c r="B479" s="60" t="n">
        <v>7</v>
      </c>
      <c r="C479" s="60" t="inlineStr">
        <is>
          <t>1000</t>
        </is>
      </c>
      <c r="D479" s="60" t="n">
        <v>1101</v>
      </c>
      <c r="E479" s="60" t="inlineStr">
        <is>
          <t>경영기획</t>
        </is>
      </c>
      <c r="F479" s="60" t="n">
        <v>62901000</v>
      </c>
      <c r="G479" s="60" t="inlineStr">
        <is>
          <t>지급수수료-컨설팅</t>
        </is>
      </c>
      <c r="H479" s="61" t="n">
        <v>11950610</v>
      </c>
      <c r="J479" s="63">
        <f>IF($A479="","",IFERROR(INDEX(부서매핑!$C$5:$C$504,MATCH($D479&amp;"",부서매핑!$A$5:$A$504,0)),"미매핑"))</f>
        <v/>
      </c>
      <c r="K479" s="63">
        <f>IF($A479="","",IFERROR(INDEX(계정매핑!$C$5:$C$504,MATCH($F479&amp;"",계정매핑!$A$5:$A$504,0)),"미매핑"))</f>
        <v/>
      </c>
      <c r="L479" s="4">
        <f>IF($A479="","",VALUE($A479&amp;""))</f>
        <v/>
      </c>
      <c r="M479" s="4">
        <f>IF($A479="","",VALUE($B479&amp;""))</f>
        <v/>
      </c>
      <c r="N479" s="64">
        <f>IF($A479="","",$H479*설정!$C$15)</f>
        <v/>
      </c>
      <c r="O479" s="4">
        <f>IF($A479="","",J479&amp;"|"&amp;K479)</f>
        <v/>
      </c>
      <c r="P479" s="63">
        <f>IF($A479="","",IF(COUNTIFS(예산_원본!$T$5:$T$3004,O479,예산_원본!$B$5:$B$3004,설정!$C$8,예산_원본!$U$5:$U$3004,L479)&gt;0,"Y","N"))</f>
        <v/>
      </c>
      <c r="Q479" s="63">
        <f>IF($A479="","",IF(COUNTIF(집계!$E$7:$E$506,O479)&gt;0,"Y","N"))</f>
        <v/>
      </c>
    </row>
    <row r="480">
      <c r="A480" s="60" t="n">
        <v>2025</v>
      </c>
      <c r="B480" s="60" t="n">
        <v>7</v>
      </c>
      <c r="C480" s="60" t="inlineStr">
        <is>
          <t>1000</t>
        </is>
      </c>
      <c r="D480" s="60" t="n">
        <v>1101</v>
      </c>
      <c r="E480" s="60" t="inlineStr">
        <is>
          <t>경영기획</t>
        </is>
      </c>
      <c r="F480" s="60" t="n">
        <v>62902000</v>
      </c>
      <c r="G480" s="60" t="inlineStr">
        <is>
          <t>지급수수료-기타</t>
        </is>
      </c>
      <c r="H480" s="61" t="n">
        <v>5325850</v>
      </c>
      <c r="J480" s="63">
        <f>IF($A480="","",IFERROR(INDEX(부서매핑!$C$5:$C$504,MATCH($D480&amp;"",부서매핑!$A$5:$A$504,0)),"미매핑"))</f>
        <v/>
      </c>
      <c r="K480" s="63">
        <f>IF($A480="","",IFERROR(INDEX(계정매핑!$C$5:$C$504,MATCH($F480&amp;"",계정매핑!$A$5:$A$504,0)),"미매핑"))</f>
        <v/>
      </c>
      <c r="L480" s="4">
        <f>IF($A480="","",VALUE($A480&amp;""))</f>
        <v/>
      </c>
      <c r="M480" s="4">
        <f>IF($A480="","",VALUE($B480&amp;""))</f>
        <v/>
      </c>
      <c r="N480" s="64">
        <f>IF($A480="","",$H480*설정!$C$15)</f>
        <v/>
      </c>
      <c r="O480" s="4">
        <f>IF($A480="","",J480&amp;"|"&amp;K480)</f>
        <v/>
      </c>
      <c r="P480" s="63">
        <f>IF($A480="","",IF(COUNTIFS(예산_원본!$T$5:$T$3004,O480,예산_원본!$B$5:$B$3004,설정!$C$8,예산_원본!$U$5:$U$3004,L480)&gt;0,"Y","N"))</f>
        <v/>
      </c>
      <c r="Q480" s="63">
        <f>IF($A480="","",IF(COUNTIF(집계!$E$7:$E$506,O480)&gt;0,"Y","N"))</f>
        <v/>
      </c>
    </row>
    <row r="481">
      <c r="A481" s="60" t="n">
        <v>2025</v>
      </c>
      <c r="B481" s="60" t="n">
        <v>7</v>
      </c>
      <c r="C481" s="60" t="inlineStr">
        <is>
          <t>1000</t>
        </is>
      </c>
      <c r="D481" s="60" t="n">
        <v>1201</v>
      </c>
      <c r="E481" s="60" t="inlineStr">
        <is>
          <t>재무회계</t>
        </is>
      </c>
      <c r="F481" s="60" t="n">
        <v>62101000</v>
      </c>
      <c r="G481" s="60" t="inlineStr">
        <is>
          <t>여비교통비-국내</t>
        </is>
      </c>
      <c r="H481" s="61" t="n">
        <v>1207210</v>
      </c>
      <c r="J481" s="63">
        <f>IF($A481="","",IFERROR(INDEX(부서매핑!$C$5:$C$504,MATCH($D481&amp;"",부서매핑!$A$5:$A$504,0)),"미매핑"))</f>
        <v/>
      </c>
      <c r="K481" s="63">
        <f>IF($A481="","",IFERROR(INDEX(계정매핑!$C$5:$C$504,MATCH($F481&amp;"",계정매핑!$A$5:$A$504,0)),"미매핑"))</f>
        <v/>
      </c>
      <c r="L481" s="4">
        <f>IF($A481="","",VALUE($A481&amp;""))</f>
        <v/>
      </c>
      <c r="M481" s="4">
        <f>IF($A481="","",VALUE($B481&amp;""))</f>
        <v/>
      </c>
      <c r="N481" s="64">
        <f>IF($A481="","",$H481*설정!$C$15)</f>
        <v/>
      </c>
      <c r="O481" s="4">
        <f>IF($A481="","",J481&amp;"|"&amp;K481)</f>
        <v/>
      </c>
      <c r="P481" s="63">
        <f>IF($A481="","",IF(COUNTIFS(예산_원본!$T$5:$T$3004,O481,예산_원본!$B$5:$B$3004,설정!$C$8,예산_원본!$U$5:$U$3004,L481)&gt;0,"Y","N"))</f>
        <v/>
      </c>
      <c r="Q481" s="63">
        <f>IF($A481="","",IF(COUNTIF(집계!$E$7:$E$506,O481)&gt;0,"Y","N"))</f>
        <v/>
      </c>
    </row>
    <row r="482">
      <c r="A482" s="60" t="n">
        <v>2025</v>
      </c>
      <c r="B482" s="60" t="n">
        <v>7</v>
      </c>
      <c r="C482" s="60" t="inlineStr">
        <is>
          <t>1000</t>
        </is>
      </c>
      <c r="D482" s="60" t="n">
        <v>1201</v>
      </c>
      <c r="E482" s="60" t="inlineStr">
        <is>
          <t>재무회계</t>
        </is>
      </c>
      <c r="F482" s="60" t="n">
        <v>62102000</v>
      </c>
      <c r="G482" s="60" t="inlineStr">
        <is>
          <t>여비교통비-해외</t>
        </is>
      </c>
      <c r="H482" s="61" t="n">
        <v>205400</v>
      </c>
      <c r="J482" s="63">
        <f>IF($A482="","",IFERROR(INDEX(부서매핑!$C$5:$C$504,MATCH($D482&amp;"",부서매핑!$A$5:$A$504,0)),"미매핑"))</f>
        <v/>
      </c>
      <c r="K482" s="63">
        <f>IF($A482="","",IFERROR(INDEX(계정매핑!$C$5:$C$504,MATCH($F482&amp;"",계정매핑!$A$5:$A$504,0)),"미매핑"))</f>
        <v/>
      </c>
      <c r="L482" s="4">
        <f>IF($A482="","",VALUE($A482&amp;""))</f>
        <v/>
      </c>
      <c r="M482" s="4">
        <f>IF($A482="","",VALUE($B482&amp;""))</f>
        <v/>
      </c>
      <c r="N482" s="64">
        <f>IF($A482="","",$H482*설정!$C$15)</f>
        <v/>
      </c>
      <c r="O482" s="4">
        <f>IF($A482="","",J482&amp;"|"&amp;K482)</f>
        <v/>
      </c>
      <c r="P482" s="63">
        <f>IF($A482="","",IF(COUNTIFS(예산_원본!$T$5:$T$3004,O482,예산_원본!$B$5:$B$3004,설정!$C$8,예산_원본!$U$5:$U$3004,L482)&gt;0,"Y","N"))</f>
        <v/>
      </c>
      <c r="Q482" s="63">
        <f>IF($A482="","",IF(COUNTIF(집계!$E$7:$E$506,O482)&gt;0,"Y","N"))</f>
        <v/>
      </c>
    </row>
    <row r="483">
      <c r="A483" s="60" t="n">
        <v>2025</v>
      </c>
      <c r="B483" s="60" t="n">
        <v>7</v>
      </c>
      <c r="C483" s="60" t="inlineStr">
        <is>
          <t>1000</t>
        </is>
      </c>
      <c r="D483" s="60" t="n">
        <v>1201</v>
      </c>
      <c r="E483" s="60" t="inlineStr">
        <is>
          <t>재무회계</t>
        </is>
      </c>
      <c r="F483" s="60" t="n">
        <v>62201000</v>
      </c>
      <c r="G483" s="60" t="inlineStr">
        <is>
          <t>통신비</t>
        </is>
      </c>
      <c r="H483" s="61" t="n">
        <v>543170</v>
      </c>
      <c r="J483" s="63">
        <f>IF($A483="","",IFERROR(INDEX(부서매핑!$C$5:$C$504,MATCH($D483&amp;"",부서매핑!$A$5:$A$504,0)),"미매핑"))</f>
        <v/>
      </c>
      <c r="K483" s="63">
        <f>IF($A483="","",IFERROR(INDEX(계정매핑!$C$5:$C$504,MATCH($F483&amp;"",계정매핑!$A$5:$A$504,0)),"미매핑"))</f>
        <v/>
      </c>
      <c r="L483" s="4">
        <f>IF($A483="","",VALUE($A483&amp;""))</f>
        <v/>
      </c>
      <c r="M483" s="4">
        <f>IF($A483="","",VALUE($B483&amp;""))</f>
        <v/>
      </c>
      <c r="N483" s="64">
        <f>IF($A483="","",$H483*설정!$C$15)</f>
        <v/>
      </c>
      <c r="O483" s="4">
        <f>IF($A483="","",J483&amp;"|"&amp;K483)</f>
        <v/>
      </c>
      <c r="P483" s="63">
        <f>IF($A483="","",IF(COUNTIFS(예산_원본!$T$5:$T$3004,O483,예산_원본!$B$5:$B$3004,설정!$C$8,예산_원본!$U$5:$U$3004,L483)&gt;0,"Y","N"))</f>
        <v/>
      </c>
      <c r="Q483" s="63">
        <f>IF($A483="","",IF(COUNTIF(집계!$E$7:$E$506,O483)&gt;0,"Y","N"))</f>
        <v/>
      </c>
    </row>
    <row r="484">
      <c r="A484" s="60" t="n">
        <v>2025</v>
      </c>
      <c r="B484" s="60" t="n">
        <v>7</v>
      </c>
      <c r="C484" s="60" t="inlineStr">
        <is>
          <t>1000</t>
        </is>
      </c>
      <c r="D484" s="60" t="n">
        <v>1201</v>
      </c>
      <c r="E484" s="60" t="inlineStr">
        <is>
          <t>재무회계</t>
        </is>
      </c>
      <c r="F484" s="60" t="n">
        <v>62301000</v>
      </c>
      <c r="G484" s="60" t="inlineStr">
        <is>
          <t>소모품비</t>
        </is>
      </c>
      <c r="H484" s="61" t="n">
        <v>509700</v>
      </c>
      <c r="J484" s="63">
        <f>IF($A484="","",IFERROR(INDEX(부서매핑!$C$5:$C$504,MATCH($D484&amp;"",부서매핑!$A$5:$A$504,0)),"미매핑"))</f>
        <v/>
      </c>
      <c r="K484" s="63">
        <f>IF($A484="","",IFERROR(INDEX(계정매핑!$C$5:$C$504,MATCH($F484&amp;"",계정매핑!$A$5:$A$504,0)),"미매핑"))</f>
        <v/>
      </c>
      <c r="L484" s="4">
        <f>IF($A484="","",VALUE($A484&amp;""))</f>
        <v/>
      </c>
      <c r="M484" s="4">
        <f>IF($A484="","",VALUE($B484&amp;""))</f>
        <v/>
      </c>
      <c r="N484" s="64">
        <f>IF($A484="","",$H484*설정!$C$15)</f>
        <v/>
      </c>
      <c r="O484" s="4">
        <f>IF($A484="","",J484&amp;"|"&amp;K484)</f>
        <v/>
      </c>
      <c r="P484" s="63">
        <f>IF($A484="","",IF(COUNTIFS(예산_원본!$T$5:$T$3004,O484,예산_원본!$B$5:$B$3004,설정!$C$8,예산_원본!$U$5:$U$3004,L484)&gt;0,"Y","N"))</f>
        <v/>
      </c>
      <c r="Q484" s="63">
        <f>IF($A484="","",IF(COUNTIF(집계!$E$7:$E$506,O484)&gt;0,"Y","N"))</f>
        <v/>
      </c>
    </row>
    <row r="485">
      <c r="A485" s="60" t="n">
        <v>2025</v>
      </c>
      <c r="B485" s="60" t="n">
        <v>7</v>
      </c>
      <c r="C485" s="60" t="inlineStr">
        <is>
          <t>1000</t>
        </is>
      </c>
      <c r="D485" s="60" t="n">
        <v>1201</v>
      </c>
      <c r="E485" s="60" t="inlineStr">
        <is>
          <t>재무회계</t>
        </is>
      </c>
      <c r="F485" s="60" t="n">
        <v>62501000</v>
      </c>
      <c r="G485" s="60" t="inlineStr">
        <is>
          <t>회의비</t>
        </is>
      </c>
      <c r="H485" s="61" t="n">
        <v>493160</v>
      </c>
      <c r="J485" s="63">
        <f>IF($A485="","",IFERROR(INDEX(부서매핑!$C$5:$C$504,MATCH($D485&amp;"",부서매핑!$A$5:$A$504,0)),"미매핑"))</f>
        <v/>
      </c>
      <c r="K485" s="63">
        <f>IF($A485="","",IFERROR(INDEX(계정매핑!$C$5:$C$504,MATCH($F485&amp;"",계정매핑!$A$5:$A$504,0)),"미매핑"))</f>
        <v/>
      </c>
      <c r="L485" s="4">
        <f>IF($A485="","",VALUE($A485&amp;""))</f>
        <v/>
      </c>
      <c r="M485" s="4">
        <f>IF($A485="","",VALUE($B485&amp;""))</f>
        <v/>
      </c>
      <c r="N485" s="64">
        <f>IF($A485="","",$H485*설정!$C$15)</f>
        <v/>
      </c>
      <c r="O485" s="4">
        <f>IF($A485="","",J485&amp;"|"&amp;K485)</f>
        <v/>
      </c>
      <c r="P485" s="63">
        <f>IF($A485="","",IF(COUNTIFS(예산_원본!$T$5:$T$3004,O485,예산_원본!$B$5:$B$3004,설정!$C$8,예산_원본!$U$5:$U$3004,L485)&gt;0,"Y","N"))</f>
        <v/>
      </c>
      <c r="Q485" s="63">
        <f>IF($A485="","",IF(COUNTIF(집계!$E$7:$E$506,O485)&gt;0,"Y","N"))</f>
        <v/>
      </c>
    </row>
    <row r="486">
      <c r="A486" s="60" t="n">
        <v>2025</v>
      </c>
      <c r="B486" s="60" t="n">
        <v>7</v>
      </c>
      <c r="C486" s="60" t="inlineStr">
        <is>
          <t>1000</t>
        </is>
      </c>
      <c r="D486" s="60" t="n">
        <v>1201</v>
      </c>
      <c r="E486" s="60" t="inlineStr">
        <is>
          <t>재무회계</t>
        </is>
      </c>
      <c r="F486" s="60" t="n">
        <v>62901000</v>
      </c>
      <c r="G486" s="60" t="inlineStr">
        <is>
          <t>지급수수료-컨설팅</t>
        </is>
      </c>
      <c r="H486" s="61" t="n">
        <v>18450450</v>
      </c>
      <c r="J486" s="63">
        <f>IF($A486="","",IFERROR(INDEX(부서매핑!$C$5:$C$504,MATCH($D486&amp;"",부서매핑!$A$5:$A$504,0)),"미매핑"))</f>
        <v/>
      </c>
      <c r="K486" s="63">
        <f>IF($A486="","",IFERROR(INDEX(계정매핑!$C$5:$C$504,MATCH($F486&amp;"",계정매핑!$A$5:$A$504,0)),"미매핑"))</f>
        <v/>
      </c>
      <c r="L486" s="4">
        <f>IF($A486="","",VALUE($A486&amp;""))</f>
        <v/>
      </c>
      <c r="M486" s="4">
        <f>IF($A486="","",VALUE($B486&amp;""))</f>
        <v/>
      </c>
      <c r="N486" s="64">
        <f>IF($A486="","",$H486*설정!$C$15)</f>
        <v/>
      </c>
      <c r="O486" s="4">
        <f>IF($A486="","",J486&amp;"|"&amp;K486)</f>
        <v/>
      </c>
      <c r="P486" s="63">
        <f>IF($A486="","",IF(COUNTIFS(예산_원본!$T$5:$T$3004,O486,예산_원본!$B$5:$B$3004,설정!$C$8,예산_원본!$U$5:$U$3004,L486)&gt;0,"Y","N"))</f>
        <v/>
      </c>
      <c r="Q486" s="63">
        <f>IF($A486="","",IF(COUNTIF(집계!$E$7:$E$506,O486)&gt;0,"Y","N"))</f>
        <v/>
      </c>
    </row>
    <row r="487">
      <c r="A487" s="60" t="n">
        <v>2025</v>
      </c>
      <c r="B487" s="60" t="n">
        <v>7</v>
      </c>
      <c r="C487" s="60" t="inlineStr">
        <is>
          <t>1000</t>
        </is>
      </c>
      <c r="D487" s="60" t="n">
        <v>1201</v>
      </c>
      <c r="E487" s="60" t="inlineStr">
        <is>
          <t>재무회계</t>
        </is>
      </c>
      <c r="F487" s="60" t="n">
        <v>62902000</v>
      </c>
      <c r="G487" s="60" t="inlineStr">
        <is>
          <t>지급수수료-기타</t>
        </is>
      </c>
      <c r="H487" s="61" t="n">
        <v>9142590</v>
      </c>
      <c r="J487" s="63">
        <f>IF($A487="","",IFERROR(INDEX(부서매핑!$C$5:$C$504,MATCH($D487&amp;"",부서매핑!$A$5:$A$504,0)),"미매핑"))</f>
        <v/>
      </c>
      <c r="K487" s="63">
        <f>IF($A487="","",IFERROR(INDEX(계정매핑!$C$5:$C$504,MATCH($F487&amp;"",계정매핑!$A$5:$A$504,0)),"미매핑"))</f>
        <v/>
      </c>
      <c r="L487" s="4">
        <f>IF($A487="","",VALUE($A487&amp;""))</f>
        <v/>
      </c>
      <c r="M487" s="4">
        <f>IF($A487="","",VALUE($B487&amp;""))</f>
        <v/>
      </c>
      <c r="N487" s="64">
        <f>IF($A487="","",$H487*설정!$C$15)</f>
        <v/>
      </c>
      <c r="O487" s="4">
        <f>IF($A487="","",J487&amp;"|"&amp;K487)</f>
        <v/>
      </c>
      <c r="P487" s="63">
        <f>IF($A487="","",IF(COUNTIFS(예산_원본!$T$5:$T$3004,O487,예산_원본!$B$5:$B$3004,설정!$C$8,예산_원본!$U$5:$U$3004,L487)&gt;0,"Y","N"))</f>
        <v/>
      </c>
      <c r="Q487" s="63">
        <f>IF($A487="","",IF(COUNTIF(집계!$E$7:$E$506,O487)&gt;0,"Y","N"))</f>
        <v/>
      </c>
    </row>
    <row r="488">
      <c r="A488" s="60" t="n">
        <v>2025</v>
      </c>
      <c r="B488" s="60" t="n">
        <v>7</v>
      </c>
      <c r="C488" s="60" t="inlineStr">
        <is>
          <t>1000</t>
        </is>
      </c>
      <c r="D488" s="60" t="n">
        <v>1301</v>
      </c>
      <c r="E488" s="60" t="inlineStr">
        <is>
          <t>인사</t>
        </is>
      </c>
      <c r="F488" s="60" t="n">
        <v>62101000</v>
      </c>
      <c r="G488" s="60" t="inlineStr">
        <is>
          <t>여비교통비-국내</t>
        </is>
      </c>
      <c r="H488" s="61" t="n">
        <v>1579250</v>
      </c>
      <c r="J488" s="63">
        <f>IF($A488="","",IFERROR(INDEX(부서매핑!$C$5:$C$504,MATCH($D488&amp;"",부서매핑!$A$5:$A$504,0)),"미매핑"))</f>
        <v/>
      </c>
      <c r="K488" s="63">
        <f>IF($A488="","",IFERROR(INDEX(계정매핑!$C$5:$C$504,MATCH($F488&amp;"",계정매핑!$A$5:$A$504,0)),"미매핑"))</f>
        <v/>
      </c>
      <c r="L488" s="4">
        <f>IF($A488="","",VALUE($A488&amp;""))</f>
        <v/>
      </c>
      <c r="M488" s="4">
        <f>IF($A488="","",VALUE($B488&amp;""))</f>
        <v/>
      </c>
      <c r="N488" s="64">
        <f>IF($A488="","",$H488*설정!$C$15)</f>
        <v/>
      </c>
      <c r="O488" s="4">
        <f>IF($A488="","",J488&amp;"|"&amp;K488)</f>
        <v/>
      </c>
      <c r="P488" s="63">
        <f>IF($A488="","",IF(COUNTIFS(예산_원본!$T$5:$T$3004,O488,예산_원본!$B$5:$B$3004,설정!$C$8,예산_원본!$U$5:$U$3004,L488)&gt;0,"Y","N"))</f>
        <v/>
      </c>
      <c r="Q488" s="63">
        <f>IF($A488="","",IF(COUNTIF(집계!$E$7:$E$506,O488)&gt;0,"Y","N"))</f>
        <v/>
      </c>
    </row>
    <row r="489">
      <c r="A489" s="60" t="n">
        <v>2025</v>
      </c>
      <c r="B489" s="60" t="n">
        <v>7</v>
      </c>
      <c r="C489" s="60" t="inlineStr">
        <is>
          <t>1000</t>
        </is>
      </c>
      <c r="D489" s="60" t="n">
        <v>1301</v>
      </c>
      <c r="E489" s="60" t="inlineStr">
        <is>
          <t>인사</t>
        </is>
      </c>
      <c r="F489" s="60" t="n">
        <v>62102000</v>
      </c>
      <c r="G489" s="60" t="inlineStr">
        <is>
          <t>여비교통비-해외</t>
        </is>
      </c>
      <c r="H489" s="61" t="n">
        <v>299460</v>
      </c>
      <c r="J489" s="63">
        <f>IF($A489="","",IFERROR(INDEX(부서매핑!$C$5:$C$504,MATCH($D489&amp;"",부서매핑!$A$5:$A$504,0)),"미매핑"))</f>
        <v/>
      </c>
      <c r="K489" s="63">
        <f>IF($A489="","",IFERROR(INDEX(계정매핑!$C$5:$C$504,MATCH($F489&amp;"",계정매핑!$A$5:$A$504,0)),"미매핑"))</f>
        <v/>
      </c>
      <c r="L489" s="4">
        <f>IF($A489="","",VALUE($A489&amp;""))</f>
        <v/>
      </c>
      <c r="M489" s="4">
        <f>IF($A489="","",VALUE($B489&amp;""))</f>
        <v/>
      </c>
      <c r="N489" s="64">
        <f>IF($A489="","",$H489*설정!$C$15)</f>
        <v/>
      </c>
      <c r="O489" s="4">
        <f>IF($A489="","",J489&amp;"|"&amp;K489)</f>
        <v/>
      </c>
      <c r="P489" s="63">
        <f>IF($A489="","",IF(COUNTIFS(예산_원본!$T$5:$T$3004,O489,예산_원본!$B$5:$B$3004,설정!$C$8,예산_원본!$U$5:$U$3004,L489)&gt;0,"Y","N"))</f>
        <v/>
      </c>
      <c r="Q489" s="63">
        <f>IF($A489="","",IF(COUNTIF(집계!$E$7:$E$506,O489)&gt;0,"Y","N"))</f>
        <v/>
      </c>
    </row>
    <row r="490">
      <c r="A490" s="60" t="n">
        <v>2025</v>
      </c>
      <c r="B490" s="60" t="n">
        <v>7</v>
      </c>
      <c r="C490" s="60" t="inlineStr">
        <is>
          <t>1000</t>
        </is>
      </c>
      <c r="D490" s="60" t="n">
        <v>1301</v>
      </c>
      <c r="E490" s="60" t="inlineStr">
        <is>
          <t>인사</t>
        </is>
      </c>
      <c r="F490" s="60" t="n">
        <v>62201000</v>
      </c>
      <c r="G490" s="60" t="inlineStr">
        <is>
          <t>통신비</t>
        </is>
      </c>
      <c r="H490" s="61" t="n">
        <v>765330</v>
      </c>
      <c r="J490" s="63">
        <f>IF($A490="","",IFERROR(INDEX(부서매핑!$C$5:$C$504,MATCH($D490&amp;"",부서매핑!$A$5:$A$504,0)),"미매핑"))</f>
        <v/>
      </c>
      <c r="K490" s="63">
        <f>IF($A490="","",IFERROR(INDEX(계정매핑!$C$5:$C$504,MATCH($F490&amp;"",계정매핑!$A$5:$A$504,0)),"미매핑"))</f>
        <v/>
      </c>
      <c r="L490" s="4">
        <f>IF($A490="","",VALUE($A490&amp;""))</f>
        <v/>
      </c>
      <c r="M490" s="4">
        <f>IF($A490="","",VALUE($B490&amp;""))</f>
        <v/>
      </c>
      <c r="N490" s="64">
        <f>IF($A490="","",$H490*설정!$C$15)</f>
        <v/>
      </c>
      <c r="O490" s="4">
        <f>IF($A490="","",J490&amp;"|"&amp;K490)</f>
        <v/>
      </c>
      <c r="P490" s="63">
        <f>IF($A490="","",IF(COUNTIFS(예산_원본!$T$5:$T$3004,O490,예산_원본!$B$5:$B$3004,설정!$C$8,예산_원본!$U$5:$U$3004,L490)&gt;0,"Y","N"))</f>
        <v/>
      </c>
      <c r="Q490" s="63">
        <f>IF($A490="","",IF(COUNTIF(집계!$E$7:$E$506,O490)&gt;0,"Y","N"))</f>
        <v/>
      </c>
    </row>
    <row r="491">
      <c r="A491" s="60" t="n">
        <v>2025</v>
      </c>
      <c r="B491" s="60" t="n">
        <v>7</v>
      </c>
      <c r="C491" s="60" t="inlineStr">
        <is>
          <t>1000</t>
        </is>
      </c>
      <c r="D491" s="60" t="n">
        <v>1301</v>
      </c>
      <c r="E491" s="60" t="inlineStr">
        <is>
          <t>인사</t>
        </is>
      </c>
      <c r="F491" s="60" t="n">
        <v>62301000</v>
      </c>
      <c r="G491" s="60" t="inlineStr">
        <is>
          <t>소모품비</t>
        </is>
      </c>
      <c r="H491" s="61" t="n">
        <v>644010</v>
      </c>
      <c r="J491" s="63">
        <f>IF($A491="","",IFERROR(INDEX(부서매핑!$C$5:$C$504,MATCH($D491&amp;"",부서매핑!$A$5:$A$504,0)),"미매핑"))</f>
        <v/>
      </c>
      <c r="K491" s="63">
        <f>IF($A491="","",IFERROR(INDEX(계정매핑!$C$5:$C$504,MATCH($F491&amp;"",계정매핑!$A$5:$A$504,0)),"미매핑"))</f>
        <v/>
      </c>
      <c r="L491" s="4">
        <f>IF($A491="","",VALUE($A491&amp;""))</f>
        <v/>
      </c>
      <c r="M491" s="4">
        <f>IF($A491="","",VALUE($B491&amp;""))</f>
        <v/>
      </c>
      <c r="N491" s="64">
        <f>IF($A491="","",$H491*설정!$C$15)</f>
        <v/>
      </c>
      <c r="O491" s="4">
        <f>IF($A491="","",J491&amp;"|"&amp;K491)</f>
        <v/>
      </c>
      <c r="P491" s="63">
        <f>IF($A491="","",IF(COUNTIFS(예산_원본!$T$5:$T$3004,O491,예산_원본!$B$5:$B$3004,설정!$C$8,예산_원본!$U$5:$U$3004,L491)&gt;0,"Y","N"))</f>
        <v/>
      </c>
      <c r="Q491" s="63">
        <f>IF($A491="","",IF(COUNTIF(집계!$E$7:$E$506,O491)&gt;0,"Y","N"))</f>
        <v/>
      </c>
    </row>
    <row r="492">
      <c r="A492" s="60" t="n">
        <v>2025</v>
      </c>
      <c r="B492" s="60" t="n">
        <v>7</v>
      </c>
      <c r="C492" s="60" t="inlineStr">
        <is>
          <t>1000</t>
        </is>
      </c>
      <c r="D492" s="60" t="n">
        <v>1301</v>
      </c>
      <c r="E492" s="60" t="inlineStr">
        <is>
          <t>인사</t>
        </is>
      </c>
      <c r="F492" s="60" t="n">
        <v>62501000</v>
      </c>
      <c r="G492" s="60" t="inlineStr">
        <is>
          <t>회의비</t>
        </is>
      </c>
      <c r="H492" s="61" t="n">
        <v>620200</v>
      </c>
      <c r="J492" s="63">
        <f>IF($A492="","",IFERROR(INDEX(부서매핑!$C$5:$C$504,MATCH($D492&amp;"",부서매핑!$A$5:$A$504,0)),"미매핑"))</f>
        <v/>
      </c>
      <c r="K492" s="63">
        <f>IF($A492="","",IFERROR(INDEX(계정매핑!$C$5:$C$504,MATCH($F492&amp;"",계정매핑!$A$5:$A$504,0)),"미매핑"))</f>
        <v/>
      </c>
      <c r="L492" s="4">
        <f>IF($A492="","",VALUE($A492&amp;""))</f>
        <v/>
      </c>
      <c r="M492" s="4">
        <f>IF($A492="","",VALUE($B492&amp;""))</f>
        <v/>
      </c>
      <c r="N492" s="64">
        <f>IF($A492="","",$H492*설정!$C$15)</f>
        <v/>
      </c>
      <c r="O492" s="4">
        <f>IF($A492="","",J492&amp;"|"&amp;K492)</f>
        <v/>
      </c>
      <c r="P492" s="63">
        <f>IF($A492="","",IF(COUNTIFS(예산_원본!$T$5:$T$3004,O492,예산_원본!$B$5:$B$3004,설정!$C$8,예산_원본!$U$5:$U$3004,L492)&gt;0,"Y","N"))</f>
        <v/>
      </c>
      <c r="Q492" s="63">
        <f>IF($A492="","",IF(COUNTIF(집계!$E$7:$E$506,O492)&gt;0,"Y","N"))</f>
        <v/>
      </c>
    </row>
    <row r="493">
      <c r="A493" s="60" t="n">
        <v>2025</v>
      </c>
      <c r="B493" s="60" t="n">
        <v>7</v>
      </c>
      <c r="C493" s="60" t="inlineStr">
        <is>
          <t>1000</t>
        </is>
      </c>
      <c r="D493" s="60" t="n">
        <v>1301</v>
      </c>
      <c r="E493" s="60" t="inlineStr">
        <is>
          <t>인사</t>
        </is>
      </c>
      <c r="F493" s="60" t="n">
        <v>62601000</v>
      </c>
      <c r="G493" s="60" t="inlineStr">
        <is>
          <t>업무추진비</t>
        </is>
      </c>
      <c r="H493" s="61" t="n">
        <v>1979990</v>
      </c>
      <c r="J493" s="63">
        <f>IF($A493="","",IFERROR(INDEX(부서매핑!$C$5:$C$504,MATCH($D493&amp;"",부서매핑!$A$5:$A$504,0)),"미매핑"))</f>
        <v/>
      </c>
      <c r="K493" s="63">
        <f>IF($A493="","",IFERROR(INDEX(계정매핑!$C$5:$C$504,MATCH($F493&amp;"",계정매핑!$A$5:$A$504,0)),"미매핑"))</f>
        <v/>
      </c>
      <c r="L493" s="4">
        <f>IF($A493="","",VALUE($A493&amp;""))</f>
        <v/>
      </c>
      <c r="M493" s="4">
        <f>IF($A493="","",VALUE($B493&amp;""))</f>
        <v/>
      </c>
      <c r="N493" s="64">
        <f>IF($A493="","",$H493*설정!$C$15)</f>
        <v/>
      </c>
      <c r="O493" s="4">
        <f>IF($A493="","",J493&amp;"|"&amp;K493)</f>
        <v/>
      </c>
      <c r="P493" s="63">
        <f>IF($A493="","",IF(COUNTIFS(예산_원본!$T$5:$T$3004,O493,예산_원본!$B$5:$B$3004,설정!$C$8,예산_원본!$U$5:$U$3004,L493)&gt;0,"Y","N"))</f>
        <v/>
      </c>
      <c r="Q493" s="63">
        <f>IF($A493="","",IF(COUNTIF(집계!$E$7:$E$506,O493)&gt;0,"Y","N"))</f>
        <v/>
      </c>
    </row>
    <row r="494">
      <c r="A494" s="60" t="n">
        <v>2025</v>
      </c>
      <c r="B494" s="60" t="n">
        <v>7</v>
      </c>
      <c r="C494" s="60" t="inlineStr">
        <is>
          <t>1000</t>
        </is>
      </c>
      <c r="D494" s="60" t="n">
        <v>1301</v>
      </c>
      <c r="E494" s="60" t="inlineStr">
        <is>
          <t>인사</t>
        </is>
      </c>
      <c r="F494" s="60" t="n">
        <v>62801000</v>
      </c>
      <c r="G494" s="60" t="inlineStr">
        <is>
          <t>교육훈련비-사내</t>
        </is>
      </c>
      <c r="H494" s="61" t="n">
        <v>9711820</v>
      </c>
      <c r="J494" s="63">
        <f>IF($A494="","",IFERROR(INDEX(부서매핑!$C$5:$C$504,MATCH($D494&amp;"",부서매핑!$A$5:$A$504,0)),"미매핑"))</f>
        <v/>
      </c>
      <c r="K494" s="63">
        <f>IF($A494="","",IFERROR(INDEX(계정매핑!$C$5:$C$504,MATCH($F494&amp;"",계정매핑!$A$5:$A$504,0)),"미매핑"))</f>
        <v/>
      </c>
      <c r="L494" s="4">
        <f>IF($A494="","",VALUE($A494&amp;""))</f>
        <v/>
      </c>
      <c r="M494" s="4">
        <f>IF($A494="","",VALUE($B494&amp;""))</f>
        <v/>
      </c>
      <c r="N494" s="64">
        <f>IF($A494="","",$H494*설정!$C$15)</f>
        <v/>
      </c>
      <c r="O494" s="4">
        <f>IF($A494="","",J494&amp;"|"&amp;K494)</f>
        <v/>
      </c>
      <c r="P494" s="63">
        <f>IF($A494="","",IF(COUNTIFS(예산_원본!$T$5:$T$3004,O494,예산_원본!$B$5:$B$3004,설정!$C$8,예산_원본!$U$5:$U$3004,L494)&gt;0,"Y","N"))</f>
        <v/>
      </c>
      <c r="Q494" s="63">
        <f>IF($A494="","",IF(COUNTIF(집계!$E$7:$E$506,O494)&gt;0,"Y","N"))</f>
        <v/>
      </c>
    </row>
    <row r="495">
      <c r="A495" s="60" t="n">
        <v>2025</v>
      </c>
      <c r="B495" s="60" t="n">
        <v>7</v>
      </c>
      <c r="C495" s="60" t="inlineStr">
        <is>
          <t>1000</t>
        </is>
      </c>
      <c r="D495" s="60" t="n">
        <v>1301</v>
      </c>
      <c r="E495" s="60" t="inlineStr">
        <is>
          <t>인사</t>
        </is>
      </c>
      <c r="F495" s="60" t="n">
        <v>62802000</v>
      </c>
      <c r="G495" s="60" t="inlineStr">
        <is>
          <t>교육훈련비-외부위탁</t>
        </is>
      </c>
      <c r="H495" s="61" t="n">
        <v>13035310</v>
      </c>
      <c r="J495" s="63">
        <f>IF($A495="","",IFERROR(INDEX(부서매핑!$C$5:$C$504,MATCH($D495&amp;"",부서매핑!$A$5:$A$504,0)),"미매핑"))</f>
        <v/>
      </c>
      <c r="K495" s="63">
        <f>IF($A495="","",IFERROR(INDEX(계정매핑!$C$5:$C$504,MATCH($F495&amp;"",계정매핑!$A$5:$A$504,0)),"미매핑"))</f>
        <v/>
      </c>
      <c r="L495" s="4">
        <f>IF($A495="","",VALUE($A495&amp;""))</f>
        <v/>
      </c>
      <c r="M495" s="4">
        <f>IF($A495="","",VALUE($B495&amp;""))</f>
        <v/>
      </c>
      <c r="N495" s="64">
        <f>IF($A495="","",$H495*설정!$C$15)</f>
        <v/>
      </c>
      <c r="O495" s="4">
        <f>IF($A495="","",J495&amp;"|"&amp;K495)</f>
        <v/>
      </c>
      <c r="P495" s="63">
        <f>IF($A495="","",IF(COUNTIFS(예산_원본!$T$5:$T$3004,O495,예산_원본!$B$5:$B$3004,설정!$C$8,예산_원본!$U$5:$U$3004,L495)&gt;0,"Y","N"))</f>
        <v/>
      </c>
      <c r="Q495" s="63">
        <f>IF($A495="","",IF(COUNTIF(집계!$E$7:$E$506,O495)&gt;0,"Y","N"))</f>
        <v/>
      </c>
    </row>
    <row r="496">
      <c r="A496" s="60" t="n">
        <v>2025</v>
      </c>
      <c r="B496" s="60" t="n">
        <v>7</v>
      </c>
      <c r="C496" s="60" t="inlineStr">
        <is>
          <t>1000</t>
        </is>
      </c>
      <c r="D496" s="60" t="n">
        <v>1401</v>
      </c>
      <c r="E496" s="60" t="inlineStr">
        <is>
          <t>상품개발</t>
        </is>
      </c>
      <c r="F496" s="60" t="n">
        <v>62101000</v>
      </c>
      <c r="G496" s="60" t="inlineStr">
        <is>
          <t>여비교통비-국내</t>
        </is>
      </c>
      <c r="H496" s="61" t="n">
        <v>1748220</v>
      </c>
      <c r="J496" s="63">
        <f>IF($A496="","",IFERROR(INDEX(부서매핑!$C$5:$C$504,MATCH($D496&amp;"",부서매핑!$A$5:$A$504,0)),"미매핑"))</f>
        <v/>
      </c>
      <c r="K496" s="63">
        <f>IF($A496="","",IFERROR(INDEX(계정매핑!$C$5:$C$504,MATCH($F496&amp;"",계정매핑!$A$5:$A$504,0)),"미매핑"))</f>
        <v/>
      </c>
      <c r="L496" s="4">
        <f>IF($A496="","",VALUE($A496&amp;""))</f>
        <v/>
      </c>
      <c r="M496" s="4">
        <f>IF($A496="","",VALUE($B496&amp;""))</f>
        <v/>
      </c>
      <c r="N496" s="64">
        <f>IF($A496="","",$H496*설정!$C$15)</f>
        <v/>
      </c>
      <c r="O496" s="4">
        <f>IF($A496="","",J496&amp;"|"&amp;K496)</f>
        <v/>
      </c>
      <c r="P496" s="63">
        <f>IF($A496="","",IF(COUNTIFS(예산_원본!$T$5:$T$3004,O496,예산_원본!$B$5:$B$3004,설정!$C$8,예산_원본!$U$5:$U$3004,L496)&gt;0,"Y","N"))</f>
        <v/>
      </c>
      <c r="Q496" s="63">
        <f>IF($A496="","",IF(COUNTIF(집계!$E$7:$E$506,O496)&gt;0,"Y","N"))</f>
        <v/>
      </c>
    </row>
    <row r="497">
      <c r="A497" s="60" t="n">
        <v>2025</v>
      </c>
      <c r="B497" s="60" t="n">
        <v>7</v>
      </c>
      <c r="C497" s="60" t="inlineStr">
        <is>
          <t>1000</t>
        </is>
      </c>
      <c r="D497" s="60" t="n">
        <v>1401</v>
      </c>
      <c r="E497" s="60" t="inlineStr">
        <is>
          <t>상품개발</t>
        </is>
      </c>
      <c r="F497" s="60" t="n">
        <v>62102000</v>
      </c>
      <c r="G497" s="60" t="inlineStr">
        <is>
          <t>여비교통비-해외</t>
        </is>
      </c>
      <c r="H497" s="61" t="n">
        <v>291550</v>
      </c>
      <c r="J497" s="63">
        <f>IF($A497="","",IFERROR(INDEX(부서매핑!$C$5:$C$504,MATCH($D497&amp;"",부서매핑!$A$5:$A$504,0)),"미매핑"))</f>
        <v/>
      </c>
      <c r="K497" s="63">
        <f>IF($A497="","",IFERROR(INDEX(계정매핑!$C$5:$C$504,MATCH($F497&amp;"",계정매핑!$A$5:$A$504,0)),"미매핑"))</f>
        <v/>
      </c>
      <c r="L497" s="4">
        <f>IF($A497="","",VALUE($A497&amp;""))</f>
        <v/>
      </c>
      <c r="M497" s="4">
        <f>IF($A497="","",VALUE($B497&amp;""))</f>
        <v/>
      </c>
      <c r="N497" s="64">
        <f>IF($A497="","",$H497*설정!$C$15)</f>
        <v/>
      </c>
      <c r="O497" s="4">
        <f>IF($A497="","",J497&amp;"|"&amp;K497)</f>
        <v/>
      </c>
      <c r="P497" s="63">
        <f>IF($A497="","",IF(COUNTIFS(예산_원본!$T$5:$T$3004,O497,예산_원본!$B$5:$B$3004,설정!$C$8,예산_원본!$U$5:$U$3004,L497)&gt;0,"Y","N"))</f>
        <v/>
      </c>
      <c r="Q497" s="63">
        <f>IF($A497="","",IF(COUNTIF(집계!$E$7:$E$506,O497)&gt;0,"Y","N"))</f>
        <v/>
      </c>
    </row>
    <row r="498">
      <c r="A498" s="60" t="n">
        <v>2025</v>
      </c>
      <c r="B498" s="60" t="n">
        <v>7</v>
      </c>
      <c r="C498" s="60" t="inlineStr">
        <is>
          <t>1000</t>
        </is>
      </c>
      <c r="D498" s="60" t="n">
        <v>1401</v>
      </c>
      <c r="E498" s="60" t="inlineStr">
        <is>
          <t>상품개발</t>
        </is>
      </c>
      <c r="F498" s="60" t="n">
        <v>62201000</v>
      </c>
      <c r="G498" s="60" t="inlineStr">
        <is>
          <t>통신비</t>
        </is>
      </c>
      <c r="H498" s="61" t="n">
        <v>577570</v>
      </c>
      <c r="J498" s="63">
        <f>IF($A498="","",IFERROR(INDEX(부서매핑!$C$5:$C$504,MATCH($D498&amp;"",부서매핑!$A$5:$A$504,0)),"미매핑"))</f>
        <v/>
      </c>
      <c r="K498" s="63">
        <f>IF($A498="","",IFERROR(INDEX(계정매핑!$C$5:$C$504,MATCH($F498&amp;"",계정매핑!$A$5:$A$504,0)),"미매핑"))</f>
        <v/>
      </c>
      <c r="L498" s="4">
        <f>IF($A498="","",VALUE($A498&amp;""))</f>
        <v/>
      </c>
      <c r="M498" s="4">
        <f>IF($A498="","",VALUE($B498&amp;""))</f>
        <v/>
      </c>
      <c r="N498" s="64">
        <f>IF($A498="","",$H498*설정!$C$15)</f>
        <v/>
      </c>
      <c r="O498" s="4">
        <f>IF($A498="","",J498&amp;"|"&amp;K498)</f>
        <v/>
      </c>
      <c r="P498" s="63">
        <f>IF($A498="","",IF(COUNTIFS(예산_원본!$T$5:$T$3004,O498,예산_원본!$B$5:$B$3004,설정!$C$8,예산_원본!$U$5:$U$3004,L498)&gt;0,"Y","N"))</f>
        <v/>
      </c>
      <c r="Q498" s="63">
        <f>IF($A498="","",IF(COUNTIF(집계!$E$7:$E$506,O498)&gt;0,"Y","N"))</f>
        <v/>
      </c>
    </row>
    <row r="499">
      <c r="A499" s="60" t="n">
        <v>2025</v>
      </c>
      <c r="B499" s="60" t="n">
        <v>7</v>
      </c>
      <c r="C499" s="60" t="inlineStr">
        <is>
          <t>1000</t>
        </is>
      </c>
      <c r="D499" s="60" t="n">
        <v>1401</v>
      </c>
      <c r="E499" s="60" t="inlineStr">
        <is>
          <t>상품개발</t>
        </is>
      </c>
      <c r="F499" s="60" t="n">
        <v>62301000</v>
      </c>
      <c r="G499" s="60" t="inlineStr">
        <is>
          <t>소모품비</t>
        </is>
      </c>
      <c r="H499" s="61" t="n">
        <v>319380</v>
      </c>
      <c r="J499" s="63">
        <f>IF($A499="","",IFERROR(INDEX(부서매핑!$C$5:$C$504,MATCH($D499&amp;"",부서매핑!$A$5:$A$504,0)),"미매핑"))</f>
        <v/>
      </c>
      <c r="K499" s="63">
        <f>IF($A499="","",IFERROR(INDEX(계정매핑!$C$5:$C$504,MATCH($F499&amp;"",계정매핑!$A$5:$A$504,0)),"미매핑"))</f>
        <v/>
      </c>
      <c r="L499" s="4">
        <f>IF($A499="","",VALUE($A499&amp;""))</f>
        <v/>
      </c>
      <c r="M499" s="4">
        <f>IF($A499="","",VALUE($B499&amp;""))</f>
        <v/>
      </c>
      <c r="N499" s="64">
        <f>IF($A499="","",$H499*설정!$C$15)</f>
        <v/>
      </c>
      <c r="O499" s="4">
        <f>IF($A499="","",J499&amp;"|"&amp;K499)</f>
        <v/>
      </c>
      <c r="P499" s="63">
        <f>IF($A499="","",IF(COUNTIFS(예산_원본!$T$5:$T$3004,O499,예산_원본!$B$5:$B$3004,설정!$C$8,예산_원본!$U$5:$U$3004,L499)&gt;0,"Y","N"))</f>
        <v/>
      </c>
      <c r="Q499" s="63">
        <f>IF($A499="","",IF(COUNTIF(집계!$E$7:$E$506,O499)&gt;0,"Y","N"))</f>
        <v/>
      </c>
    </row>
    <row r="500">
      <c r="A500" s="60" t="n">
        <v>2025</v>
      </c>
      <c r="B500" s="60" t="n">
        <v>7</v>
      </c>
      <c r="C500" s="60" t="inlineStr">
        <is>
          <t>1000</t>
        </is>
      </c>
      <c r="D500" s="60" t="n">
        <v>1401</v>
      </c>
      <c r="E500" s="60" t="inlineStr">
        <is>
          <t>상품개발</t>
        </is>
      </c>
      <c r="F500" s="60" t="n">
        <v>62401000</v>
      </c>
      <c r="G500" s="60" t="inlineStr">
        <is>
          <t>도서인쇄비</t>
        </is>
      </c>
      <c r="H500" s="61" t="n">
        <v>883610</v>
      </c>
      <c r="J500" s="63">
        <f>IF($A500="","",IFERROR(INDEX(부서매핑!$C$5:$C$504,MATCH($D500&amp;"",부서매핑!$A$5:$A$504,0)),"미매핑"))</f>
        <v/>
      </c>
      <c r="K500" s="63">
        <f>IF($A500="","",IFERROR(INDEX(계정매핑!$C$5:$C$504,MATCH($F500&amp;"",계정매핑!$A$5:$A$504,0)),"미매핑"))</f>
        <v/>
      </c>
      <c r="L500" s="4">
        <f>IF($A500="","",VALUE($A500&amp;""))</f>
        <v/>
      </c>
      <c r="M500" s="4">
        <f>IF($A500="","",VALUE($B500&amp;""))</f>
        <v/>
      </c>
      <c r="N500" s="64">
        <f>IF($A500="","",$H500*설정!$C$15)</f>
        <v/>
      </c>
      <c r="O500" s="4">
        <f>IF($A500="","",J500&amp;"|"&amp;K500)</f>
        <v/>
      </c>
      <c r="P500" s="63">
        <f>IF($A500="","",IF(COUNTIFS(예산_원본!$T$5:$T$3004,O500,예산_원본!$B$5:$B$3004,설정!$C$8,예산_원본!$U$5:$U$3004,L500)&gt;0,"Y","N"))</f>
        <v/>
      </c>
      <c r="Q500" s="63">
        <f>IF($A500="","",IF(COUNTIF(집계!$E$7:$E$506,O500)&gt;0,"Y","N"))</f>
        <v/>
      </c>
    </row>
    <row r="501">
      <c r="A501" s="60" t="n">
        <v>2025</v>
      </c>
      <c r="B501" s="60" t="n">
        <v>7</v>
      </c>
      <c r="C501" s="60" t="inlineStr">
        <is>
          <t>1000</t>
        </is>
      </c>
      <c r="D501" s="60" t="n">
        <v>1401</v>
      </c>
      <c r="E501" s="60" t="inlineStr">
        <is>
          <t>상품개발</t>
        </is>
      </c>
      <c r="F501" s="60" t="n">
        <v>62501000</v>
      </c>
      <c r="G501" s="60" t="inlineStr">
        <is>
          <t>회의비</t>
        </is>
      </c>
      <c r="H501" s="61" t="n">
        <v>480120</v>
      </c>
      <c r="J501" s="63">
        <f>IF($A501="","",IFERROR(INDEX(부서매핑!$C$5:$C$504,MATCH($D501&amp;"",부서매핑!$A$5:$A$504,0)),"미매핑"))</f>
        <v/>
      </c>
      <c r="K501" s="63">
        <f>IF($A501="","",IFERROR(INDEX(계정매핑!$C$5:$C$504,MATCH($F501&amp;"",계정매핑!$A$5:$A$504,0)),"미매핑"))</f>
        <v/>
      </c>
      <c r="L501" s="4">
        <f>IF($A501="","",VALUE($A501&amp;""))</f>
        <v/>
      </c>
      <c r="M501" s="4">
        <f>IF($A501="","",VALUE($B501&amp;""))</f>
        <v/>
      </c>
      <c r="N501" s="64">
        <f>IF($A501="","",$H501*설정!$C$15)</f>
        <v/>
      </c>
      <c r="O501" s="4">
        <f>IF($A501="","",J501&amp;"|"&amp;K501)</f>
        <v/>
      </c>
      <c r="P501" s="63">
        <f>IF($A501="","",IF(COUNTIFS(예산_원본!$T$5:$T$3004,O501,예산_원본!$B$5:$B$3004,설정!$C$8,예산_원본!$U$5:$U$3004,L501)&gt;0,"Y","N"))</f>
        <v/>
      </c>
      <c r="Q501" s="63">
        <f>IF($A501="","",IF(COUNTIF(집계!$E$7:$E$506,O501)&gt;0,"Y","N"))</f>
        <v/>
      </c>
    </row>
    <row r="502">
      <c r="A502" s="60" t="n">
        <v>2025</v>
      </c>
      <c r="B502" s="60" t="n">
        <v>7</v>
      </c>
      <c r="C502" s="60" t="inlineStr">
        <is>
          <t>1000</t>
        </is>
      </c>
      <c r="D502" s="60" t="n">
        <v>1401</v>
      </c>
      <c r="E502" s="60" t="inlineStr">
        <is>
          <t>상품개발</t>
        </is>
      </c>
      <c r="F502" s="60" t="n">
        <v>62901000</v>
      </c>
      <c r="G502" s="60" t="inlineStr">
        <is>
          <t>지급수수료-컨설팅</t>
        </is>
      </c>
      <c r="H502" s="61" t="n">
        <v>15418150</v>
      </c>
      <c r="J502" s="63">
        <f>IF($A502="","",IFERROR(INDEX(부서매핑!$C$5:$C$504,MATCH($D502&amp;"",부서매핑!$A$5:$A$504,0)),"미매핑"))</f>
        <v/>
      </c>
      <c r="K502" s="63">
        <f>IF($A502="","",IFERROR(INDEX(계정매핑!$C$5:$C$504,MATCH($F502&amp;"",계정매핑!$A$5:$A$504,0)),"미매핑"))</f>
        <v/>
      </c>
      <c r="L502" s="4">
        <f>IF($A502="","",VALUE($A502&amp;""))</f>
        <v/>
      </c>
      <c r="M502" s="4">
        <f>IF($A502="","",VALUE($B502&amp;""))</f>
        <v/>
      </c>
      <c r="N502" s="64">
        <f>IF($A502="","",$H502*설정!$C$15)</f>
        <v/>
      </c>
      <c r="O502" s="4">
        <f>IF($A502="","",J502&amp;"|"&amp;K502)</f>
        <v/>
      </c>
      <c r="P502" s="63">
        <f>IF($A502="","",IF(COUNTIFS(예산_원본!$T$5:$T$3004,O502,예산_원본!$B$5:$B$3004,설정!$C$8,예산_원본!$U$5:$U$3004,L502)&gt;0,"Y","N"))</f>
        <v/>
      </c>
      <c r="Q502" s="63">
        <f>IF($A502="","",IF(COUNTIF(집계!$E$7:$E$506,O502)&gt;0,"Y","N"))</f>
        <v/>
      </c>
    </row>
    <row r="503">
      <c r="A503" s="60" t="n">
        <v>2025</v>
      </c>
      <c r="B503" s="60" t="n">
        <v>7</v>
      </c>
      <c r="C503" s="60" t="inlineStr">
        <is>
          <t>1000</t>
        </is>
      </c>
      <c r="D503" s="60" t="n">
        <v>1401</v>
      </c>
      <c r="E503" s="60" t="inlineStr">
        <is>
          <t>상품개발</t>
        </is>
      </c>
      <c r="F503" s="60" t="n">
        <v>62902000</v>
      </c>
      <c r="G503" s="60" t="inlineStr">
        <is>
          <t>지급수수료-기타</t>
        </is>
      </c>
      <c r="H503" s="61" t="n">
        <v>6337620</v>
      </c>
      <c r="J503" s="63">
        <f>IF($A503="","",IFERROR(INDEX(부서매핑!$C$5:$C$504,MATCH($D503&amp;"",부서매핑!$A$5:$A$504,0)),"미매핑"))</f>
        <v/>
      </c>
      <c r="K503" s="63">
        <f>IF($A503="","",IFERROR(INDEX(계정매핑!$C$5:$C$504,MATCH($F503&amp;"",계정매핑!$A$5:$A$504,0)),"미매핑"))</f>
        <v/>
      </c>
      <c r="L503" s="4">
        <f>IF($A503="","",VALUE($A503&amp;""))</f>
        <v/>
      </c>
      <c r="M503" s="4">
        <f>IF($A503="","",VALUE($B503&amp;""))</f>
        <v/>
      </c>
      <c r="N503" s="64">
        <f>IF($A503="","",$H503*설정!$C$15)</f>
        <v/>
      </c>
      <c r="O503" s="4">
        <f>IF($A503="","",J503&amp;"|"&amp;K503)</f>
        <v/>
      </c>
      <c r="P503" s="63">
        <f>IF($A503="","",IF(COUNTIFS(예산_원본!$T$5:$T$3004,O503,예산_원본!$B$5:$B$3004,설정!$C$8,예산_원본!$U$5:$U$3004,L503)&gt;0,"Y","N"))</f>
        <v/>
      </c>
      <c r="Q503" s="63">
        <f>IF($A503="","",IF(COUNTIF(집계!$E$7:$E$506,O503)&gt;0,"Y","N"))</f>
        <v/>
      </c>
    </row>
    <row r="504">
      <c r="A504" s="60" t="n">
        <v>2025</v>
      </c>
      <c r="B504" s="60" t="n">
        <v>7</v>
      </c>
      <c r="C504" s="60" t="inlineStr">
        <is>
          <t>1000</t>
        </is>
      </c>
      <c r="D504" s="60" t="n">
        <v>1501</v>
      </c>
      <c r="E504" s="60" t="inlineStr">
        <is>
          <t>마케팅전략</t>
        </is>
      </c>
      <c r="F504" s="60" t="n">
        <v>62101000</v>
      </c>
      <c r="G504" s="60" t="inlineStr">
        <is>
          <t>여비교통비-국내</t>
        </is>
      </c>
      <c r="H504" s="61" t="n">
        <v>1233570</v>
      </c>
      <c r="J504" s="63">
        <f>IF($A504="","",IFERROR(INDEX(부서매핑!$C$5:$C$504,MATCH($D504&amp;"",부서매핑!$A$5:$A$504,0)),"미매핑"))</f>
        <v/>
      </c>
      <c r="K504" s="63">
        <f>IF($A504="","",IFERROR(INDEX(계정매핑!$C$5:$C$504,MATCH($F504&amp;"",계정매핑!$A$5:$A$504,0)),"미매핑"))</f>
        <v/>
      </c>
      <c r="L504" s="4">
        <f>IF($A504="","",VALUE($A504&amp;""))</f>
        <v/>
      </c>
      <c r="M504" s="4">
        <f>IF($A504="","",VALUE($B504&amp;""))</f>
        <v/>
      </c>
      <c r="N504" s="64">
        <f>IF($A504="","",$H504*설정!$C$15)</f>
        <v/>
      </c>
      <c r="O504" s="4">
        <f>IF($A504="","",J504&amp;"|"&amp;K504)</f>
        <v/>
      </c>
      <c r="P504" s="63">
        <f>IF($A504="","",IF(COUNTIFS(예산_원본!$T$5:$T$3004,O504,예산_원본!$B$5:$B$3004,설정!$C$8,예산_원본!$U$5:$U$3004,L504)&gt;0,"Y","N"))</f>
        <v/>
      </c>
      <c r="Q504" s="63">
        <f>IF($A504="","",IF(COUNTIF(집계!$E$7:$E$506,O504)&gt;0,"Y","N"))</f>
        <v/>
      </c>
    </row>
    <row r="505">
      <c r="A505" s="60" t="n">
        <v>2025</v>
      </c>
      <c r="B505" s="60" t="n">
        <v>7</v>
      </c>
      <c r="C505" s="60" t="inlineStr">
        <is>
          <t>1000</t>
        </is>
      </c>
      <c r="D505" s="60" t="n">
        <v>1501</v>
      </c>
      <c r="E505" s="60" t="inlineStr">
        <is>
          <t>마케팅전략</t>
        </is>
      </c>
      <c r="F505" s="60" t="n">
        <v>62102000</v>
      </c>
      <c r="G505" s="60" t="inlineStr">
        <is>
          <t>여비교통비-해외</t>
        </is>
      </c>
      <c r="H505" s="61" t="n">
        <v>248910</v>
      </c>
      <c r="J505" s="63">
        <f>IF($A505="","",IFERROR(INDEX(부서매핑!$C$5:$C$504,MATCH($D505&amp;"",부서매핑!$A$5:$A$504,0)),"미매핑"))</f>
        <v/>
      </c>
      <c r="K505" s="63">
        <f>IF($A505="","",IFERROR(INDEX(계정매핑!$C$5:$C$504,MATCH($F505&amp;"",계정매핑!$A$5:$A$504,0)),"미매핑"))</f>
        <v/>
      </c>
      <c r="L505" s="4">
        <f>IF($A505="","",VALUE($A505&amp;""))</f>
        <v/>
      </c>
      <c r="M505" s="4">
        <f>IF($A505="","",VALUE($B505&amp;""))</f>
        <v/>
      </c>
      <c r="N505" s="64">
        <f>IF($A505="","",$H505*설정!$C$15)</f>
        <v/>
      </c>
      <c r="O505" s="4">
        <f>IF($A505="","",J505&amp;"|"&amp;K505)</f>
        <v/>
      </c>
      <c r="P505" s="63">
        <f>IF($A505="","",IF(COUNTIFS(예산_원본!$T$5:$T$3004,O505,예산_원본!$B$5:$B$3004,설정!$C$8,예산_원본!$U$5:$U$3004,L505)&gt;0,"Y","N"))</f>
        <v/>
      </c>
      <c r="Q505" s="63">
        <f>IF($A505="","",IF(COUNTIF(집계!$E$7:$E$506,O505)&gt;0,"Y","N"))</f>
        <v/>
      </c>
    </row>
    <row r="506">
      <c r="A506" s="60" t="n">
        <v>2025</v>
      </c>
      <c r="B506" s="60" t="n">
        <v>7</v>
      </c>
      <c r="C506" s="60" t="inlineStr">
        <is>
          <t>1000</t>
        </is>
      </c>
      <c r="D506" s="60" t="n">
        <v>1501</v>
      </c>
      <c r="E506" s="60" t="inlineStr">
        <is>
          <t>마케팅전략</t>
        </is>
      </c>
      <c r="F506" s="60" t="n">
        <v>62201000</v>
      </c>
      <c r="G506" s="60" t="inlineStr">
        <is>
          <t>통신비</t>
        </is>
      </c>
      <c r="H506" s="61" t="n">
        <v>494060</v>
      </c>
      <c r="J506" s="63">
        <f>IF($A506="","",IFERROR(INDEX(부서매핑!$C$5:$C$504,MATCH($D506&amp;"",부서매핑!$A$5:$A$504,0)),"미매핑"))</f>
        <v/>
      </c>
      <c r="K506" s="63">
        <f>IF($A506="","",IFERROR(INDEX(계정매핑!$C$5:$C$504,MATCH($F506&amp;"",계정매핑!$A$5:$A$504,0)),"미매핑"))</f>
        <v/>
      </c>
      <c r="L506" s="4">
        <f>IF($A506="","",VALUE($A506&amp;""))</f>
        <v/>
      </c>
      <c r="M506" s="4">
        <f>IF($A506="","",VALUE($B506&amp;""))</f>
        <v/>
      </c>
      <c r="N506" s="64">
        <f>IF($A506="","",$H506*설정!$C$15)</f>
        <v/>
      </c>
      <c r="O506" s="4">
        <f>IF($A506="","",J506&amp;"|"&amp;K506)</f>
        <v/>
      </c>
      <c r="P506" s="63">
        <f>IF($A506="","",IF(COUNTIFS(예산_원본!$T$5:$T$3004,O506,예산_원본!$B$5:$B$3004,설정!$C$8,예산_원본!$U$5:$U$3004,L506)&gt;0,"Y","N"))</f>
        <v/>
      </c>
      <c r="Q506" s="63">
        <f>IF($A506="","",IF(COUNTIF(집계!$E$7:$E$506,O506)&gt;0,"Y","N"))</f>
        <v/>
      </c>
    </row>
    <row r="507">
      <c r="A507" s="60" t="n">
        <v>2025</v>
      </c>
      <c r="B507" s="60" t="n">
        <v>7</v>
      </c>
      <c r="C507" s="60" t="inlineStr">
        <is>
          <t>1000</t>
        </is>
      </c>
      <c r="D507" s="60" t="n">
        <v>1501</v>
      </c>
      <c r="E507" s="60" t="inlineStr">
        <is>
          <t>마케팅전략</t>
        </is>
      </c>
      <c r="F507" s="60" t="n">
        <v>62301000</v>
      </c>
      <c r="G507" s="60" t="inlineStr">
        <is>
          <t>소모품비</t>
        </is>
      </c>
      <c r="H507" s="61" t="n">
        <v>415810</v>
      </c>
      <c r="J507" s="63">
        <f>IF($A507="","",IFERROR(INDEX(부서매핑!$C$5:$C$504,MATCH($D507&amp;"",부서매핑!$A$5:$A$504,0)),"미매핑"))</f>
        <v/>
      </c>
      <c r="K507" s="63">
        <f>IF($A507="","",IFERROR(INDEX(계정매핑!$C$5:$C$504,MATCH($F507&amp;"",계정매핑!$A$5:$A$504,0)),"미매핑"))</f>
        <v/>
      </c>
      <c r="L507" s="4">
        <f>IF($A507="","",VALUE($A507&amp;""))</f>
        <v/>
      </c>
      <c r="M507" s="4">
        <f>IF($A507="","",VALUE($B507&amp;""))</f>
        <v/>
      </c>
      <c r="N507" s="64">
        <f>IF($A507="","",$H507*설정!$C$15)</f>
        <v/>
      </c>
      <c r="O507" s="4">
        <f>IF($A507="","",J507&amp;"|"&amp;K507)</f>
        <v/>
      </c>
      <c r="P507" s="63">
        <f>IF($A507="","",IF(COUNTIFS(예산_원본!$T$5:$T$3004,O507,예산_원본!$B$5:$B$3004,설정!$C$8,예산_원본!$U$5:$U$3004,L507)&gt;0,"Y","N"))</f>
        <v/>
      </c>
      <c r="Q507" s="63">
        <f>IF($A507="","",IF(COUNTIF(집계!$E$7:$E$506,O507)&gt;0,"Y","N"))</f>
        <v/>
      </c>
    </row>
    <row r="508">
      <c r="A508" s="60" t="n">
        <v>2025</v>
      </c>
      <c r="B508" s="60" t="n">
        <v>7</v>
      </c>
      <c r="C508" s="60" t="inlineStr">
        <is>
          <t>1000</t>
        </is>
      </c>
      <c r="D508" s="60" t="n">
        <v>1501</v>
      </c>
      <c r="E508" s="60" t="inlineStr">
        <is>
          <t>마케팅전략</t>
        </is>
      </c>
      <c r="F508" s="60" t="n">
        <v>62401000</v>
      </c>
      <c r="G508" s="60" t="inlineStr">
        <is>
          <t>도서인쇄비</t>
        </is>
      </c>
      <c r="H508" s="61" t="n">
        <v>3363490</v>
      </c>
      <c r="J508" s="63">
        <f>IF($A508="","",IFERROR(INDEX(부서매핑!$C$5:$C$504,MATCH($D508&amp;"",부서매핑!$A$5:$A$504,0)),"미매핑"))</f>
        <v/>
      </c>
      <c r="K508" s="63">
        <f>IF($A508="","",IFERROR(INDEX(계정매핑!$C$5:$C$504,MATCH($F508&amp;"",계정매핑!$A$5:$A$504,0)),"미매핑"))</f>
        <v/>
      </c>
      <c r="L508" s="4">
        <f>IF($A508="","",VALUE($A508&amp;""))</f>
        <v/>
      </c>
      <c r="M508" s="4">
        <f>IF($A508="","",VALUE($B508&amp;""))</f>
        <v/>
      </c>
      <c r="N508" s="64">
        <f>IF($A508="","",$H508*설정!$C$15)</f>
        <v/>
      </c>
      <c r="O508" s="4">
        <f>IF($A508="","",J508&amp;"|"&amp;K508)</f>
        <v/>
      </c>
      <c r="P508" s="63">
        <f>IF($A508="","",IF(COUNTIFS(예산_원본!$T$5:$T$3004,O508,예산_원본!$B$5:$B$3004,설정!$C$8,예산_원본!$U$5:$U$3004,L508)&gt;0,"Y","N"))</f>
        <v/>
      </c>
      <c r="Q508" s="63">
        <f>IF($A508="","",IF(COUNTIF(집계!$E$7:$E$506,O508)&gt;0,"Y","N"))</f>
        <v/>
      </c>
    </row>
    <row r="509">
      <c r="A509" s="60" t="n">
        <v>2025</v>
      </c>
      <c r="B509" s="60" t="n">
        <v>7</v>
      </c>
      <c r="C509" s="60" t="inlineStr">
        <is>
          <t>1000</t>
        </is>
      </c>
      <c r="D509" s="60" t="n">
        <v>1501</v>
      </c>
      <c r="E509" s="60" t="inlineStr">
        <is>
          <t>마케팅전략</t>
        </is>
      </c>
      <c r="F509" s="60" t="n">
        <v>62501000</v>
      </c>
      <c r="G509" s="60" t="inlineStr">
        <is>
          <t>회의비</t>
        </is>
      </c>
      <c r="H509" s="61" t="n">
        <v>670600</v>
      </c>
      <c r="J509" s="63">
        <f>IF($A509="","",IFERROR(INDEX(부서매핑!$C$5:$C$504,MATCH($D509&amp;"",부서매핑!$A$5:$A$504,0)),"미매핑"))</f>
        <v/>
      </c>
      <c r="K509" s="63">
        <f>IF($A509="","",IFERROR(INDEX(계정매핑!$C$5:$C$504,MATCH($F509&amp;"",계정매핑!$A$5:$A$504,0)),"미매핑"))</f>
        <v/>
      </c>
      <c r="L509" s="4">
        <f>IF($A509="","",VALUE($A509&amp;""))</f>
        <v/>
      </c>
      <c r="M509" s="4">
        <f>IF($A509="","",VALUE($B509&amp;""))</f>
        <v/>
      </c>
      <c r="N509" s="64">
        <f>IF($A509="","",$H509*설정!$C$15)</f>
        <v/>
      </c>
      <c r="O509" s="4">
        <f>IF($A509="","",J509&amp;"|"&amp;K509)</f>
        <v/>
      </c>
      <c r="P509" s="63">
        <f>IF($A509="","",IF(COUNTIFS(예산_원본!$T$5:$T$3004,O509,예산_원본!$B$5:$B$3004,설정!$C$8,예산_원본!$U$5:$U$3004,L509)&gt;0,"Y","N"))</f>
        <v/>
      </c>
      <c r="Q509" s="63">
        <f>IF($A509="","",IF(COUNTIF(집계!$E$7:$E$506,O509)&gt;0,"Y","N"))</f>
        <v/>
      </c>
    </row>
    <row r="510">
      <c r="A510" s="60" t="n">
        <v>2025</v>
      </c>
      <c r="B510" s="60" t="n">
        <v>7</v>
      </c>
      <c r="C510" s="60" t="inlineStr">
        <is>
          <t>1000</t>
        </is>
      </c>
      <c r="D510" s="60" t="n">
        <v>1501</v>
      </c>
      <c r="E510" s="60" t="inlineStr">
        <is>
          <t>마케팅전략</t>
        </is>
      </c>
      <c r="F510" s="60" t="n">
        <v>62601000</v>
      </c>
      <c r="G510" s="60" t="inlineStr">
        <is>
          <t>업무추진비</t>
        </is>
      </c>
      <c r="H510" s="61" t="n">
        <v>1391330</v>
      </c>
      <c r="J510" s="63">
        <f>IF($A510="","",IFERROR(INDEX(부서매핑!$C$5:$C$504,MATCH($D510&amp;"",부서매핑!$A$5:$A$504,0)),"미매핑"))</f>
        <v/>
      </c>
      <c r="K510" s="63">
        <f>IF($A510="","",IFERROR(INDEX(계정매핑!$C$5:$C$504,MATCH($F510&amp;"",계정매핑!$A$5:$A$504,0)),"미매핑"))</f>
        <v/>
      </c>
      <c r="L510" s="4">
        <f>IF($A510="","",VALUE($A510&amp;""))</f>
        <v/>
      </c>
      <c r="M510" s="4">
        <f>IF($A510="","",VALUE($B510&amp;""))</f>
        <v/>
      </c>
      <c r="N510" s="64">
        <f>IF($A510="","",$H510*설정!$C$15)</f>
        <v/>
      </c>
      <c r="O510" s="4">
        <f>IF($A510="","",J510&amp;"|"&amp;K510)</f>
        <v/>
      </c>
      <c r="P510" s="63">
        <f>IF($A510="","",IF(COUNTIFS(예산_원본!$T$5:$T$3004,O510,예산_원본!$B$5:$B$3004,설정!$C$8,예산_원본!$U$5:$U$3004,L510)&gt;0,"Y","N"))</f>
        <v/>
      </c>
      <c r="Q510" s="63">
        <f>IF($A510="","",IF(COUNTIF(집계!$E$7:$E$506,O510)&gt;0,"Y","N"))</f>
        <v/>
      </c>
    </row>
    <row r="511">
      <c r="A511" s="60" t="n">
        <v>2025</v>
      </c>
      <c r="B511" s="60" t="n">
        <v>7</v>
      </c>
      <c r="C511" s="60" t="inlineStr">
        <is>
          <t>1000</t>
        </is>
      </c>
      <c r="D511" s="60" t="n">
        <v>1501</v>
      </c>
      <c r="E511" s="60" t="inlineStr">
        <is>
          <t>마케팅전략</t>
        </is>
      </c>
      <c r="F511" s="60" t="n">
        <v>62701000</v>
      </c>
      <c r="G511" s="60" t="inlineStr">
        <is>
          <t>광고선전비</t>
        </is>
      </c>
      <c r="H511" s="61" t="n">
        <v>54580070</v>
      </c>
      <c r="J511" s="63">
        <f>IF($A511="","",IFERROR(INDEX(부서매핑!$C$5:$C$504,MATCH($D511&amp;"",부서매핑!$A$5:$A$504,0)),"미매핑"))</f>
        <v/>
      </c>
      <c r="K511" s="63">
        <f>IF($A511="","",IFERROR(INDEX(계정매핑!$C$5:$C$504,MATCH($F511&amp;"",계정매핑!$A$5:$A$504,0)),"미매핑"))</f>
        <v/>
      </c>
      <c r="L511" s="4">
        <f>IF($A511="","",VALUE($A511&amp;""))</f>
        <v/>
      </c>
      <c r="M511" s="4">
        <f>IF($A511="","",VALUE($B511&amp;""))</f>
        <v/>
      </c>
      <c r="N511" s="64">
        <f>IF($A511="","",$H511*설정!$C$15)</f>
        <v/>
      </c>
      <c r="O511" s="4">
        <f>IF($A511="","",J511&amp;"|"&amp;K511)</f>
        <v/>
      </c>
      <c r="P511" s="63">
        <f>IF($A511="","",IF(COUNTIFS(예산_원본!$T$5:$T$3004,O511,예산_원본!$B$5:$B$3004,설정!$C$8,예산_원본!$U$5:$U$3004,L511)&gt;0,"Y","N"))</f>
        <v/>
      </c>
      <c r="Q511" s="63">
        <f>IF($A511="","",IF(COUNTIF(집계!$E$7:$E$506,O511)&gt;0,"Y","N"))</f>
        <v/>
      </c>
    </row>
    <row r="512">
      <c r="A512" s="60" t="n">
        <v>2025</v>
      </c>
      <c r="B512" s="60" t="n">
        <v>7</v>
      </c>
      <c r="C512" s="60" t="inlineStr">
        <is>
          <t>1000</t>
        </is>
      </c>
      <c r="D512" s="60" t="n">
        <v>1502</v>
      </c>
      <c r="E512" s="60" t="inlineStr">
        <is>
          <t>디지털마케팅</t>
        </is>
      </c>
      <c r="F512" s="60" t="n">
        <v>62101000</v>
      </c>
      <c r="G512" s="60" t="inlineStr">
        <is>
          <t>여비교통비-국내</t>
        </is>
      </c>
      <c r="H512" s="61" t="n">
        <v>841540</v>
      </c>
      <c r="J512" s="63">
        <f>IF($A512="","",IFERROR(INDEX(부서매핑!$C$5:$C$504,MATCH($D512&amp;"",부서매핑!$A$5:$A$504,0)),"미매핑"))</f>
        <v/>
      </c>
      <c r="K512" s="63">
        <f>IF($A512="","",IFERROR(INDEX(계정매핑!$C$5:$C$504,MATCH($F512&amp;"",계정매핑!$A$5:$A$504,0)),"미매핑"))</f>
        <v/>
      </c>
      <c r="L512" s="4">
        <f>IF($A512="","",VALUE($A512&amp;""))</f>
        <v/>
      </c>
      <c r="M512" s="4">
        <f>IF($A512="","",VALUE($B512&amp;""))</f>
        <v/>
      </c>
      <c r="N512" s="64">
        <f>IF($A512="","",$H512*설정!$C$15)</f>
        <v/>
      </c>
      <c r="O512" s="4">
        <f>IF($A512="","",J512&amp;"|"&amp;K512)</f>
        <v/>
      </c>
      <c r="P512" s="63">
        <f>IF($A512="","",IF(COUNTIFS(예산_원본!$T$5:$T$3004,O512,예산_원본!$B$5:$B$3004,설정!$C$8,예산_원본!$U$5:$U$3004,L512)&gt;0,"Y","N"))</f>
        <v/>
      </c>
      <c r="Q512" s="63">
        <f>IF($A512="","",IF(COUNTIF(집계!$E$7:$E$506,O512)&gt;0,"Y","N"))</f>
        <v/>
      </c>
    </row>
    <row r="513">
      <c r="A513" s="60" t="n">
        <v>2025</v>
      </c>
      <c r="B513" s="60" t="n">
        <v>7</v>
      </c>
      <c r="C513" s="60" t="inlineStr">
        <is>
          <t>1000</t>
        </is>
      </c>
      <c r="D513" s="60" t="n">
        <v>1502</v>
      </c>
      <c r="E513" s="60" t="inlineStr">
        <is>
          <t>디지털마케팅</t>
        </is>
      </c>
      <c r="F513" s="60" t="n">
        <v>62102000</v>
      </c>
      <c r="G513" s="60" t="inlineStr">
        <is>
          <t>여비교통비-해외</t>
        </is>
      </c>
      <c r="H513" s="61" t="n">
        <v>152110</v>
      </c>
      <c r="J513" s="63">
        <f>IF($A513="","",IFERROR(INDEX(부서매핑!$C$5:$C$504,MATCH($D513&amp;"",부서매핑!$A$5:$A$504,0)),"미매핑"))</f>
        <v/>
      </c>
      <c r="K513" s="63">
        <f>IF($A513="","",IFERROR(INDEX(계정매핑!$C$5:$C$504,MATCH($F513&amp;"",계정매핑!$A$5:$A$504,0)),"미매핑"))</f>
        <v/>
      </c>
      <c r="L513" s="4">
        <f>IF($A513="","",VALUE($A513&amp;""))</f>
        <v/>
      </c>
      <c r="M513" s="4">
        <f>IF($A513="","",VALUE($B513&amp;""))</f>
        <v/>
      </c>
      <c r="N513" s="64">
        <f>IF($A513="","",$H513*설정!$C$15)</f>
        <v/>
      </c>
      <c r="O513" s="4">
        <f>IF($A513="","",J513&amp;"|"&amp;K513)</f>
        <v/>
      </c>
      <c r="P513" s="63">
        <f>IF($A513="","",IF(COUNTIFS(예산_원본!$T$5:$T$3004,O513,예산_원본!$B$5:$B$3004,설정!$C$8,예산_원본!$U$5:$U$3004,L513)&gt;0,"Y","N"))</f>
        <v/>
      </c>
      <c r="Q513" s="63">
        <f>IF($A513="","",IF(COUNTIF(집계!$E$7:$E$506,O513)&gt;0,"Y","N"))</f>
        <v/>
      </c>
    </row>
    <row r="514">
      <c r="A514" s="60" t="n">
        <v>2025</v>
      </c>
      <c r="B514" s="60" t="n">
        <v>7</v>
      </c>
      <c r="C514" s="60" t="inlineStr">
        <is>
          <t>1000</t>
        </is>
      </c>
      <c r="D514" s="60" t="n">
        <v>1502</v>
      </c>
      <c r="E514" s="60" t="inlineStr">
        <is>
          <t>디지털마케팅</t>
        </is>
      </c>
      <c r="F514" s="60" t="n">
        <v>62201000</v>
      </c>
      <c r="G514" s="60" t="inlineStr">
        <is>
          <t>통신비</t>
        </is>
      </c>
      <c r="H514" s="61" t="n">
        <v>319900</v>
      </c>
      <c r="J514" s="63">
        <f>IF($A514="","",IFERROR(INDEX(부서매핑!$C$5:$C$504,MATCH($D514&amp;"",부서매핑!$A$5:$A$504,0)),"미매핑"))</f>
        <v/>
      </c>
      <c r="K514" s="63">
        <f>IF($A514="","",IFERROR(INDEX(계정매핑!$C$5:$C$504,MATCH($F514&amp;"",계정매핑!$A$5:$A$504,0)),"미매핑"))</f>
        <v/>
      </c>
      <c r="L514" s="4">
        <f>IF($A514="","",VALUE($A514&amp;""))</f>
        <v/>
      </c>
      <c r="M514" s="4">
        <f>IF($A514="","",VALUE($B514&amp;""))</f>
        <v/>
      </c>
      <c r="N514" s="64">
        <f>IF($A514="","",$H514*설정!$C$15)</f>
        <v/>
      </c>
      <c r="O514" s="4">
        <f>IF($A514="","",J514&amp;"|"&amp;K514)</f>
        <v/>
      </c>
      <c r="P514" s="63">
        <f>IF($A514="","",IF(COUNTIFS(예산_원본!$T$5:$T$3004,O514,예산_원본!$B$5:$B$3004,설정!$C$8,예산_원본!$U$5:$U$3004,L514)&gt;0,"Y","N"))</f>
        <v/>
      </c>
      <c r="Q514" s="63">
        <f>IF($A514="","",IF(COUNTIF(집계!$E$7:$E$506,O514)&gt;0,"Y","N"))</f>
        <v/>
      </c>
    </row>
    <row r="515">
      <c r="A515" s="60" t="n">
        <v>2025</v>
      </c>
      <c r="B515" s="60" t="n">
        <v>7</v>
      </c>
      <c r="C515" s="60" t="inlineStr">
        <is>
          <t>1000</t>
        </is>
      </c>
      <c r="D515" s="60" t="n">
        <v>1502</v>
      </c>
      <c r="E515" s="60" t="inlineStr">
        <is>
          <t>디지털마케팅</t>
        </is>
      </c>
      <c r="F515" s="60" t="n">
        <v>62301000</v>
      </c>
      <c r="G515" s="60" t="inlineStr">
        <is>
          <t>소모품비</t>
        </is>
      </c>
      <c r="H515" s="61" t="n">
        <v>285540</v>
      </c>
      <c r="J515" s="63">
        <f>IF($A515="","",IFERROR(INDEX(부서매핑!$C$5:$C$504,MATCH($D515&amp;"",부서매핑!$A$5:$A$504,0)),"미매핑"))</f>
        <v/>
      </c>
      <c r="K515" s="63">
        <f>IF($A515="","",IFERROR(INDEX(계정매핑!$C$5:$C$504,MATCH($F515&amp;"",계정매핑!$A$5:$A$504,0)),"미매핑"))</f>
        <v/>
      </c>
      <c r="L515" s="4">
        <f>IF($A515="","",VALUE($A515&amp;""))</f>
        <v/>
      </c>
      <c r="M515" s="4">
        <f>IF($A515="","",VALUE($B515&amp;""))</f>
        <v/>
      </c>
      <c r="N515" s="64">
        <f>IF($A515="","",$H515*설정!$C$15)</f>
        <v/>
      </c>
      <c r="O515" s="4">
        <f>IF($A515="","",J515&amp;"|"&amp;K515)</f>
        <v/>
      </c>
      <c r="P515" s="63">
        <f>IF($A515="","",IF(COUNTIFS(예산_원본!$T$5:$T$3004,O515,예산_원본!$B$5:$B$3004,설정!$C$8,예산_원본!$U$5:$U$3004,L515)&gt;0,"Y","N"))</f>
        <v/>
      </c>
      <c r="Q515" s="63">
        <f>IF($A515="","",IF(COUNTIF(집계!$E$7:$E$506,O515)&gt;0,"Y","N"))</f>
        <v/>
      </c>
    </row>
    <row r="516">
      <c r="A516" s="60" t="n">
        <v>2025</v>
      </c>
      <c r="B516" s="60" t="n">
        <v>7</v>
      </c>
      <c r="C516" s="60" t="inlineStr">
        <is>
          <t>1000</t>
        </is>
      </c>
      <c r="D516" s="60" t="n">
        <v>1502</v>
      </c>
      <c r="E516" s="60" t="inlineStr">
        <is>
          <t>디지털마케팅</t>
        </is>
      </c>
      <c r="F516" s="60" t="n">
        <v>62401000</v>
      </c>
      <c r="G516" s="60" t="inlineStr">
        <is>
          <t>도서인쇄비</t>
        </is>
      </c>
      <c r="H516" s="61" t="n">
        <v>2325320</v>
      </c>
      <c r="J516" s="63">
        <f>IF($A516="","",IFERROR(INDEX(부서매핑!$C$5:$C$504,MATCH($D516&amp;"",부서매핑!$A$5:$A$504,0)),"미매핑"))</f>
        <v/>
      </c>
      <c r="K516" s="63">
        <f>IF($A516="","",IFERROR(INDEX(계정매핑!$C$5:$C$504,MATCH($F516&amp;"",계정매핑!$A$5:$A$504,0)),"미매핑"))</f>
        <v/>
      </c>
      <c r="L516" s="4">
        <f>IF($A516="","",VALUE($A516&amp;""))</f>
        <v/>
      </c>
      <c r="M516" s="4">
        <f>IF($A516="","",VALUE($B516&amp;""))</f>
        <v/>
      </c>
      <c r="N516" s="64">
        <f>IF($A516="","",$H516*설정!$C$15)</f>
        <v/>
      </c>
      <c r="O516" s="4">
        <f>IF($A516="","",J516&amp;"|"&amp;K516)</f>
        <v/>
      </c>
      <c r="P516" s="63">
        <f>IF($A516="","",IF(COUNTIFS(예산_원본!$T$5:$T$3004,O516,예산_원본!$B$5:$B$3004,설정!$C$8,예산_원본!$U$5:$U$3004,L516)&gt;0,"Y","N"))</f>
        <v/>
      </c>
      <c r="Q516" s="63">
        <f>IF($A516="","",IF(COUNTIF(집계!$E$7:$E$506,O516)&gt;0,"Y","N"))</f>
        <v/>
      </c>
    </row>
    <row r="517">
      <c r="A517" s="60" t="n">
        <v>2025</v>
      </c>
      <c r="B517" s="60" t="n">
        <v>7</v>
      </c>
      <c r="C517" s="60" t="inlineStr">
        <is>
          <t>1000</t>
        </is>
      </c>
      <c r="D517" s="60" t="n">
        <v>1502</v>
      </c>
      <c r="E517" s="60" t="inlineStr">
        <is>
          <t>디지털마케팅</t>
        </is>
      </c>
      <c r="F517" s="60" t="n">
        <v>62501000</v>
      </c>
      <c r="G517" s="60" t="inlineStr">
        <is>
          <t>회의비</t>
        </is>
      </c>
      <c r="H517" s="61" t="n">
        <v>394180</v>
      </c>
      <c r="J517" s="63">
        <f>IF($A517="","",IFERROR(INDEX(부서매핑!$C$5:$C$504,MATCH($D517&amp;"",부서매핑!$A$5:$A$504,0)),"미매핑"))</f>
        <v/>
      </c>
      <c r="K517" s="63">
        <f>IF($A517="","",IFERROR(INDEX(계정매핑!$C$5:$C$504,MATCH($F517&amp;"",계정매핑!$A$5:$A$504,0)),"미매핑"))</f>
        <v/>
      </c>
      <c r="L517" s="4">
        <f>IF($A517="","",VALUE($A517&amp;""))</f>
        <v/>
      </c>
      <c r="M517" s="4">
        <f>IF($A517="","",VALUE($B517&amp;""))</f>
        <v/>
      </c>
      <c r="N517" s="64">
        <f>IF($A517="","",$H517*설정!$C$15)</f>
        <v/>
      </c>
      <c r="O517" s="4">
        <f>IF($A517="","",J517&amp;"|"&amp;K517)</f>
        <v/>
      </c>
      <c r="P517" s="63">
        <f>IF($A517="","",IF(COUNTIFS(예산_원본!$T$5:$T$3004,O517,예산_원본!$B$5:$B$3004,설정!$C$8,예산_원본!$U$5:$U$3004,L517)&gt;0,"Y","N"))</f>
        <v/>
      </c>
      <c r="Q517" s="63">
        <f>IF($A517="","",IF(COUNTIF(집계!$E$7:$E$506,O517)&gt;0,"Y","N"))</f>
        <v/>
      </c>
    </row>
    <row r="518">
      <c r="A518" s="60" t="n">
        <v>2025</v>
      </c>
      <c r="B518" s="60" t="n">
        <v>7</v>
      </c>
      <c r="C518" s="60" t="inlineStr">
        <is>
          <t>1000</t>
        </is>
      </c>
      <c r="D518" s="60" t="n">
        <v>1502</v>
      </c>
      <c r="E518" s="60" t="inlineStr">
        <is>
          <t>디지털마케팅</t>
        </is>
      </c>
      <c r="F518" s="60" t="n">
        <v>62601000</v>
      </c>
      <c r="G518" s="60" t="inlineStr">
        <is>
          <t>업무추진비</t>
        </is>
      </c>
      <c r="H518" s="61" t="n">
        <v>952100</v>
      </c>
      <c r="J518" s="63">
        <f>IF($A518="","",IFERROR(INDEX(부서매핑!$C$5:$C$504,MATCH($D518&amp;"",부서매핑!$A$5:$A$504,0)),"미매핑"))</f>
        <v/>
      </c>
      <c r="K518" s="63">
        <f>IF($A518="","",IFERROR(INDEX(계정매핑!$C$5:$C$504,MATCH($F518&amp;"",계정매핑!$A$5:$A$504,0)),"미매핑"))</f>
        <v/>
      </c>
      <c r="L518" s="4">
        <f>IF($A518="","",VALUE($A518&amp;""))</f>
        <v/>
      </c>
      <c r="M518" s="4">
        <f>IF($A518="","",VALUE($B518&amp;""))</f>
        <v/>
      </c>
      <c r="N518" s="64">
        <f>IF($A518="","",$H518*설정!$C$15)</f>
        <v/>
      </c>
      <c r="O518" s="4">
        <f>IF($A518="","",J518&amp;"|"&amp;K518)</f>
        <v/>
      </c>
      <c r="P518" s="63">
        <f>IF($A518="","",IF(COUNTIFS(예산_원본!$T$5:$T$3004,O518,예산_원본!$B$5:$B$3004,설정!$C$8,예산_원본!$U$5:$U$3004,L518)&gt;0,"Y","N"))</f>
        <v/>
      </c>
      <c r="Q518" s="63">
        <f>IF($A518="","",IF(COUNTIF(집계!$E$7:$E$506,O518)&gt;0,"Y","N"))</f>
        <v/>
      </c>
    </row>
    <row r="519">
      <c r="A519" s="60" t="n">
        <v>2025</v>
      </c>
      <c r="B519" s="60" t="n">
        <v>7</v>
      </c>
      <c r="C519" s="60" t="inlineStr">
        <is>
          <t>1000</t>
        </is>
      </c>
      <c r="D519" s="60" t="n">
        <v>1502</v>
      </c>
      <c r="E519" s="60" t="inlineStr">
        <is>
          <t>디지털마케팅</t>
        </is>
      </c>
      <c r="F519" s="60" t="n">
        <v>62701000</v>
      </c>
      <c r="G519" s="60" t="inlineStr">
        <is>
          <t>광고선전비</t>
        </is>
      </c>
      <c r="H519" s="61" t="n">
        <v>32466230</v>
      </c>
      <c r="J519" s="63">
        <f>IF($A519="","",IFERROR(INDEX(부서매핑!$C$5:$C$504,MATCH($D519&amp;"",부서매핑!$A$5:$A$504,0)),"미매핑"))</f>
        <v/>
      </c>
      <c r="K519" s="63">
        <f>IF($A519="","",IFERROR(INDEX(계정매핑!$C$5:$C$504,MATCH($F519&amp;"",계정매핑!$A$5:$A$504,0)),"미매핑"))</f>
        <v/>
      </c>
      <c r="L519" s="4">
        <f>IF($A519="","",VALUE($A519&amp;""))</f>
        <v/>
      </c>
      <c r="M519" s="4">
        <f>IF($A519="","",VALUE($B519&amp;""))</f>
        <v/>
      </c>
      <c r="N519" s="64">
        <f>IF($A519="","",$H519*설정!$C$15)</f>
        <v/>
      </c>
      <c r="O519" s="4">
        <f>IF($A519="","",J519&amp;"|"&amp;K519)</f>
        <v/>
      </c>
      <c r="P519" s="63">
        <f>IF($A519="","",IF(COUNTIFS(예산_원본!$T$5:$T$3004,O519,예산_원본!$B$5:$B$3004,설정!$C$8,예산_원본!$U$5:$U$3004,L519)&gt;0,"Y","N"))</f>
        <v/>
      </c>
      <c r="Q519" s="63">
        <f>IF($A519="","",IF(COUNTIF(집계!$E$7:$E$506,O519)&gt;0,"Y","N"))</f>
        <v/>
      </c>
    </row>
    <row r="520">
      <c r="A520" s="60" t="n">
        <v>2025</v>
      </c>
      <c r="B520" s="60" t="n">
        <v>7</v>
      </c>
      <c r="C520" s="60" t="inlineStr">
        <is>
          <t>1000</t>
        </is>
      </c>
      <c r="D520" s="60" t="n">
        <v>1601</v>
      </c>
      <c r="E520" s="60" t="inlineStr">
        <is>
          <t>영업지원-본사</t>
        </is>
      </c>
      <c r="F520" s="60" t="n">
        <v>62101000</v>
      </c>
      <c r="G520" s="60" t="inlineStr">
        <is>
          <t>여비교통비-국내</t>
        </is>
      </c>
      <c r="H520" s="61" t="n">
        <v>3860150</v>
      </c>
      <c r="J520" s="63">
        <f>IF($A520="","",IFERROR(INDEX(부서매핑!$C$5:$C$504,MATCH($D520&amp;"",부서매핑!$A$5:$A$504,0)),"미매핑"))</f>
        <v/>
      </c>
      <c r="K520" s="63">
        <f>IF($A520="","",IFERROR(INDEX(계정매핑!$C$5:$C$504,MATCH($F520&amp;"",계정매핑!$A$5:$A$504,0)),"미매핑"))</f>
        <v/>
      </c>
      <c r="L520" s="4">
        <f>IF($A520="","",VALUE($A520&amp;""))</f>
        <v/>
      </c>
      <c r="M520" s="4">
        <f>IF($A520="","",VALUE($B520&amp;""))</f>
        <v/>
      </c>
      <c r="N520" s="64">
        <f>IF($A520="","",$H520*설정!$C$15)</f>
        <v/>
      </c>
      <c r="O520" s="4">
        <f>IF($A520="","",J520&amp;"|"&amp;K520)</f>
        <v/>
      </c>
      <c r="P520" s="63">
        <f>IF($A520="","",IF(COUNTIFS(예산_원본!$T$5:$T$3004,O520,예산_원본!$B$5:$B$3004,설정!$C$8,예산_원본!$U$5:$U$3004,L520)&gt;0,"Y","N"))</f>
        <v/>
      </c>
      <c r="Q520" s="63">
        <f>IF($A520="","",IF(COUNTIF(집계!$E$7:$E$506,O520)&gt;0,"Y","N"))</f>
        <v/>
      </c>
    </row>
    <row r="521">
      <c r="A521" s="60" t="n">
        <v>2025</v>
      </c>
      <c r="B521" s="60" t="n">
        <v>7</v>
      </c>
      <c r="C521" s="60" t="inlineStr">
        <is>
          <t>1000</t>
        </is>
      </c>
      <c r="D521" s="60" t="n">
        <v>1601</v>
      </c>
      <c r="E521" s="60" t="inlineStr">
        <is>
          <t>영업지원-본사</t>
        </is>
      </c>
      <c r="F521" s="60" t="n">
        <v>62102000</v>
      </c>
      <c r="G521" s="60" t="inlineStr">
        <is>
          <t>여비교통비-해외</t>
        </is>
      </c>
      <c r="H521" s="61" t="n">
        <v>635250</v>
      </c>
      <c r="J521" s="63">
        <f>IF($A521="","",IFERROR(INDEX(부서매핑!$C$5:$C$504,MATCH($D521&amp;"",부서매핑!$A$5:$A$504,0)),"미매핑"))</f>
        <v/>
      </c>
      <c r="K521" s="63">
        <f>IF($A521="","",IFERROR(INDEX(계정매핑!$C$5:$C$504,MATCH($F521&amp;"",계정매핑!$A$5:$A$504,0)),"미매핑"))</f>
        <v/>
      </c>
      <c r="L521" s="4">
        <f>IF($A521="","",VALUE($A521&amp;""))</f>
        <v/>
      </c>
      <c r="M521" s="4">
        <f>IF($A521="","",VALUE($B521&amp;""))</f>
        <v/>
      </c>
      <c r="N521" s="64">
        <f>IF($A521="","",$H521*설정!$C$15)</f>
        <v/>
      </c>
      <c r="O521" s="4">
        <f>IF($A521="","",J521&amp;"|"&amp;K521)</f>
        <v/>
      </c>
      <c r="P521" s="63">
        <f>IF($A521="","",IF(COUNTIFS(예산_원본!$T$5:$T$3004,O521,예산_원본!$B$5:$B$3004,설정!$C$8,예산_원본!$U$5:$U$3004,L521)&gt;0,"Y","N"))</f>
        <v/>
      </c>
      <c r="Q521" s="63">
        <f>IF($A521="","",IF(COUNTIF(집계!$E$7:$E$506,O521)&gt;0,"Y","N"))</f>
        <v/>
      </c>
    </row>
    <row r="522">
      <c r="A522" s="60" t="n">
        <v>2025</v>
      </c>
      <c r="B522" s="60" t="n">
        <v>7</v>
      </c>
      <c r="C522" s="60" t="inlineStr">
        <is>
          <t>1000</t>
        </is>
      </c>
      <c r="D522" s="60" t="n">
        <v>1601</v>
      </c>
      <c r="E522" s="60" t="inlineStr">
        <is>
          <t>영업지원-본사</t>
        </is>
      </c>
      <c r="F522" s="60" t="n">
        <v>62201000</v>
      </c>
      <c r="G522" s="60" t="inlineStr">
        <is>
          <t>통신비</t>
        </is>
      </c>
      <c r="H522" s="61" t="n">
        <v>985620</v>
      </c>
      <c r="J522" s="63">
        <f>IF($A522="","",IFERROR(INDEX(부서매핑!$C$5:$C$504,MATCH($D522&amp;"",부서매핑!$A$5:$A$504,0)),"미매핑"))</f>
        <v/>
      </c>
      <c r="K522" s="63">
        <f>IF($A522="","",IFERROR(INDEX(계정매핑!$C$5:$C$504,MATCH($F522&amp;"",계정매핑!$A$5:$A$504,0)),"미매핑"))</f>
        <v/>
      </c>
      <c r="L522" s="4">
        <f>IF($A522="","",VALUE($A522&amp;""))</f>
        <v/>
      </c>
      <c r="M522" s="4">
        <f>IF($A522="","",VALUE($B522&amp;""))</f>
        <v/>
      </c>
      <c r="N522" s="64">
        <f>IF($A522="","",$H522*설정!$C$15)</f>
        <v/>
      </c>
      <c r="O522" s="4">
        <f>IF($A522="","",J522&amp;"|"&amp;K522)</f>
        <v/>
      </c>
      <c r="P522" s="63">
        <f>IF($A522="","",IF(COUNTIFS(예산_원본!$T$5:$T$3004,O522,예산_원본!$B$5:$B$3004,설정!$C$8,예산_원본!$U$5:$U$3004,L522)&gt;0,"Y","N"))</f>
        <v/>
      </c>
      <c r="Q522" s="63">
        <f>IF($A522="","",IF(COUNTIF(집계!$E$7:$E$506,O522)&gt;0,"Y","N"))</f>
        <v/>
      </c>
    </row>
    <row r="523">
      <c r="A523" s="60" t="n">
        <v>2025</v>
      </c>
      <c r="B523" s="60" t="n">
        <v>7</v>
      </c>
      <c r="C523" s="60" t="inlineStr">
        <is>
          <t>1000</t>
        </is>
      </c>
      <c r="D523" s="60" t="n">
        <v>1601</v>
      </c>
      <c r="E523" s="60" t="inlineStr">
        <is>
          <t>영업지원-본사</t>
        </is>
      </c>
      <c r="F523" s="60" t="n">
        <v>62301000</v>
      </c>
      <c r="G523" s="60" t="inlineStr">
        <is>
          <t>소모품비</t>
        </is>
      </c>
      <c r="H523" s="61" t="n">
        <v>612660</v>
      </c>
      <c r="J523" s="63">
        <f>IF($A523="","",IFERROR(INDEX(부서매핑!$C$5:$C$504,MATCH($D523&amp;"",부서매핑!$A$5:$A$504,0)),"미매핑"))</f>
        <v/>
      </c>
      <c r="K523" s="63">
        <f>IF($A523="","",IFERROR(INDEX(계정매핑!$C$5:$C$504,MATCH($F523&amp;"",계정매핑!$A$5:$A$504,0)),"미매핑"))</f>
        <v/>
      </c>
      <c r="L523" s="4">
        <f>IF($A523="","",VALUE($A523&amp;""))</f>
        <v/>
      </c>
      <c r="M523" s="4">
        <f>IF($A523="","",VALUE($B523&amp;""))</f>
        <v/>
      </c>
      <c r="N523" s="64">
        <f>IF($A523="","",$H523*설정!$C$15)</f>
        <v/>
      </c>
      <c r="O523" s="4">
        <f>IF($A523="","",J523&amp;"|"&amp;K523)</f>
        <v/>
      </c>
      <c r="P523" s="63">
        <f>IF($A523="","",IF(COUNTIFS(예산_원본!$T$5:$T$3004,O523,예산_원본!$B$5:$B$3004,설정!$C$8,예산_원본!$U$5:$U$3004,L523)&gt;0,"Y","N"))</f>
        <v/>
      </c>
      <c r="Q523" s="63">
        <f>IF($A523="","",IF(COUNTIF(집계!$E$7:$E$506,O523)&gt;0,"Y","N"))</f>
        <v/>
      </c>
    </row>
    <row r="524">
      <c r="A524" s="60" t="n">
        <v>2025</v>
      </c>
      <c r="B524" s="60" t="n">
        <v>7</v>
      </c>
      <c r="C524" s="60" t="inlineStr">
        <is>
          <t>1000</t>
        </is>
      </c>
      <c r="D524" s="60" t="n">
        <v>1601</v>
      </c>
      <c r="E524" s="60" t="inlineStr">
        <is>
          <t>영업지원-본사</t>
        </is>
      </c>
      <c r="F524" s="60" t="n">
        <v>62501000</v>
      </c>
      <c r="G524" s="60" t="inlineStr">
        <is>
          <t>회의비</t>
        </is>
      </c>
      <c r="H524" s="61" t="n">
        <v>638350</v>
      </c>
      <c r="J524" s="63">
        <f>IF($A524="","",IFERROR(INDEX(부서매핑!$C$5:$C$504,MATCH($D524&amp;"",부서매핑!$A$5:$A$504,0)),"미매핑"))</f>
        <v/>
      </c>
      <c r="K524" s="63">
        <f>IF($A524="","",IFERROR(INDEX(계정매핑!$C$5:$C$504,MATCH($F524&amp;"",계정매핑!$A$5:$A$504,0)),"미매핑"))</f>
        <v/>
      </c>
      <c r="L524" s="4">
        <f>IF($A524="","",VALUE($A524&amp;""))</f>
        <v/>
      </c>
      <c r="M524" s="4">
        <f>IF($A524="","",VALUE($B524&amp;""))</f>
        <v/>
      </c>
      <c r="N524" s="64">
        <f>IF($A524="","",$H524*설정!$C$15)</f>
        <v/>
      </c>
      <c r="O524" s="4">
        <f>IF($A524="","",J524&amp;"|"&amp;K524)</f>
        <v/>
      </c>
      <c r="P524" s="63">
        <f>IF($A524="","",IF(COUNTIFS(예산_원본!$T$5:$T$3004,O524,예산_원본!$B$5:$B$3004,설정!$C$8,예산_원본!$U$5:$U$3004,L524)&gt;0,"Y","N"))</f>
        <v/>
      </c>
      <c r="Q524" s="63">
        <f>IF($A524="","",IF(COUNTIF(집계!$E$7:$E$506,O524)&gt;0,"Y","N"))</f>
        <v/>
      </c>
    </row>
    <row r="525">
      <c r="A525" s="60" t="n">
        <v>2025</v>
      </c>
      <c r="B525" s="60" t="n">
        <v>7</v>
      </c>
      <c r="C525" s="60" t="inlineStr">
        <is>
          <t>1000</t>
        </is>
      </c>
      <c r="D525" s="60" t="n">
        <v>1601</v>
      </c>
      <c r="E525" s="60" t="inlineStr">
        <is>
          <t>영업지원-본사</t>
        </is>
      </c>
      <c r="F525" s="60" t="n">
        <v>62601000</v>
      </c>
      <c r="G525" s="60" t="inlineStr">
        <is>
          <t>업무추진비</t>
        </is>
      </c>
      <c r="H525" s="61" t="n">
        <v>1692230</v>
      </c>
      <c r="J525" s="63">
        <f>IF($A525="","",IFERROR(INDEX(부서매핑!$C$5:$C$504,MATCH($D525&amp;"",부서매핑!$A$5:$A$504,0)),"미매핑"))</f>
        <v/>
      </c>
      <c r="K525" s="63">
        <f>IF($A525="","",IFERROR(INDEX(계정매핑!$C$5:$C$504,MATCH($F525&amp;"",계정매핑!$A$5:$A$504,0)),"미매핑"))</f>
        <v/>
      </c>
      <c r="L525" s="4">
        <f>IF($A525="","",VALUE($A525&amp;""))</f>
        <v/>
      </c>
      <c r="M525" s="4">
        <f>IF($A525="","",VALUE($B525&amp;""))</f>
        <v/>
      </c>
      <c r="N525" s="64">
        <f>IF($A525="","",$H525*설정!$C$15)</f>
        <v/>
      </c>
      <c r="O525" s="4">
        <f>IF($A525="","",J525&amp;"|"&amp;K525)</f>
        <v/>
      </c>
      <c r="P525" s="63">
        <f>IF($A525="","",IF(COUNTIFS(예산_원본!$T$5:$T$3004,O525,예산_원본!$B$5:$B$3004,설정!$C$8,예산_원본!$U$5:$U$3004,L525)&gt;0,"Y","N"))</f>
        <v/>
      </c>
      <c r="Q525" s="63">
        <f>IF($A525="","",IF(COUNTIF(집계!$E$7:$E$506,O525)&gt;0,"Y","N"))</f>
        <v/>
      </c>
    </row>
    <row r="526">
      <c r="A526" s="60" t="n">
        <v>2025</v>
      </c>
      <c r="B526" s="60" t="n">
        <v>7</v>
      </c>
      <c r="C526" s="60" t="inlineStr">
        <is>
          <t>1000</t>
        </is>
      </c>
      <c r="D526" s="60" t="n">
        <v>1601</v>
      </c>
      <c r="E526" s="60" t="inlineStr">
        <is>
          <t>영업지원-본사</t>
        </is>
      </c>
      <c r="F526" s="60" t="n">
        <v>63101000</v>
      </c>
      <c r="G526" s="60" t="inlineStr">
        <is>
          <t>임차료</t>
        </is>
      </c>
      <c r="H526" s="61" t="n">
        <v>7745800</v>
      </c>
      <c r="J526" s="63">
        <f>IF($A526="","",IFERROR(INDEX(부서매핑!$C$5:$C$504,MATCH($D526&amp;"",부서매핑!$A$5:$A$504,0)),"미매핑"))</f>
        <v/>
      </c>
      <c r="K526" s="63">
        <f>IF($A526="","",IFERROR(INDEX(계정매핑!$C$5:$C$504,MATCH($F526&amp;"",계정매핑!$A$5:$A$504,0)),"미매핑"))</f>
        <v/>
      </c>
      <c r="L526" s="4">
        <f>IF($A526="","",VALUE($A526&amp;""))</f>
        <v/>
      </c>
      <c r="M526" s="4">
        <f>IF($A526="","",VALUE($B526&amp;""))</f>
        <v/>
      </c>
      <c r="N526" s="64">
        <f>IF($A526="","",$H526*설정!$C$15)</f>
        <v/>
      </c>
      <c r="O526" s="4">
        <f>IF($A526="","",J526&amp;"|"&amp;K526)</f>
        <v/>
      </c>
      <c r="P526" s="63">
        <f>IF($A526="","",IF(COUNTIFS(예산_원본!$T$5:$T$3004,O526,예산_원본!$B$5:$B$3004,설정!$C$8,예산_원본!$U$5:$U$3004,L526)&gt;0,"Y","N"))</f>
        <v/>
      </c>
      <c r="Q526" s="63">
        <f>IF($A526="","",IF(COUNTIF(집계!$E$7:$E$506,O526)&gt;0,"Y","N"))</f>
        <v/>
      </c>
    </row>
    <row r="527">
      <c r="A527" s="60" t="n">
        <v>2025</v>
      </c>
      <c r="B527" s="60" t="n">
        <v>7</v>
      </c>
      <c r="C527" s="60" t="inlineStr">
        <is>
          <t>1000</t>
        </is>
      </c>
      <c r="D527" s="60" t="n">
        <v>1601</v>
      </c>
      <c r="E527" s="60" t="inlineStr">
        <is>
          <t>영업지원-본사</t>
        </is>
      </c>
      <c r="F527" s="60" t="n">
        <v>63201000</v>
      </c>
      <c r="G527" s="60" t="inlineStr">
        <is>
          <t>차량유지비</t>
        </is>
      </c>
      <c r="H527" s="61" t="n">
        <v>4424510</v>
      </c>
      <c r="J527" s="63">
        <f>IF($A527="","",IFERROR(INDEX(부서매핑!$C$5:$C$504,MATCH($D527&amp;"",부서매핑!$A$5:$A$504,0)),"미매핑"))</f>
        <v/>
      </c>
      <c r="K527" s="63">
        <f>IF($A527="","",IFERROR(INDEX(계정매핑!$C$5:$C$504,MATCH($F527&amp;"",계정매핑!$A$5:$A$504,0)),"미매핑"))</f>
        <v/>
      </c>
      <c r="L527" s="4">
        <f>IF($A527="","",VALUE($A527&amp;""))</f>
        <v/>
      </c>
      <c r="M527" s="4">
        <f>IF($A527="","",VALUE($B527&amp;""))</f>
        <v/>
      </c>
      <c r="N527" s="64">
        <f>IF($A527="","",$H527*설정!$C$15)</f>
        <v/>
      </c>
      <c r="O527" s="4">
        <f>IF($A527="","",J527&amp;"|"&amp;K527)</f>
        <v/>
      </c>
      <c r="P527" s="63">
        <f>IF($A527="","",IF(COUNTIFS(예산_원본!$T$5:$T$3004,O527,예산_원본!$B$5:$B$3004,설정!$C$8,예산_원본!$U$5:$U$3004,L527)&gt;0,"Y","N"))</f>
        <v/>
      </c>
      <c r="Q527" s="63">
        <f>IF($A527="","",IF(COUNTIF(집계!$E$7:$E$506,O527)&gt;0,"Y","N"))</f>
        <v/>
      </c>
    </row>
    <row r="528">
      <c r="A528" s="60" t="n">
        <v>2025</v>
      </c>
      <c r="B528" s="60" t="n">
        <v>7</v>
      </c>
      <c r="C528" s="60" t="inlineStr">
        <is>
          <t>1000</t>
        </is>
      </c>
      <c r="D528" s="60" t="n">
        <v>1602</v>
      </c>
      <c r="E528" s="60" t="inlineStr">
        <is>
          <t>영업지원-지역본부</t>
        </is>
      </c>
      <c r="F528" s="60" t="n">
        <v>62101000</v>
      </c>
      <c r="G528" s="60" t="inlineStr">
        <is>
          <t>여비교통비-국내</t>
        </is>
      </c>
      <c r="H528" s="61" t="n">
        <v>2918720</v>
      </c>
      <c r="J528" s="63">
        <f>IF($A528="","",IFERROR(INDEX(부서매핑!$C$5:$C$504,MATCH($D528&amp;"",부서매핑!$A$5:$A$504,0)),"미매핑"))</f>
        <v/>
      </c>
      <c r="K528" s="63">
        <f>IF($A528="","",IFERROR(INDEX(계정매핑!$C$5:$C$504,MATCH($F528&amp;"",계정매핑!$A$5:$A$504,0)),"미매핑"))</f>
        <v/>
      </c>
      <c r="L528" s="4">
        <f>IF($A528="","",VALUE($A528&amp;""))</f>
        <v/>
      </c>
      <c r="M528" s="4">
        <f>IF($A528="","",VALUE($B528&amp;""))</f>
        <v/>
      </c>
      <c r="N528" s="64">
        <f>IF($A528="","",$H528*설정!$C$15)</f>
        <v/>
      </c>
      <c r="O528" s="4">
        <f>IF($A528="","",J528&amp;"|"&amp;K528)</f>
        <v/>
      </c>
      <c r="P528" s="63">
        <f>IF($A528="","",IF(COUNTIFS(예산_원본!$T$5:$T$3004,O528,예산_원본!$B$5:$B$3004,설정!$C$8,예산_원본!$U$5:$U$3004,L528)&gt;0,"Y","N"))</f>
        <v/>
      </c>
      <c r="Q528" s="63">
        <f>IF($A528="","",IF(COUNTIF(집계!$E$7:$E$506,O528)&gt;0,"Y","N"))</f>
        <v/>
      </c>
    </row>
    <row r="529">
      <c r="A529" s="60" t="n">
        <v>2025</v>
      </c>
      <c r="B529" s="60" t="n">
        <v>7</v>
      </c>
      <c r="C529" s="60" t="inlineStr">
        <is>
          <t>1000</t>
        </is>
      </c>
      <c r="D529" s="60" t="n">
        <v>1602</v>
      </c>
      <c r="E529" s="60" t="inlineStr">
        <is>
          <t>영업지원-지역본부</t>
        </is>
      </c>
      <c r="F529" s="60" t="n">
        <v>62102000</v>
      </c>
      <c r="G529" s="60" t="inlineStr">
        <is>
          <t>여비교통비-해외</t>
        </is>
      </c>
      <c r="H529" s="61" t="n">
        <v>526740</v>
      </c>
      <c r="J529" s="63">
        <f>IF($A529="","",IFERROR(INDEX(부서매핑!$C$5:$C$504,MATCH($D529&amp;"",부서매핑!$A$5:$A$504,0)),"미매핑"))</f>
        <v/>
      </c>
      <c r="K529" s="63">
        <f>IF($A529="","",IFERROR(INDEX(계정매핑!$C$5:$C$504,MATCH($F529&amp;"",계정매핑!$A$5:$A$504,0)),"미매핑"))</f>
        <v/>
      </c>
      <c r="L529" s="4">
        <f>IF($A529="","",VALUE($A529&amp;""))</f>
        <v/>
      </c>
      <c r="M529" s="4">
        <f>IF($A529="","",VALUE($B529&amp;""))</f>
        <v/>
      </c>
      <c r="N529" s="64">
        <f>IF($A529="","",$H529*설정!$C$15)</f>
        <v/>
      </c>
      <c r="O529" s="4">
        <f>IF($A529="","",J529&amp;"|"&amp;K529)</f>
        <v/>
      </c>
      <c r="P529" s="63">
        <f>IF($A529="","",IF(COUNTIFS(예산_원본!$T$5:$T$3004,O529,예산_원본!$B$5:$B$3004,설정!$C$8,예산_원본!$U$5:$U$3004,L529)&gt;0,"Y","N"))</f>
        <v/>
      </c>
      <c r="Q529" s="63">
        <f>IF($A529="","",IF(COUNTIF(집계!$E$7:$E$506,O529)&gt;0,"Y","N"))</f>
        <v/>
      </c>
    </row>
    <row r="530">
      <c r="A530" s="60" t="n">
        <v>2025</v>
      </c>
      <c r="B530" s="60" t="n">
        <v>7</v>
      </c>
      <c r="C530" s="60" t="inlineStr">
        <is>
          <t>1000</t>
        </is>
      </c>
      <c r="D530" s="60" t="n">
        <v>1602</v>
      </c>
      <c r="E530" s="60" t="inlineStr">
        <is>
          <t>영업지원-지역본부</t>
        </is>
      </c>
      <c r="F530" s="60" t="n">
        <v>62201000</v>
      </c>
      <c r="G530" s="60" t="inlineStr">
        <is>
          <t>통신비</t>
        </is>
      </c>
      <c r="H530" s="61" t="n">
        <v>701360</v>
      </c>
      <c r="J530" s="63">
        <f>IF($A530="","",IFERROR(INDEX(부서매핑!$C$5:$C$504,MATCH($D530&amp;"",부서매핑!$A$5:$A$504,0)),"미매핑"))</f>
        <v/>
      </c>
      <c r="K530" s="63">
        <f>IF($A530="","",IFERROR(INDEX(계정매핑!$C$5:$C$504,MATCH($F530&amp;"",계정매핑!$A$5:$A$504,0)),"미매핑"))</f>
        <v/>
      </c>
      <c r="L530" s="4">
        <f>IF($A530="","",VALUE($A530&amp;""))</f>
        <v/>
      </c>
      <c r="M530" s="4">
        <f>IF($A530="","",VALUE($B530&amp;""))</f>
        <v/>
      </c>
      <c r="N530" s="64">
        <f>IF($A530="","",$H530*설정!$C$15)</f>
        <v/>
      </c>
      <c r="O530" s="4">
        <f>IF($A530="","",J530&amp;"|"&amp;K530)</f>
        <v/>
      </c>
      <c r="P530" s="63">
        <f>IF($A530="","",IF(COUNTIFS(예산_원본!$T$5:$T$3004,O530,예산_원본!$B$5:$B$3004,설정!$C$8,예산_원본!$U$5:$U$3004,L530)&gt;0,"Y","N"))</f>
        <v/>
      </c>
      <c r="Q530" s="63">
        <f>IF($A530="","",IF(COUNTIF(집계!$E$7:$E$506,O530)&gt;0,"Y","N"))</f>
        <v/>
      </c>
    </row>
    <row r="531">
      <c r="A531" s="60" t="n">
        <v>2025</v>
      </c>
      <c r="B531" s="60" t="n">
        <v>7</v>
      </c>
      <c r="C531" s="60" t="inlineStr">
        <is>
          <t>1000</t>
        </is>
      </c>
      <c r="D531" s="60" t="n">
        <v>1602</v>
      </c>
      <c r="E531" s="60" t="inlineStr">
        <is>
          <t>영업지원-지역본부</t>
        </is>
      </c>
      <c r="F531" s="60" t="n">
        <v>62301000</v>
      </c>
      <c r="G531" s="60" t="inlineStr">
        <is>
          <t>소모품비</t>
        </is>
      </c>
      <c r="H531" s="61" t="n">
        <v>458440</v>
      </c>
      <c r="J531" s="63">
        <f>IF($A531="","",IFERROR(INDEX(부서매핑!$C$5:$C$504,MATCH($D531&amp;"",부서매핑!$A$5:$A$504,0)),"미매핑"))</f>
        <v/>
      </c>
      <c r="K531" s="63">
        <f>IF($A531="","",IFERROR(INDEX(계정매핑!$C$5:$C$504,MATCH($F531&amp;"",계정매핑!$A$5:$A$504,0)),"미매핑"))</f>
        <v/>
      </c>
      <c r="L531" s="4">
        <f>IF($A531="","",VALUE($A531&amp;""))</f>
        <v/>
      </c>
      <c r="M531" s="4">
        <f>IF($A531="","",VALUE($B531&amp;""))</f>
        <v/>
      </c>
      <c r="N531" s="64">
        <f>IF($A531="","",$H531*설정!$C$15)</f>
        <v/>
      </c>
      <c r="O531" s="4">
        <f>IF($A531="","",J531&amp;"|"&amp;K531)</f>
        <v/>
      </c>
      <c r="P531" s="63">
        <f>IF($A531="","",IF(COUNTIFS(예산_원본!$T$5:$T$3004,O531,예산_원본!$B$5:$B$3004,설정!$C$8,예산_원본!$U$5:$U$3004,L531)&gt;0,"Y","N"))</f>
        <v/>
      </c>
      <c r="Q531" s="63">
        <f>IF($A531="","",IF(COUNTIF(집계!$E$7:$E$506,O531)&gt;0,"Y","N"))</f>
        <v/>
      </c>
    </row>
    <row r="532">
      <c r="A532" s="60" t="n">
        <v>2025</v>
      </c>
      <c r="B532" s="60" t="n">
        <v>7</v>
      </c>
      <c r="C532" s="60" t="inlineStr">
        <is>
          <t>1000</t>
        </is>
      </c>
      <c r="D532" s="60" t="n">
        <v>1602</v>
      </c>
      <c r="E532" s="60" t="inlineStr">
        <is>
          <t>영업지원-지역본부</t>
        </is>
      </c>
      <c r="F532" s="60" t="n">
        <v>62501000</v>
      </c>
      <c r="G532" s="60" t="inlineStr">
        <is>
          <t>회의비</t>
        </is>
      </c>
      <c r="H532" s="61" t="n">
        <v>590750</v>
      </c>
      <c r="J532" s="63">
        <f>IF($A532="","",IFERROR(INDEX(부서매핑!$C$5:$C$504,MATCH($D532&amp;"",부서매핑!$A$5:$A$504,0)),"미매핑"))</f>
        <v/>
      </c>
      <c r="K532" s="63">
        <f>IF($A532="","",IFERROR(INDEX(계정매핑!$C$5:$C$504,MATCH($F532&amp;"",계정매핑!$A$5:$A$504,0)),"미매핑"))</f>
        <v/>
      </c>
      <c r="L532" s="4">
        <f>IF($A532="","",VALUE($A532&amp;""))</f>
        <v/>
      </c>
      <c r="M532" s="4">
        <f>IF($A532="","",VALUE($B532&amp;""))</f>
        <v/>
      </c>
      <c r="N532" s="64">
        <f>IF($A532="","",$H532*설정!$C$15)</f>
        <v/>
      </c>
      <c r="O532" s="4">
        <f>IF($A532="","",J532&amp;"|"&amp;K532)</f>
        <v/>
      </c>
      <c r="P532" s="63">
        <f>IF($A532="","",IF(COUNTIFS(예산_원본!$T$5:$T$3004,O532,예산_원본!$B$5:$B$3004,설정!$C$8,예산_원본!$U$5:$U$3004,L532)&gt;0,"Y","N"))</f>
        <v/>
      </c>
      <c r="Q532" s="63">
        <f>IF($A532="","",IF(COUNTIF(집계!$E$7:$E$506,O532)&gt;0,"Y","N"))</f>
        <v/>
      </c>
    </row>
    <row r="533">
      <c r="A533" s="60" t="n">
        <v>2025</v>
      </c>
      <c r="B533" s="60" t="n">
        <v>7</v>
      </c>
      <c r="C533" s="60" t="inlineStr">
        <is>
          <t>1000</t>
        </is>
      </c>
      <c r="D533" s="60" t="n">
        <v>1602</v>
      </c>
      <c r="E533" s="60" t="inlineStr">
        <is>
          <t>영업지원-지역본부</t>
        </is>
      </c>
      <c r="F533" s="60" t="n">
        <v>62601000</v>
      </c>
      <c r="G533" s="60" t="inlineStr">
        <is>
          <t>업무추진비</t>
        </is>
      </c>
      <c r="H533" s="61" t="n">
        <v>1283350</v>
      </c>
      <c r="J533" s="63">
        <f>IF($A533="","",IFERROR(INDEX(부서매핑!$C$5:$C$504,MATCH($D533&amp;"",부서매핑!$A$5:$A$504,0)),"미매핑"))</f>
        <v/>
      </c>
      <c r="K533" s="63">
        <f>IF($A533="","",IFERROR(INDEX(계정매핑!$C$5:$C$504,MATCH($F533&amp;"",계정매핑!$A$5:$A$504,0)),"미매핑"))</f>
        <v/>
      </c>
      <c r="L533" s="4">
        <f>IF($A533="","",VALUE($A533&amp;""))</f>
        <v/>
      </c>
      <c r="M533" s="4">
        <f>IF($A533="","",VALUE($B533&amp;""))</f>
        <v/>
      </c>
      <c r="N533" s="64">
        <f>IF($A533="","",$H533*설정!$C$15)</f>
        <v/>
      </c>
      <c r="O533" s="4">
        <f>IF($A533="","",J533&amp;"|"&amp;K533)</f>
        <v/>
      </c>
      <c r="P533" s="63">
        <f>IF($A533="","",IF(COUNTIFS(예산_원본!$T$5:$T$3004,O533,예산_원본!$B$5:$B$3004,설정!$C$8,예산_원본!$U$5:$U$3004,L533)&gt;0,"Y","N"))</f>
        <v/>
      </c>
      <c r="Q533" s="63">
        <f>IF($A533="","",IF(COUNTIF(집계!$E$7:$E$506,O533)&gt;0,"Y","N"))</f>
        <v/>
      </c>
    </row>
    <row r="534">
      <c r="A534" s="60" t="n">
        <v>2025</v>
      </c>
      <c r="B534" s="60" t="n">
        <v>7</v>
      </c>
      <c r="C534" s="60" t="inlineStr">
        <is>
          <t>1000</t>
        </is>
      </c>
      <c r="D534" s="60" t="n">
        <v>1602</v>
      </c>
      <c r="E534" s="60" t="inlineStr">
        <is>
          <t>영업지원-지역본부</t>
        </is>
      </c>
      <c r="F534" s="60" t="n">
        <v>63101000</v>
      </c>
      <c r="G534" s="60" t="inlineStr">
        <is>
          <t>임차료</t>
        </is>
      </c>
      <c r="H534" s="61" t="n">
        <v>7322110</v>
      </c>
      <c r="J534" s="63">
        <f>IF($A534="","",IFERROR(INDEX(부서매핑!$C$5:$C$504,MATCH($D534&amp;"",부서매핑!$A$5:$A$504,0)),"미매핑"))</f>
        <v/>
      </c>
      <c r="K534" s="63">
        <f>IF($A534="","",IFERROR(INDEX(계정매핑!$C$5:$C$504,MATCH($F534&amp;"",계정매핑!$A$5:$A$504,0)),"미매핑"))</f>
        <v/>
      </c>
      <c r="L534" s="4">
        <f>IF($A534="","",VALUE($A534&amp;""))</f>
        <v/>
      </c>
      <c r="M534" s="4">
        <f>IF($A534="","",VALUE($B534&amp;""))</f>
        <v/>
      </c>
      <c r="N534" s="64">
        <f>IF($A534="","",$H534*설정!$C$15)</f>
        <v/>
      </c>
      <c r="O534" s="4">
        <f>IF($A534="","",J534&amp;"|"&amp;K534)</f>
        <v/>
      </c>
      <c r="P534" s="63">
        <f>IF($A534="","",IF(COUNTIFS(예산_원본!$T$5:$T$3004,O534,예산_원본!$B$5:$B$3004,설정!$C$8,예산_원본!$U$5:$U$3004,L534)&gt;0,"Y","N"))</f>
        <v/>
      </c>
      <c r="Q534" s="63">
        <f>IF($A534="","",IF(COUNTIF(집계!$E$7:$E$506,O534)&gt;0,"Y","N"))</f>
        <v/>
      </c>
    </row>
    <row r="535">
      <c r="A535" s="60" t="n">
        <v>2025</v>
      </c>
      <c r="B535" s="60" t="n">
        <v>7</v>
      </c>
      <c r="C535" s="60" t="inlineStr">
        <is>
          <t>1000</t>
        </is>
      </c>
      <c r="D535" s="60" t="n">
        <v>1602</v>
      </c>
      <c r="E535" s="60" t="inlineStr">
        <is>
          <t>영업지원-지역본부</t>
        </is>
      </c>
      <c r="F535" s="60" t="n">
        <v>63201000</v>
      </c>
      <c r="G535" s="60" t="inlineStr">
        <is>
          <t>차량유지비</t>
        </is>
      </c>
      <c r="H535" s="61" t="n">
        <v>3619920</v>
      </c>
      <c r="J535" s="63">
        <f>IF($A535="","",IFERROR(INDEX(부서매핑!$C$5:$C$504,MATCH($D535&amp;"",부서매핑!$A$5:$A$504,0)),"미매핑"))</f>
        <v/>
      </c>
      <c r="K535" s="63">
        <f>IF($A535="","",IFERROR(INDEX(계정매핑!$C$5:$C$504,MATCH($F535&amp;"",계정매핑!$A$5:$A$504,0)),"미매핑"))</f>
        <v/>
      </c>
      <c r="L535" s="4">
        <f>IF($A535="","",VALUE($A535&amp;""))</f>
        <v/>
      </c>
      <c r="M535" s="4">
        <f>IF($A535="","",VALUE($B535&amp;""))</f>
        <v/>
      </c>
      <c r="N535" s="64">
        <f>IF($A535="","",$H535*설정!$C$15)</f>
        <v/>
      </c>
      <c r="O535" s="4">
        <f>IF($A535="","",J535&amp;"|"&amp;K535)</f>
        <v/>
      </c>
      <c r="P535" s="63">
        <f>IF($A535="","",IF(COUNTIFS(예산_원본!$T$5:$T$3004,O535,예산_원본!$B$5:$B$3004,설정!$C$8,예산_원본!$U$5:$U$3004,L535)&gt;0,"Y","N"))</f>
        <v/>
      </c>
      <c r="Q535" s="63">
        <f>IF($A535="","",IF(COUNTIF(집계!$E$7:$E$506,O535)&gt;0,"Y","N"))</f>
        <v/>
      </c>
    </row>
    <row r="536">
      <c r="A536" s="60" t="n">
        <v>2025</v>
      </c>
      <c r="B536" s="60" t="n">
        <v>7</v>
      </c>
      <c r="C536" s="60" t="inlineStr">
        <is>
          <t>1000</t>
        </is>
      </c>
      <c r="D536" s="60" t="n">
        <v>1701</v>
      </c>
      <c r="E536" s="60" t="inlineStr">
        <is>
          <t>IT운영</t>
        </is>
      </c>
      <c r="F536" s="60" t="n">
        <v>62101000</v>
      </c>
      <c r="G536" s="60" t="inlineStr">
        <is>
          <t>여비교통비-국내</t>
        </is>
      </c>
      <c r="H536" s="61" t="n">
        <v>1023290</v>
      </c>
      <c r="J536" s="63">
        <f>IF($A536="","",IFERROR(INDEX(부서매핑!$C$5:$C$504,MATCH($D536&amp;"",부서매핑!$A$5:$A$504,0)),"미매핑"))</f>
        <v/>
      </c>
      <c r="K536" s="63">
        <f>IF($A536="","",IFERROR(INDEX(계정매핑!$C$5:$C$504,MATCH($F536&amp;"",계정매핑!$A$5:$A$504,0)),"미매핑"))</f>
        <v/>
      </c>
      <c r="L536" s="4">
        <f>IF($A536="","",VALUE($A536&amp;""))</f>
        <v/>
      </c>
      <c r="M536" s="4">
        <f>IF($A536="","",VALUE($B536&amp;""))</f>
        <v/>
      </c>
      <c r="N536" s="64">
        <f>IF($A536="","",$H536*설정!$C$15)</f>
        <v/>
      </c>
      <c r="O536" s="4">
        <f>IF($A536="","",J536&amp;"|"&amp;K536)</f>
        <v/>
      </c>
      <c r="P536" s="63">
        <f>IF($A536="","",IF(COUNTIFS(예산_원본!$T$5:$T$3004,O536,예산_원본!$B$5:$B$3004,설정!$C$8,예산_원본!$U$5:$U$3004,L536)&gt;0,"Y","N"))</f>
        <v/>
      </c>
      <c r="Q536" s="63">
        <f>IF($A536="","",IF(COUNTIF(집계!$E$7:$E$506,O536)&gt;0,"Y","N"))</f>
        <v/>
      </c>
    </row>
    <row r="537">
      <c r="A537" s="60" t="n">
        <v>2025</v>
      </c>
      <c r="B537" s="60" t="n">
        <v>7</v>
      </c>
      <c r="C537" s="60" t="inlineStr">
        <is>
          <t>1000</t>
        </is>
      </c>
      <c r="D537" s="60" t="n">
        <v>1701</v>
      </c>
      <c r="E537" s="60" t="inlineStr">
        <is>
          <t>IT운영</t>
        </is>
      </c>
      <c r="F537" s="60" t="n">
        <v>62102000</v>
      </c>
      <c r="G537" s="60" t="inlineStr">
        <is>
          <t>여비교통비-해외</t>
        </is>
      </c>
      <c r="H537" s="61" t="n">
        <v>169930</v>
      </c>
      <c r="J537" s="63">
        <f>IF($A537="","",IFERROR(INDEX(부서매핑!$C$5:$C$504,MATCH($D537&amp;"",부서매핑!$A$5:$A$504,0)),"미매핑"))</f>
        <v/>
      </c>
      <c r="K537" s="63">
        <f>IF($A537="","",IFERROR(INDEX(계정매핑!$C$5:$C$504,MATCH($F537&amp;"",계정매핑!$A$5:$A$504,0)),"미매핑"))</f>
        <v/>
      </c>
      <c r="L537" s="4">
        <f>IF($A537="","",VALUE($A537&amp;""))</f>
        <v/>
      </c>
      <c r="M537" s="4">
        <f>IF($A537="","",VALUE($B537&amp;""))</f>
        <v/>
      </c>
      <c r="N537" s="64">
        <f>IF($A537="","",$H537*설정!$C$15)</f>
        <v/>
      </c>
      <c r="O537" s="4">
        <f>IF($A537="","",J537&amp;"|"&amp;K537)</f>
        <v/>
      </c>
      <c r="P537" s="63">
        <f>IF($A537="","",IF(COUNTIFS(예산_원본!$T$5:$T$3004,O537,예산_원본!$B$5:$B$3004,설정!$C$8,예산_원본!$U$5:$U$3004,L537)&gt;0,"Y","N"))</f>
        <v/>
      </c>
      <c r="Q537" s="63">
        <f>IF($A537="","",IF(COUNTIF(집계!$E$7:$E$506,O537)&gt;0,"Y","N"))</f>
        <v/>
      </c>
    </row>
    <row r="538">
      <c r="A538" s="60" t="n">
        <v>2025</v>
      </c>
      <c r="B538" s="60" t="n">
        <v>7</v>
      </c>
      <c r="C538" s="60" t="inlineStr">
        <is>
          <t>1000</t>
        </is>
      </c>
      <c r="D538" s="60" t="n">
        <v>1701</v>
      </c>
      <c r="E538" s="60" t="inlineStr">
        <is>
          <t>IT운영</t>
        </is>
      </c>
      <c r="F538" s="60" t="n">
        <v>62201000</v>
      </c>
      <c r="G538" s="60" t="inlineStr">
        <is>
          <t>통신비</t>
        </is>
      </c>
      <c r="H538" s="61" t="n">
        <v>12792490</v>
      </c>
      <c r="J538" s="63">
        <f>IF($A538="","",IFERROR(INDEX(부서매핑!$C$5:$C$504,MATCH($D538&amp;"",부서매핑!$A$5:$A$504,0)),"미매핑"))</f>
        <v/>
      </c>
      <c r="K538" s="63">
        <f>IF($A538="","",IFERROR(INDEX(계정매핑!$C$5:$C$504,MATCH($F538&amp;"",계정매핑!$A$5:$A$504,0)),"미매핑"))</f>
        <v/>
      </c>
      <c r="L538" s="4">
        <f>IF($A538="","",VALUE($A538&amp;""))</f>
        <v/>
      </c>
      <c r="M538" s="4">
        <f>IF($A538="","",VALUE($B538&amp;""))</f>
        <v/>
      </c>
      <c r="N538" s="64">
        <f>IF($A538="","",$H538*설정!$C$15)</f>
        <v/>
      </c>
      <c r="O538" s="4">
        <f>IF($A538="","",J538&amp;"|"&amp;K538)</f>
        <v/>
      </c>
      <c r="P538" s="63">
        <f>IF($A538="","",IF(COUNTIFS(예산_원본!$T$5:$T$3004,O538,예산_원본!$B$5:$B$3004,설정!$C$8,예산_원본!$U$5:$U$3004,L538)&gt;0,"Y","N"))</f>
        <v/>
      </c>
      <c r="Q538" s="63">
        <f>IF($A538="","",IF(COUNTIF(집계!$E$7:$E$506,O538)&gt;0,"Y","N"))</f>
        <v/>
      </c>
    </row>
    <row r="539">
      <c r="A539" s="60" t="n">
        <v>2025</v>
      </c>
      <c r="B539" s="60" t="n">
        <v>7</v>
      </c>
      <c r="C539" s="60" t="inlineStr">
        <is>
          <t>1000</t>
        </is>
      </c>
      <c r="D539" s="60" t="n">
        <v>1701</v>
      </c>
      <c r="E539" s="60" t="inlineStr">
        <is>
          <t>IT운영</t>
        </is>
      </c>
      <c r="F539" s="60" t="n">
        <v>62301000</v>
      </c>
      <c r="G539" s="60" t="inlineStr">
        <is>
          <t>소모품비</t>
        </is>
      </c>
      <c r="H539" s="61" t="n">
        <v>823110</v>
      </c>
      <c r="J539" s="63">
        <f>IF($A539="","",IFERROR(INDEX(부서매핑!$C$5:$C$504,MATCH($D539&amp;"",부서매핑!$A$5:$A$504,0)),"미매핑"))</f>
        <v/>
      </c>
      <c r="K539" s="63">
        <f>IF($A539="","",IFERROR(INDEX(계정매핑!$C$5:$C$504,MATCH($F539&amp;"",계정매핑!$A$5:$A$504,0)),"미매핑"))</f>
        <v/>
      </c>
      <c r="L539" s="4">
        <f>IF($A539="","",VALUE($A539&amp;""))</f>
        <v/>
      </c>
      <c r="M539" s="4">
        <f>IF($A539="","",VALUE($B539&amp;""))</f>
        <v/>
      </c>
      <c r="N539" s="64">
        <f>IF($A539="","",$H539*설정!$C$15)</f>
        <v/>
      </c>
      <c r="O539" s="4">
        <f>IF($A539="","",J539&amp;"|"&amp;K539)</f>
        <v/>
      </c>
      <c r="P539" s="63">
        <f>IF($A539="","",IF(COUNTIFS(예산_원본!$T$5:$T$3004,O539,예산_원본!$B$5:$B$3004,설정!$C$8,예산_원본!$U$5:$U$3004,L539)&gt;0,"Y","N"))</f>
        <v/>
      </c>
      <c r="Q539" s="63">
        <f>IF($A539="","",IF(COUNTIF(집계!$E$7:$E$506,O539)&gt;0,"Y","N"))</f>
        <v/>
      </c>
    </row>
    <row r="540">
      <c r="A540" s="60" t="n">
        <v>2025</v>
      </c>
      <c r="B540" s="60" t="n">
        <v>7</v>
      </c>
      <c r="C540" s="60" t="inlineStr">
        <is>
          <t>1000</t>
        </is>
      </c>
      <c r="D540" s="60" t="n">
        <v>1701</v>
      </c>
      <c r="E540" s="60" t="inlineStr">
        <is>
          <t>IT운영</t>
        </is>
      </c>
      <c r="F540" s="60" t="n">
        <v>62501000</v>
      </c>
      <c r="G540" s="60" t="inlineStr">
        <is>
          <t>회의비</t>
        </is>
      </c>
      <c r="H540" s="61" t="n">
        <v>290480</v>
      </c>
      <c r="J540" s="63">
        <f>IF($A540="","",IFERROR(INDEX(부서매핑!$C$5:$C$504,MATCH($D540&amp;"",부서매핑!$A$5:$A$504,0)),"미매핑"))</f>
        <v/>
      </c>
      <c r="K540" s="63">
        <f>IF($A540="","",IFERROR(INDEX(계정매핑!$C$5:$C$504,MATCH($F540&amp;"",계정매핑!$A$5:$A$504,0)),"미매핑"))</f>
        <v/>
      </c>
      <c r="L540" s="4">
        <f>IF($A540="","",VALUE($A540&amp;""))</f>
        <v/>
      </c>
      <c r="M540" s="4">
        <f>IF($A540="","",VALUE($B540&amp;""))</f>
        <v/>
      </c>
      <c r="N540" s="64">
        <f>IF($A540="","",$H540*설정!$C$15)</f>
        <v/>
      </c>
      <c r="O540" s="4">
        <f>IF($A540="","",J540&amp;"|"&amp;K540)</f>
        <v/>
      </c>
      <c r="P540" s="63">
        <f>IF($A540="","",IF(COUNTIFS(예산_원본!$T$5:$T$3004,O540,예산_원본!$B$5:$B$3004,설정!$C$8,예산_원본!$U$5:$U$3004,L540)&gt;0,"Y","N"))</f>
        <v/>
      </c>
      <c r="Q540" s="63">
        <f>IF($A540="","",IF(COUNTIF(집계!$E$7:$E$506,O540)&gt;0,"Y","N"))</f>
        <v/>
      </c>
    </row>
    <row r="541">
      <c r="A541" s="60" t="n">
        <v>2025</v>
      </c>
      <c r="B541" s="60" t="n">
        <v>7</v>
      </c>
      <c r="C541" s="60" t="inlineStr">
        <is>
          <t>1000</t>
        </is>
      </c>
      <c r="D541" s="60" t="n">
        <v>1701</v>
      </c>
      <c r="E541" s="60" t="inlineStr">
        <is>
          <t>IT운영</t>
        </is>
      </c>
      <c r="F541" s="60" t="n">
        <v>63001000</v>
      </c>
      <c r="G541" s="60" t="inlineStr">
        <is>
          <t>전산운영비-SW유지보수</t>
        </is>
      </c>
      <c r="H541" s="61" t="n">
        <v>85606360</v>
      </c>
      <c r="J541" s="63">
        <f>IF($A541="","",IFERROR(INDEX(부서매핑!$C$5:$C$504,MATCH($D541&amp;"",부서매핑!$A$5:$A$504,0)),"미매핑"))</f>
        <v/>
      </c>
      <c r="K541" s="63">
        <f>IF($A541="","",IFERROR(INDEX(계정매핑!$C$5:$C$504,MATCH($F541&amp;"",계정매핑!$A$5:$A$504,0)),"미매핑"))</f>
        <v/>
      </c>
      <c r="L541" s="4">
        <f>IF($A541="","",VALUE($A541&amp;""))</f>
        <v/>
      </c>
      <c r="M541" s="4">
        <f>IF($A541="","",VALUE($B541&amp;""))</f>
        <v/>
      </c>
      <c r="N541" s="64">
        <f>IF($A541="","",$H541*설정!$C$15)</f>
        <v/>
      </c>
      <c r="O541" s="4">
        <f>IF($A541="","",J541&amp;"|"&amp;K541)</f>
        <v/>
      </c>
      <c r="P541" s="63">
        <f>IF($A541="","",IF(COUNTIFS(예산_원본!$T$5:$T$3004,O541,예산_원본!$B$5:$B$3004,설정!$C$8,예산_원본!$U$5:$U$3004,L541)&gt;0,"Y","N"))</f>
        <v/>
      </c>
      <c r="Q541" s="63">
        <f>IF($A541="","",IF(COUNTIF(집계!$E$7:$E$506,O541)&gt;0,"Y","N"))</f>
        <v/>
      </c>
    </row>
    <row r="542">
      <c r="A542" s="60" t="n">
        <v>2025</v>
      </c>
      <c r="B542" s="60" t="n">
        <v>7</v>
      </c>
      <c r="C542" s="60" t="inlineStr">
        <is>
          <t>1000</t>
        </is>
      </c>
      <c r="D542" s="60" t="n">
        <v>1701</v>
      </c>
      <c r="E542" s="60" t="inlineStr">
        <is>
          <t>IT운영</t>
        </is>
      </c>
      <c r="F542" s="60" t="n">
        <v>63002000</v>
      </c>
      <c r="G542" s="60" t="inlineStr">
        <is>
          <t>전산운영비-클라우드</t>
        </is>
      </c>
      <c r="H542" s="61" t="n">
        <v>79945090</v>
      </c>
      <c r="J542" s="63">
        <f>IF($A542="","",IFERROR(INDEX(부서매핑!$C$5:$C$504,MATCH($D542&amp;"",부서매핑!$A$5:$A$504,0)),"미매핑"))</f>
        <v/>
      </c>
      <c r="K542" s="63">
        <f>IF($A542="","",IFERROR(INDEX(계정매핑!$C$5:$C$504,MATCH($F542&amp;"",계정매핑!$A$5:$A$504,0)),"미매핑"))</f>
        <v/>
      </c>
      <c r="L542" s="4">
        <f>IF($A542="","",VALUE($A542&amp;""))</f>
        <v/>
      </c>
      <c r="M542" s="4">
        <f>IF($A542="","",VALUE($B542&amp;""))</f>
        <v/>
      </c>
      <c r="N542" s="64">
        <f>IF($A542="","",$H542*설정!$C$15)</f>
        <v/>
      </c>
      <c r="O542" s="4">
        <f>IF($A542="","",J542&amp;"|"&amp;K542)</f>
        <v/>
      </c>
      <c r="P542" s="63">
        <f>IF($A542="","",IF(COUNTIFS(예산_원본!$T$5:$T$3004,O542,예산_원본!$B$5:$B$3004,설정!$C$8,예산_원본!$U$5:$U$3004,L542)&gt;0,"Y","N"))</f>
        <v/>
      </c>
      <c r="Q542" s="63">
        <f>IF($A542="","",IF(COUNTIF(집계!$E$7:$E$506,O542)&gt;0,"Y","N"))</f>
        <v/>
      </c>
    </row>
    <row r="543">
      <c r="A543" s="60" t="n">
        <v>2025</v>
      </c>
      <c r="B543" s="60" t="n">
        <v>7</v>
      </c>
      <c r="C543" s="60" t="inlineStr">
        <is>
          <t>1000</t>
        </is>
      </c>
      <c r="D543" s="60" t="n">
        <v>1801</v>
      </c>
      <c r="E543" s="60" t="inlineStr">
        <is>
          <t>고객서비스</t>
        </is>
      </c>
      <c r="F543" s="60" t="n">
        <v>62101000</v>
      </c>
      <c r="G543" s="60" t="inlineStr">
        <is>
          <t>여비교통비-국내</t>
        </is>
      </c>
      <c r="H543" s="61" t="n">
        <v>879850</v>
      </c>
      <c r="J543" s="63">
        <f>IF($A543="","",IFERROR(INDEX(부서매핑!$C$5:$C$504,MATCH($D543&amp;"",부서매핑!$A$5:$A$504,0)),"미매핑"))</f>
        <v/>
      </c>
      <c r="K543" s="63">
        <f>IF($A543="","",IFERROR(INDEX(계정매핑!$C$5:$C$504,MATCH($F543&amp;"",계정매핑!$A$5:$A$504,0)),"미매핑"))</f>
        <v/>
      </c>
      <c r="L543" s="4">
        <f>IF($A543="","",VALUE($A543&amp;""))</f>
        <v/>
      </c>
      <c r="M543" s="4">
        <f>IF($A543="","",VALUE($B543&amp;""))</f>
        <v/>
      </c>
      <c r="N543" s="64">
        <f>IF($A543="","",$H543*설정!$C$15)</f>
        <v/>
      </c>
      <c r="O543" s="4">
        <f>IF($A543="","",J543&amp;"|"&amp;K543)</f>
        <v/>
      </c>
      <c r="P543" s="63">
        <f>IF($A543="","",IF(COUNTIFS(예산_원본!$T$5:$T$3004,O543,예산_원본!$B$5:$B$3004,설정!$C$8,예산_원본!$U$5:$U$3004,L543)&gt;0,"Y","N"))</f>
        <v/>
      </c>
      <c r="Q543" s="63">
        <f>IF($A543="","",IF(COUNTIF(집계!$E$7:$E$506,O543)&gt;0,"Y","N"))</f>
        <v/>
      </c>
    </row>
    <row r="544">
      <c r="A544" s="60" t="n">
        <v>2025</v>
      </c>
      <c r="B544" s="60" t="n">
        <v>7</v>
      </c>
      <c r="C544" s="60" t="inlineStr">
        <is>
          <t>1000</t>
        </is>
      </c>
      <c r="D544" s="60" t="n">
        <v>1801</v>
      </c>
      <c r="E544" s="60" t="inlineStr">
        <is>
          <t>고객서비스</t>
        </is>
      </c>
      <c r="F544" s="60" t="n">
        <v>62102000</v>
      </c>
      <c r="G544" s="60" t="inlineStr">
        <is>
          <t>여비교통비-해외</t>
        </is>
      </c>
      <c r="H544" s="61" t="n">
        <v>141320</v>
      </c>
      <c r="J544" s="63">
        <f>IF($A544="","",IFERROR(INDEX(부서매핑!$C$5:$C$504,MATCH($D544&amp;"",부서매핑!$A$5:$A$504,0)),"미매핑"))</f>
        <v/>
      </c>
      <c r="K544" s="63">
        <f>IF($A544="","",IFERROR(INDEX(계정매핑!$C$5:$C$504,MATCH($F544&amp;"",계정매핑!$A$5:$A$504,0)),"미매핑"))</f>
        <v/>
      </c>
      <c r="L544" s="4">
        <f>IF($A544="","",VALUE($A544&amp;""))</f>
        <v/>
      </c>
      <c r="M544" s="4">
        <f>IF($A544="","",VALUE($B544&amp;""))</f>
        <v/>
      </c>
      <c r="N544" s="64">
        <f>IF($A544="","",$H544*설정!$C$15)</f>
        <v/>
      </c>
      <c r="O544" s="4">
        <f>IF($A544="","",J544&amp;"|"&amp;K544)</f>
        <v/>
      </c>
      <c r="P544" s="63">
        <f>IF($A544="","",IF(COUNTIFS(예산_원본!$T$5:$T$3004,O544,예산_원본!$B$5:$B$3004,설정!$C$8,예산_원본!$U$5:$U$3004,L544)&gt;0,"Y","N"))</f>
        <v/>
      </c>
      <c r="Q544" s="63">
        <f>IF($A544="","",IF(COUNTIF(집계!$E$7:$E$506,O544)&gt;0,"Y","N"))</f>
        <v/>
      </c>
    </row>
    <row r="545">
      <c r="A545" s="60" t="n">
        <v>2025</v>
      </c>
      <c r="B545" s="60" t="n">
        <v>7</v>
      </c>
      <c r="C545" s="60" t="inlineStr">
        <is>
          <t>1000</t>
        </is>
      </c>
      <c r="D545" s="60" t="n">
        <v>1801</v>
      </c>
      <c r="E545" s="60" t="inlineStr">
        <is>
          <t>고객서비스</t>
        </is>
      </c>
      <c r="F545" s="60" t="n">
        <v>62201000</v>
      </c>
      <c r="G545" s="60" t="inlineStr">
        <is>
          <t>통신비</t>
        </is>
      </c>
      <c r="H545" s="61" t="n">
        <v>15879620</v>
      </c>
      <c r="J545" s="63">
        <f>IF($A545="","",IFERROR(INDEX(부서매핑!$C$5:$C$504,MATCH($D545&amp;"",부서매핑!$A$5:$A$504,0)),"미매핑"))</f>
        <v/>
      </c>
      <c r="K545" s="63">
        <f>IF($A545="","",IFERROR(INDEX(계정매핑!$C$5:$C$504,MATCH($F545&amp;"",계정매핑!$A$5:$A$504,0)),"미매핑"))</f>
        <v/>
      </c>
      <c r="L545" s="4">
        <f>IF($A545="","",VALUE($A545&amp;""))</f>
        <v/>
      </c>
      <c r="M545" s="4">
        <f>IF($A545="","",VALUE($B545&amp;""))</f>
        <v/>
      </c>
      <c r="N545" s="64">
        <f>IF($A545="","",$H545*설정!$C$15)</f>
        <v/>
      </c>
      <c r="O545" s="4">
        <f>IF($A545="","",J545&amp;"|"&amp;K545)</f>
        <v/>
      </c>
      <c r="P545" s="63">
        <f>IF($A545="","",IF(COUNTIFS(예산_원본!$T$5:$T$3004,O545,예산_원본!$B$5:$B$3004,설정!$C$8,예산_원본!$U$5:$U$3004,L545)&gt;0,"Y","N"))</f>
        <v/>
      </c>
      <c r="Q545" s="63">
        <f>IF($A545="","",IF(COUNTIF(집계!$E$7:$E$506,O545)&gt;0,"Y","N"))</f>
        <v/>
      </c>
    </row>
    <row r="546">
      <c r="A546" s="60" t="n">
        <v>2025</v>
      </c>
      <c r="B546" s="60" t="n">
        <v>7</v>
      </c>
      <c r="C546" s="60" t="inlineStr">
        <is>
          <t>1000</t>
        </is>
      </c>
      <c r="D546" s="60" t="n">
        <v>1801</v>
      </c>
      <c r="E546" s="60" t="inlineStr">
        <is>
          <t>고객서비스</t>
        </is>
      </c>
      <c r="F546" s="60" t="n">
        <v>62301000</v>
      </c>
      <c r="G546" s="60" t="inlineStr">
        <is>
          <t>소모품비</t>
        </is>
      </c>
      <c r="H546" s="61" t="n">
        <v>1288130</v>
      </c>
      <c r="J546" s="63">
        <f>IF($A546="","",IFERROR(INDEX(부서매핑!$C$5:$C$504,MATCH($D546&amp;"",부서매핑!$A$5:$A$504,0)),"미매핑"))</f>
        <v/>
      </c>
      <c r="K546" s="63">
        <f>IF($A546="","",IFERROR(INDEX(계정매핑!$C$5:$C$504,MATCH($F546&amp;"",계정매핑!$A$5:$A$504,0)),"미매핑"))</f>
        <v/>
      </c>
      <c r="L546" s="4">
        <f>IF($A546="","",VALUE($A546&amp;""))</f>
        <v/>
      </c>
      <c r="M546" s="4">
        <f>IF($A546="","",VALUE($B546&amp;""))</f>
        <v/>
      </c>
      <c r="N546" s="64">
        <f>IF($A546="","",$H546*설정!$C$15)</f>
        <v/>
      </c>
      <c r="O546" s="4">
        <f>IF($A546="","",J546&amp;"|"&amp;K546)</f>
        <v/>
      </c>
      <c r="P546" s="63">
        <f>IF($A546="","",IF(COUNTIFS(예산_원본!$T$5:$T$3004,O546,예산_원본!$B$5:$B$3004,설정!$C$8,예산_원본!$U$5:$U$3004,L546)&gt;0,"Y","N"))</f>
        <v/>
      </c>
      <c r="Q546" s="63">
        <f>IF($A546="","",IF(COUNTIF(집계!$E$7:$E$506,O546)&gt;0,"Y","N"))</f>
        <v/>
      </c>
    </row>
    <row r="547">
      <c r="A547" s="60" t="n">
        <v>2025</v>
      </c>
      <c r="B547" s="60" t="n">
        <v>7</v>
      </c>
      <c r="C547" s="60" t="inlineStr">
        <is>
          <t>1000</t>
        </is>
      </c>
      <c r="D547" s="60" t="n">
        <v>1801</v>
      </c>
      <c r="E547" s="60" t="inlineStr">
        <is>
          <t>고객서비스</t>
        </is>
      </c>
      <c r="F547" s="60" t="n">
        <v>62401000</v>
      </c>
      <c r="G547" s="60" t="inlineStr">
        <is>
          <t>도서인쇄비</t>
        </is>
      </c>
      <c r="H547" s="61" t="n">
        <v>7014940</v>
      </c>
      <c r="J547" s="63">
        <f>IF($A547="","",IFERROR(INDEX(부서매핑!$C$5:$C$504,MATCH($D547&amp;"",부서매핑!$A$5:$A$504,0)),"미매핑"))</f>
        <v/>
      </c>
      <c r="K547" s="63">
        <f>IF($A547="","",IFERROR(INDEX(계정매핑!$C$5:$C$504,MATCH($F547&amp;"",계정매핑!$A$5:$A$504,0)),"미매핑"))</f>
        <v/>
      </c>
      <c r="L547" s="4">
        <f>IF($A547="","",VALUE($A547&amp;""))</f>
        <v/>
      </c>
      <c r="M547" s="4">
        <f>IF($A547="","",VALUE($B547&amp;""))</f>
        <v/>
      </c>
      <c r="N547" s="64">
        <f>IF($A547="","",$H547*설정!$C$15)</f>
        <v/>
      </c>
      <c r="O547" s="4">
        <f>IF($A547="","",J547&amp;"|"&amp;K547)</f>
        <v/>
      </c>
      <c r="P547" s="63">
        <f>IF($A547="","",IF(COUNTIFS(예산_원본!$T$5:$T$3004,O547,예산_원본!$B$5:$B$3004,설정!$C$8,예산_원본!$U$5:$U$3004,L547)&gt;0,"Y","N"))</f>
        <v/>
      </c>
      <c r="Q547" s="63">
        <f>IF($A547="","",IF(COUNTIF(집계!$E$7:$E$506,O547)&gt;0,"Y","N"))</f>
        <v/>
      </c>
    </row>
    <row r="548">
      <c r="A548" s="60" t="n">
        <v>2025</v>
      </c>
      <c r="B548" s="60" t="n">
        <v>7</v>
      </c>
      <c r="C548" s="60" t="inlineStr">
        <is>
          <t>1000</t>
        </is>
      </c>
      <c r="D548" s="60" t="n">
        <v>1801</v>
      </c>
      <c r="E548" s="60" t="inlineStr">
        <is>
          <t>고객서비스</t>
        </is>
      </c>
      <c r="F548" s="60" t="n">
        <v>62501000</v>
      </c>
      <c r="G548" s="60" t="inlineStr">
        <is>
          <t>회의비</t>
        </is>
      </c>
      <c r="H548" s="61" t="n">
        <v>476220</v>
      </c>
      <c r="J548" s="63">
        <f>IF($A548="","",IFERROR(INDEX(부서매핑!$C$5:$C$504,MATCH($D548&amp;"",부서매핑!$A$5:$A$504,0)),"미매핑"))</f>
        <v/>
      </c>
      <c r="K548" s="63">
        <f>IF($A548="","",IFERROR(INDEX(계정매핑!$C$5:$C$504,MATCH($F548&amp;"",계정매핑!$A$5:$A$504,0)),"미매핑"))</f>
        <v/>
      </c>
      <c r="L548" s="4">
        <f>IF($A548="","",VALUE($A548&amp;""))</f>
        <v/>
      </c>
      <c r="M548" s="4">
        <f>IF($A548="","",VALUE($B548&amp;""))</f>
        <v/>
      </c>
      <c r="N548" s="64">
        <f>IF($A548="","",$H548*설정!$C$15)</f>
        <v/>
      </c>
      <c r="O548" s="4">
        <f>IF($A548="","",J548&amp;"|"&amp;K548)</f>
        <v/>
      </c>
      <c r="P548" s="63">
        <f>IF($A548="","",IF(COUNTIFS(예산_원본!$T$5:$T$3004,O548,예산_원본!$B$5:$B$3004,설정!$C$8,예산_원본!$U$5:$U$3004,L548)&gt;0,"Y","N"))</f>
        <v/>
      </c>
      <c r="Q548" s="63">
        <f>IF($A548="","",IF(COUNTIF(집계!$E$7:$E$506,O548)&gt;0,"Y","N"))</f>
        <v/>
      </c>
    </row>
    <row r="549">
      <c r="A549" s="60" t="n">
        <v>2025</v>
      </c>
      <c r="B549" s="60" t="n">
        <v>7</v>
      </c>
      <c r="C549" s="60" t="inlineStr">
        <is>
          <t>1000</t>
        </is>
      </c>
      <c r="D549" s="60" t="n">
        <v>1801</v>
      </c>
      <c r="E549" s="60" t="inlineStr">
        <is>
          <t>고객서비스</t>
        </is>
      </c>
      <c r="F549" s="60" t="n">
        <v>62901000</v>
      </c>
      <c r="G549" s="60" t="inlineStr">
        <is>
          <t>지급수수료-컨설팅</t>
        </is>
      </c>
      <c r="H549" s="61" t="n">
        <v>27474620</v>
      </c>
      <c r="J549" s="63">
        <f>IF($A549="","",IFERROR(INDEX(부서매핑!$C$5:$C$504,MATCH($D549&amp;"",부서매핑!$A$5:$A$504,0)),"미매핑"))</f>
        <v/>
      </c>
      <c r="K549" s="63">
        <f>IF($A549="","",IFERROR(INDEX(계정매핑!$C$5:$C$504,MATCH($F549&amp;"",계정매핑!$A$5:$A$504,0)),"미매핑"))</f>
        <v/>
      </c>
      <c r="L549" s="4">
        <f>IF($A549="","",VALUE($A549&amp;""))</f>
        <v/>
      </c>
      <c r="M549" s="4">
        <f>IF($A549="","",VALUE($B549&amp;""))</f>
        <v/>
      </c>
      <c r="N549" s="64">
        <f>IF($A549="","",$H549*설정!$C$15)</f>
        <v/>
      </c>
      <c r="O549" s="4">
        <f>IF($A549="","",J549&amp;"|"&amp;K549)</f>
        <v/>
      </c>
      <c r="P549" s="63">
        <f>IF($A549="","",IF(COUNTIFS(예산_원본!$T$5:$T$3004,O549,예산_원본!$B$5:$B$3004,설정!$C$8,예산_원본!$U$5:$U$3004,L549)&gt;0,"Y","N"))</f>
        <v/>
      </c>
      <c r="Q549" s="63">
        <f>IF($A549="","",IF(COUNTIF(집계!$E$7:$E$506,O549)&gt;0,"Y","N"))</f>
        <v/>
      </c>
    </row>
    <row r="550">
      <c r="A550" s="60" t="n">
        <v>2025</v>
      </c>
      <c r="B550" s="60" t="n">
        <v>7</v>
      </c>
      <c r="C550" s="60" t="inlineStr">
        <is>
          <t>1000</t>
        </is>
      </c>
      <c r="D550" s="60" t="n">
        <v>1801</v>
      </c>
      <c r="E550" s="60" t="inlineStr">
        <is>
          <t>고객서비스</t>
        </is>
      </c>
      <c r="F550" s="60" t="n">
        <v>62902000</v>
      </c>
      <c r="G550" s="60" t="inlineStr">
        <is>
          <t>지급수수료-기타</t>
        </is>
      </c>
      <c r="H550" s="61" t="n">
        <v>12333970</v>
      </c>
      <c r="J550" s="63">
        <f>IF($A550="","",IFERROR(INDEX(부서매핑!$C$5:$C$504,MATCH($D550&amp;"",부서매핑!$A$5:$A$504,0)),"미매핑"))</f>
        <v/>
      </c>
      <c r="K550" s="63">
        <f>IF($A550="","",IFERROR(INDEX(계정매핑!$C$5:$C$504,MATCH($F550&amp;"",계정매핑!$A$5:$A$504,0)),"미매핑"))</f>
        <v/>
      </c>
      <c r="L550" s="4">
        <f>IF($A550="","",VALUE($A550&amp;""))</f>
        <v/>
      </c>
      <c r="M550" s="4">
        <f>IF($A550="","",VALUE($B550&amp;""))</f>
        <v/>
      </c>
      <c r="N550" s="64">
        <f>IF($A550="","",$H550*설정!$C$15)</f>
        <v/>
      </c>
      <c r="O550" s="4">
        <f>IF($A550="","",J550&amp;"|"&amp;K550)</f>
        <v/>
      </c>
      <c r="P550" s="63">
        <f>IF($A550="","",IF(COUNTIFS(예산_원본!$T$5:$T$3004,O550,예산_원본!$B$5:$B$3004,설정!$C$8,예산_원본!$U$5:$U$3004,L550)&gt;0,"Y","N"))</f>
        <v/>
      </c>
      <c r="Q550" s="63">
        <f>IF($A550="","",IF(COUNTIF(집계!$E$7:$E$506,O550)&gt;0,"Y","N"))</f>
        <v/>
      </c>
    </row>
    <row r="551">
      <c r="A551" s="60" t="n">
        <v>2025</v>
      </c>
      <c r="B551" s="60" t="n">
        <v>8</v>
      </c>
      <c r="C551" s="60" t="inlineStr">
        <is>
          <t>1000</t>
        </is>
      </c>
      <c r="D551" s="60" t="n">
        <v>1101</v>
      </c>
      <c r="E551" s="60" t="inlineStr">
        <is>
          <t>경영기획</t>
        </is>
      </c>
      <c r="F551" s="60" t="n">
        <v>62101000</v>
      </c>
      <c r="G551" s="60" t="inlineStr">
        <is>
          <t>여비교통비-국내</t>
        </is>
      </c>
      <c r="H551" s="61" t="n">
        <v>1936420</v>
      </c>
      <c r="J551" s="63">
        <f>IF($A551="","",IFERROR(INDEX(부서매핑!$C$5:$C$504,MATCH($D551&amp;"",부서매핑!$A$5:$A$504,0)),"미매핑"))</f>
        <v/>
      </c>
      <c r="K551" s="63">
        <f>IF($A551="","",IFERROR(INDEX(계정매핑!$C$5:$C$504,MATCH($F551&amp;"",계정매핑!$A$5:$A$504,0)),"미매핑"))</f>
        <v/>
      </c>
      <c r="L551" s="4">
        <f>IF($A551="","",VALUE($A551&amp;""))</f>
        <v/>
      </c>
      <c r="M551" s="4">
        <f>IF($A551="","",VALUE($B551&amp;""))</f>
        <v/>
      </c>
      <c r="N551" s="64">
        <f>IF($A551="","",$H551*설정!$C$15)</f>
        <v/>
      </c>
      <c r="O551" s="4">
        <f>IF($A551="","",J551&amp;"|"&amp;K551)</f>
        <v/>
      </c>
      <c r="P551" s="63">
        <f>IF($A551="","",IF(COUNTIFS(예산_원본!$T$5:$T$3004,O551,예산_원본!$B$5:$B$3004,설정!$C$8,예산_원본!$U$5:$U$3004,L551)&gt;0,"Y","N"))</f>
        <v/>
      </c>
      <c r="Q551" s="63">
        <f>IF($A551="","",IF(COUNTIF(집계!$E$7:$E$506,O551)&gt;0,"Y","N"))</f>
        <v/>
      </c>
    </row>
    <row r="552">
      <c r="A552" s="60" t="n">
        <v>2025</v>
      </c>
      <c r="B552" s="60" t="n">
        <v>8</v>
      </c>
      <c r="C552" s="60" t="inlineStr">
        <is>
          <t>1000</t>
        </is>
      </c>
      <c r="D552" s="60" t="n">
        <v>1101</v>
      </c>
      <c r="E552" s="60" t="inlineStr">
        <is>
          <t>경영기획</t>
        </is>
      </c>
      <c r="F552" s="60" t="n">
        <v>62102000</v>
      </c>
      <c r="G552" s="60" t="inlineStr">
        <is>
          <t>여비교통비-해외</t>
        </is>
      </c>
      <c r="H552" s="61" t="n">
        <v>339770</v>
      </c>
      <c r="J552" s="63">
        <f>IF($A552="","",IFERROR(INDEX(부서매핑!$C$5:$C$504,MATCH($D552&amp;"",부서매핑!$A$5:$A$504,0)),"미매핑"))</f>
        <v/>
      </c>
      <c r="K552" s="63">
        <f>IF($A552="","",IFERROR(INDEX(계정매핑!$C$5:$C$504,MATCH($F552&amp;"",계정매핑!$A$5:$A$504,0)),"미매핑"))</f>
        <v/>
      </c>
      <c r="L552" s="4">
        <f>IF($A552="","",VALUE($A552&amp;""))</f>
        <v/>
      </c>
      <c r="M552" s="4">
        <f>IF($A552="","",VALUE($B552&amp;""))</f>
        <v/>
      </c>
      <c r="N552" s="64">
        <f>IF($A552="","",$H552*설정!$C$15)</f>
        <v/>
      </c>
      <c r="O552" s="4">
        <f>IF($A552="","",J552&amp;"|"&amp;K552)</f>
        <v/>
      </c>
      <c r="P552" s="63">
        <f>IF($A552="","",IF(COUNTIFS(예산_원본!$T$5:$T$3004,O552,예산_원본!$B$5:$B$3004,설정!$C$8,예산_원본!$U$5:$U$3004,L552)&gt;0,"Y","N"))</f>
        <v/>
      </c>
      <c r="Q552" s="63">
        <f>IF($A552="","",IF(COUNTIF(집계!$E$7:$E$506,O552)&gt;0,"Y","N"))</f>
        <v/>
      </c>
    </row>
    <row r="553">
      <c r="A553" s="60" t="n">
        <v>2025</v>
      </c>
      <c r="B553" s="60" t="n">
        <v>8</v>
      </c>
      <c r="C553" s="60" t="inlineStr">
        <is>
          <t>1000</t>
        </is>
      </c>
      <c r="D553" s="60" t="n">
        <v>1101</v>
      </c>
      <c r="E553" s="60" t="inlineStr">
        <is>
          <t>경영기획</t>
        </is>
      </c>
      <c r="F553" s="60" t="n">
        <v>62201000</v>
      </c>
      <c r="G553" s="60" t="inlineStr">
        <is>
          <t>통신비</t>
        </is>
      </c>
      <c r="H553" s="61" t="n">
        <v>630140</v>
      </c>
      <c r="J553" s="63">
        <f>IF($A553="","",IFERROR(INDEX(부서매핑!$C$5:$C$504,MATCH($D553&amp;"",부서매핑!$A$5:$A$504,0)),"미매핑"))</f>
        <v/>
      </c>
      <c r="K553" s="63">
        <f>IF($A553="","",IFERROR(INDEX(계정매핑!$C$5:$C$504,MATCH($F553&amp;"",계정매핑!$A$5:$A$504,0)),"미매핑"))</f>
        <v/>
      </c>
      <c r="L553" s="4">
        <f>IF($A553="","",VALUE($A553&amp;""))</f>
        <v/>
      </c>
      <c r="M553" s="4">
        <f>IF($A553="","",VALUE($B553&amp;""))</f>
        <v/>
      </c>
      <c r="N553" s="64">
        <f>IF($A553="","",$H553*설정!$C$15)</f>
        <v/>
      </c>
      <c r="O553" s="4">
        <f>IF($A553="","",J553&amp;"|"&amp;K553)</f>
        <v/>
      </c>
      <c r="P553" s="63">
        <f>IF($A553="","",IF(COUNTIFS(예산_원본!$T$5:$T$3004,O553,예산_원본!$B$5:$B$3004,설정!$C$8,예산_원본!$U$5:$U$3004,L553)&gt;0,"Y","N"))</f>
        <v/>
      </c>
      <c r="Q553" s="63">
        <f>IF($A553="","",IF(COUNTIF(집계!$E$7:$E$506,O553)&gt;0,"Y","N"))</f>
        <v/>
      </c>
    </row>
    <row r="554">
      <c r="A554" s="60" t="n">
        <v>2025</v>
      </c>
      <c r="B554" s="60" t="n">
        <v>8</v>
      </c>
      <c r="C554" s="60" t="inlineStr">
        <is>
          <t>1000</t>
        </is>
      </c>
      <c r="D554" s="60" t="n">
        <v>1101</v>
      </c>
      <c r="E554" s="60" t="inlineStr">
        <is>
          <t>경영기획</t>
        </is>
      </c>
      <c r="F554" s="60" t="n">
        <v>62301000</v>
      </c>
      <c r="G554" s="60" t="inlineStr">
        <is>
          <t>소모품비</t>
        </is>
      </c>
      <c r="H554" s="61" t="n">
        <v>406880</v>
      </c>
      <c r="J554" s="63">
        <f>IF($A554="","",IFERROR(INDEX(부서매핑!$C$5:$C$504,MATCH($D554&amp;"",부서매핑!$A$5:$A$504,0)),"미매핑"))</f>
        <v/>
      </c>
      <c r="K554" s="63">
        <f>IF($A554="","",IFERROR(INDEX(계정매핑!$C$5:$C$504,MATCH($F554&amp;"",계정매핑!$A$5:$A$504,0)),"미매핑"))</f>
        <v/>
      </c>
      <c r="L554" s="4">
        <f>IF($A554="","",VALUE($A554&amp;""))</f>
        <v/>
      </c>
      <c r="M554" s="4">
        <f>IF($A554="","",VALUE($B554&amp;""))</f>
        <v/>
      </c>
      <c r="N554" s="64">
        <f>IF($A554="","",$H554*설정!$C$15)</f>
        <v/>
      </c>
      <c r="O554" s="4">
        <f>IF($A554="","",J554&amp;"|"&amp;K554)</f>
        <v/>
      </c>
      <c r="P554" s="63">
        <f>IF($A554="","",IF(COUNTIFS(예산_원본!$T$5:$T$3004,O554,예산_원본!$B$5:$B$3004,설정!$C$8,예산_원본!$U$5:$U$3004,L554)&gt;0,"Y","N"))</f>
        <v/>
      </c>
      <c r="Q554" s="63">
        <f>IF($A554="","",IF(COUNTIF(집계!$E$7:$E$506,O554)&gt;0,"Y","N"))</f>
        <v/>
      </c>
    </row>
    <row r="555">
      <c r="A555" s="60" t="n">
        <v>2025</v>
      </c>
      <c r="B555" s="60" t="n">
        <v>8</v>
      </c>
      <c r="C555" s="60" t="inlineStr">
        <is>
          <t>1000</t>
        </is>
      </c>
      <c r="D555" s="60" t="n">
        <v>1101</v>
      </c>
      <c r="E555" s="60" t="inlineStr">
        <is>
          <t>경영기획</t>
        </is>
      </c>
      <c r="F555" s="60" t="n">
        <v>62501000</v>
      </c>
      <c r="G555" s="60" t="inlineStr">
        <is>
          <t>회의비</t>
        </is>
      </c>
      <c r="H555" s="61" t="n">
        <v>905110</v>
      </c>
      <c r="J555" s="63">
        <f>IF($A555="","",IFERROR(INDEX(부서매핑!$C$5:$C$504,MATCH($D555&amp;"",부서매핑!$A$5:$A$504,0)),"미매핑"))</f>
        <v/>
      </c>
      <c r="K555" s="63">
        <f>IF($A555="","",IFERROR(INDEX(계정매핑!$C$5:$C$504,MATCH($F555&amp;"",계정매핑!$A$5:$A$504,0)),"미매핑"))</f>
        <v/>
      </c>
      <c r="L555" s="4">
        <f>IF($A555="","",VALUE($A555&amp;""))</f>
        <v/>
      </c>
      <c r="M555" s="4">
        <f>IF($A555="","",VALUE($B555&amp;""))</f>
        <v/>
      </c>
      <c r="N555" s="64">
        <f>IF($A555="","",$H555*설정!$C$15)</f>
        <v/>
      </c>
      <c r="O555" s="4">
        <f>IF($A555="","",J555&amp;"|"&amp;K555)</f>
        <v/>
      </c>
      <c r="P555" s="63">
        <f>IF($A555="","",IF(COUNTIFS(예산_원본!$T$5:$T$3004,O555,예산_원본!$B$5:$B$3004,설정!$C$8,예산_원본!$U$5:$U$3004,L555)&gt;0,"Y","N"))</f>
        <v/>
      </c>
      <c r="Q555" s="63">
        <f>IF($A555="","",IF(COUNTIF(집계!$E$7:$E$506,O555)&gt;0,"Y","N"))</f>
        <v/>
      </c>
    </row>
    <row r="556">
      <c r="A556" s="60" t="n">
        <v>2025</v>
      </c>
      <c r="B556" s="60" t="n">
        <v>8</v>
      </c>
      <c r="C556" s="60" t="inlineStr">
        <is>
          <t>1000</t>
        </is>
      </c>
      <c r="D556" s="60" t="n">
        <v>1101</v>
      </c>
      <c r="E556" s="60" t="inlineStr">
        <is>
          <t>경영기획</t>
        </is>
      </c>
      <c r="F556" s="60" t="n">
        <v>62601000</v>
      </c>
      <c r="G556" s="60" t="inlineStr">
        <is>
          <t>업무추진비</t>
        </is>
      </c>
      <c r="H556" s="61" t="n">
        <v>4493360</v>
      </c>
      <c r="J556" s="63">
        <f>IF($A556="","",IFERROR(INDEX(부서매핑!$C$5:$C$504,MATCH($D556&amp;"",부서매핑!$A$5:$A$504,0)),"미매핑"))</f>
        <v/>
      </c>
      <c r="K556" s="63">
        <f>IF($A556="","",IFERROR(INDEX(계정매핑!$C$5:$C$504,MATCH($F556&amp;"",계정매핑!$A$5:$A$504,0)),"미매핑"))</f>
        <v/>
      </c>
      <c r="L556" s="4">
        <f>IF($A556="","",VALUE($A556&amp;""))</f>
        <v/>
      </c>
      <c r="M556" s="4">
        <f>IF($A556="","",VALUE($B556&amp;""))</f>
        <v/>
      </c>
      <c r="N556" s="64">
        <f>IF($A556="","",$H556*설정!$C$15)</f>
        <v/>
      </c>
      <c r="O556" s="4">
        <f>IF($A556="","",J556&amp;"|"&amp;K556)</f>
        <v/>
      </c>
      <c r="P556" s="63">
        <f>IF($A556="","",IF(COUNTIFS(예산_원본!$T$5:$T$3004,O556,예산_원본!$B$5:$B$3004,설정!$C$8,예산_원본!$U$5:$U$3004,L556)&gt;0,"Y","N"))</f>
        <v/>
      </c>
      <c r="Q556" s="63">
        <f>IF($A556="","",IF(COUNTIF(집계!$E$7:$E$506,O556)&gt;0,"Y","N"))</f>
        <v/>
      </c>
    </row>
    <row r="557">
      <c r="A557" s="60" t="n">
        <v>2025</v>
      </c>
      <c r="B557" s="60" t="n">
        <v>8</v>
      </c>
      <c r="C557" s="60" t="inlineStr">
        <is>
          <t>1000</t>
        </is>
      </c>
      <c r="D557" s="60" t="n">
        <v>1101</v>
      </c>
      <c r="E557" s="60" t="inlineStr">
        <is>
          <t>경영기획</t>
        </is>
      </c>
      <c r="F557" s="60" t="n">
        <v>62901000</v>
      </c>
      <c r="G557" s="60" t="inlineStr">
        <is>
          <t>지급수수료-컨설팅</t>
        </is>
      </c>
      <c r="H557" s="61" t="n">
        <v>13081490</v>
      </c>
      <c r="J557" s="63">
        <f>IF($A557="","",IFERROR(INDEX(부서매핑!$C$5:$C$504,MATCH($D557&amp;"",부서매핑!$A$5:$A$504,0)),"미매핑"))</f>
        <v/>
      </c>
      <c r="K557" s="63">
        <f>IF($A557="","",IFERROR(INDEX(계정매핑!$C$5:$C$504,MATCH($F557&amp;"",계정매핑!$A$5:$A$504,0)),"미매핑"))</f>
        <v/>
      </c>
      <c r="L557" s="4">
        <f>IF($A557="","",VALUE($A557&amp;""))</f>
        <v/>
      </c>
      <c r="M557" s="4">
        <f>IF($A557="","",VALUE($B557&amp;""))</f>
        <v/>
      </c>
      <c r="N557" s="64">
        <f>IF($A557="","",$H557*설정!$C$15)</f>
        <v/>
      </c>
      <c r="O557" s="4">
        <f>IF($A557="","",J557&amp;"|"&amp;K557)</f>
        <v/>
      </c>
      <c r="P557" s="63">
        <f>IF($A557="","",IF(COUNTIFS(예산_원본!$T$5:$T$3004,O557,예산_원본!$B$5:$B$3004,설정!$C$8,예산_원본!$U$5:$U$3004,L557)&gt;0,"Y","N"))</f>
        <v/>
      </c>
      <c r="Q557" s="63">
        <f>IF($A557="","",IF(COUNTIF(집계!$E$7:$E$506,O557)&gt;0,"Y","N"))</f>
        <v/>
      </c>
    </row>
    <row r="558">
      <c r="A558" s="60" t="n">
        <v>2025</v>
      </c>
      <c r="B558" s="60" t="n">
        <v>8</v>
      </c>
      <c r="C558" s="60" t="inlineStr">
        <is>
          <t>1000</t>
        </is>
      </c>
      <c r="D558" s="60" t="n">
        <v>1101</v>
      </c>
      <c r="E558" s="60" t="inlineStr">
        <is>
          <t>경영기획</t>
        </is>
      </c>
      <c r="F558" s="60" t="n">
        <v>62902000</v>
      </c>
      <c r="G558" s="60" t="inlineStr">
        <is>
          <t>지급수수료-기타</t>
        </is>
      </c>
      <c r="H558" s="61" t="n">
        <v>4886860</v>
      </c>
      <c r="J558" s="63">
        <f>IF($A558="","",IFERROR(INDEX(부서매핑!$C$5:$C$504,MATCH($D558&amp;"",부서매핑!$A$5:$A$504,0)),"미매핑"))</f>
        <v/>
      </c>
      <c r="K558" s="63">
        <f>IF($A558="","",IFERROR(INDEX(계정매핑!$C$5:$C$504,MATCH($F558&amp;"",계정매핑!$A$5:$A$504,0)),"미매핑"))</f>
        <v/>
      </c>
      <c r="L558" s="4">
        <f>IF($A558="","",VALUE($A558&amp;""))</f>
        <v/>
      </c>
      <c r="M558" s="4">
        <f>IF($A558="","",VALUE($B558&amp;""))</f>
        <v/>
      </c>
      <c r="N558" s="64">
        <f>IF($A558="","",$H558*설정!$C$15)</f>
        <v/>
      </c>
      <c r="O558" s="4">
        <f>IF($A558="","",J558&amp;"|"&amp;K558)</f>
        <v/>
      </c>
      <c r="P558" s="63">
        <f>IF($A558="","",IF(COUNTIFS(예산_원본!$T$5:$T$3004,O558,예산_원본!$B$5:$B$3004,설정!$C$8,예산_원본!$U$5:$U$3004,L558)&gt;0,"Y","N"))</f>
        <v/>
      </c>
      <c r="Q558" s="63">
        <f>IF($A558="","",IF(COUNTIF(집계!$E$7:$E$506,O558)&gt;0,"Y","N"))</f>
        <v/>
      </c>
    </row>
    <row r="559">
      <c r="A559" s="60" t="n">
        <v>2025</v>
      </c>
      <c r="B559" s="60" t="n">
        <v>8</v>
      </c>
      <c r="C559" s="60" t="inlineStr">
        <is>
          <t>1000</t>
        </is>
      </c>
      <c r="D559" s="60" t="n">
        <v>1201</v>
      </c>
      <c r="E559" s="60" t="inlineStr">
        <is>
          <t>재무회계</t>
        </is>
      </c>
      <c r="F559" s="60" t="n">
        <v>62101000</v>
      </c>
      <c r="G559" s="60" t="inlineStr">
        <is>
          <t>여비교통비-국내</t>
        </is>
      </c>
      <c r="H559" s="61" t="n">
        <v>1330830</v>
      </c>
      <c r="J559" s="63">
        <f>IF($A559="","",IFERROR(INDEX(부서매핑!$C$5:$C$504,MATCH($D559&amp;"",부서매핑!$A$5:$A$504,0)),"미매핑"))</f>
        <v/>
      </c>
      <c r="K559" s="63">
        <f>IF($A559="","",IFERROR(INDEX(계정매핑!$C$5:$C$504,MATCH($F559&amp;"",계정매핑!$A$5:$A$504,0)),"미매핑"))</f>
        <v/>
      </c>
      <c r="L559" s="4">
        <f>IF($A559="","",VALUE($A559&amp;""))</f>
        <v/>
      </c>
      <c r="M559" s="4">
        <f>IF($A559="","",VALUE($B559&amp;""))</f>
        <v/>
      </c>
      <c r="N559" s="64">
        <f>IF($A559="","",$H559*설정!$C$15)</f>
        <v/>
      </c>
      <c r="O559" s="4">
        <f>IF($A559="","",J559&amp;"|"&amp;K559)</f>
        <v/>
      </c>
      <c r="P559" s="63">
        <f>IF($A559="","",IF(COUNTIFS(예산_원본!$T$5:$T$3004,O559,예산_원본!$B$5:$B$3004,설정!$C$8,예산_원본!$U$5:$U$3004,L559)&gt;0,"Y","N"))</f>
        <v/>
      </c>
      <c r="Q559" s="63">
        <f>IF($A559="","",IF(COUNTIF(집계!$E$7:$E$506,O559)&gt;0,"Y","N"))</f>
        <v/>
      </c>
    </row>
    <row r="560">
      <c r="A560" s="60" t="n">
        <v>2025</v>
      </c>
      <c r="B560" s="60" t="n">
        <v>8</v>
      </c>
      <c r="C560" s="60" t="inlineStr">
        <is>
          <t>1000</t>
        </is>
      </c>
      <c r="D560" s="60" t="n">
        <v>1201</v>
      </c>
      <c r="E560" s="60" t="inlineStr">
        <is>
          <t>재무회계</t>
        </is>
      </c>
      <c r="F560" s="60" t="n">
        <v>62102000</v>
      </c>
      <c r="G560" s="60" t="inlineStr">
        <is>
          <t>여비교통비-해외</t>
        </is>
      </c>
      <c r="H560" s="61" t="n">
        <v>243050</v>
      </c>
      <c r="J560" s="63">
        <f>IF($A560="","",IFERROR(INDEX(부서매핑!$C$5:$C$504,MATCH($D560&amp;"",부서매핑!$A$5:$A$504,0)),"미매핑"))</f>
        <v/>
      </c>
      <c r="K560" s="63">
        <f>IF($A560="","",IFERROR(INDEX(계정매핑!$C$5:$C$504,MATCH($F560&amp;"",계정매핑!$A$5:$A$504,0)),"미매핑"))</f>
        <v/>
      </c>
      <c r="L560" s="4">
        <f>IF($A560="","",VALUE($A560&amp;""))</f>
        <v/>
      </c>
      <c r="M560" s="4">
        <f>IF($A560="","",VALUE($B560&amp;""))</f>
        <v/>
      </c>
      <c r="N560" s="64">
        <f>IF($A560="","",$H560*설정!$C$15)</f>
        <v/>
      </c>
      <c r="O560" s="4">
        <f>IF($A560="","",J560&amp;"|"&amp;K560)</f>
        <v/>
      </c>
      <c r="P560" s="63">
        <f>IF($A560="","",IF(COUNTIFS(예산_원본!$T$5:$T$3004,O560,예산_원본!$B$5:$B$3004,설정!$C$8,예산_원본!$U$5:$U$3004,L560)&gt;0,"Y","N"))</f>
        <v/>
      </c>
      <c r="Q560" s="63">
        <f>IF($A560="","",IF(COUNTIF(집계!$E$7:$E$506,O560)&gt;0,"Y","N"))</f>
        <v/>
      </c>
    </row>
    <row r="561">
      <c r="A561" s="60" t="n">
        <v>2025</v>
      </c>
      <c r="B561" s="60" t="n">
        <v>8</v>
      </c>
      <c r="C561" s="60" t="inlineStr">
        <is>
          <t>1000</t>
        </is>
      </c>
      <c r="D561" s="60" t="n">
        <v>1201</v>
      </c>
      <c r="E561" s="60" t="inlineStr">
        <is>
          <t>재무회계</t>
        </is>
      </c>
      <c r="F561" s="60" t="n">
        <v>62201000</v>
      </c>
      <c r="G561" s="60" t="inlineStr">
        <is>
          <t>통신비</t>
        </is>
      </c>
      <c r="H561" s="61" t="n">
        <v>597660</v>
      </c>
      <c r="J561" s="63">
        <f>IF($A561="","",IFERROR(INDEX(부서매핑!$C$5:$C$504,MATCH($D561&amp;"",부서매핑!$A$5:$A$504,0)),"미매핑"))</f>
        <v/>
      </c>
      <c r="K561" s="63">
        <f>IF($A561="","",IFERROR(INDEX(계정매핑!$C$5:$C$504,MATCH($F561&amp;"",계정매핑!$A$5:$A$504,0)),"미매핑"))</f>
        <v/>
      </c>
      <c r="L561" s="4">
        <f>IF($A561="","",VALUE($A561&amp;""))</f>
        <v/>
      </c>
      <c r="M561" s="4">
        <f>IF($A561="","",VALUE($B561&amp;""))</f>
        <v/>
      </c>
      <c r="N561" s="64">
        <f>IF($A561="","",$H561*설정!$C$15)</f>
        <v/>
      </c>
      <c r="O561" s="4">
        <f>IF($A561="","",J561&amp;"|"&amp;K561)</f>
        <v/>
      </c>
      <c r="P561" s="63">
        <f>IF($A561="","",IF(COUNTIFS(예산_원본!$T$5:$T$3004,O561,예산_원본!$B$5:$B$3004,설정!$C$8,예산_원본!$U$5:$U$3004,L561)&gt;0,"Y","N"))</f>
        <v/>
      </c>
      <c r="Q561" s="63">
        <f>IF($A561="","",IF(COUNTIF(집계!$E$7:$E$506,O561)&gt;0,"Y","N"))</f>
        <v/>
      </c>
    </row>
    <row r="562">
      <c r="A562" s="60" t="n">
        <v>2025</v>
      </c>
      <c r="B562" s="60" t="n">
        <v>8</v>
      </c>
      <c r="C562" s="60" t="inlineStr">
        <is>
          <t>1000</t>
        </is>
      </c>
      <c r="D562" s="60" t="n">
        <v>1201</v>
      </c>
      <c r="E562" s="60" t="inlineStr">
        <is>
          <t>재무회계</t>
        </is>
      </c>
      <c r="F562" s="60" t="n">
        <v>62301000</v>
      </c>
      <c r="G562" s="60" t="inlineStr">
        <is>
          <t>소모품비</t>
        </is>
      </c>
      <c r="H562" s="61" t="n">
        <v>526400</v>
      </c>
      <c r="J562" s="63">
        <f>IF($A562="","",IFERROR(INDEX(부서매핑!$C$5:$C$504,MATCH($D562&amp;"",부서매핑!$A$5:$A$504,0)),"미매핑"))</f>
        <v/>
      </c>
      <c r="K562" s="63">
        <f>IF($A562="","",IFERROR(INDEX(계정매핑!$C$5:$C$504,MATCH($F562&amp;"",계정매핑!$A$5:$A$504,0)),"미매핑"))</f>
        <v/>
      </c>
      <c r="L562" s="4">
        <f>IF($A562="","",VALUE($A562&amp;""))</f>
        <v/>
      </c>
      <c r="M562" s="4">
        <f>IF($A562="","",VALUE($B562&amp;""))</f>
        <v/>
      </c>
      <c r="N562" s="64">
        <f>IF($A562="","",$H562*설정!$C$15)</f>
        <v/>
      </c>
      <c r="O562" s="4">
        <f>IF($A562="","",J562&amp;"|"&amp;K562)</f>
        <v/>
      </c>
      <c r="P562" s="63">
        <f>IF($A562="","",IF(COUNTIFS(예산_원본!$T$5:$T$3004,O562,예산_원본!$B$5:$B$3004,설정!$C$8,예산_원본!$U$5:$U$3004,L562)&gt;0,"Y","N"))</f>
        <v/>
      </c>
      <c r="Q562" s="63">
        <f>IF($A562="","",IF(COUNTIF(집계!$E$7:$E$506,O562)&gt;0,"Y","N"))</f>
        <v/>
      </c>
    </row>
    <row r="563">
      <c r="A563" s="60" t="n">
        <v>2025</v>
      </c>
      <c r="B563" s="60" t="n">
        <v>8</v>
      </c>
      <c r="C563" s="60" t="inlineStr">
        <is>
          <t>1000</t>
        </is>
      </c>
      <c r="D563" s="60" t="n">
        <v>1201</v>
      </c>
      <c r="E563" s="60" t="inlineStr">
        <is>
          <t>재무회계</t>
        </is>
      </c>
      <c r="F563" s="60" t="n">
        <v>62501000</v>
      </c>
      <c r="G563" s="60" t="inlineStr">
        <is>
          <t>회의비</t>
        </is>
      </c>
      <c r="H563" s="61" t="n">
        <v>422700</v>
      </c>
      <c r="J563" s="63">
        <f>IF($A563="","",IFERROR(INDEX(부서매핑!$C$5:$C$504,MATCH($D563&amp;"",부서매핑!$A$5:$A$504,0)),"미매핑"))</f>
        <v/>
      </c>
      <c r="K563" s="63">
        <f>IF($A563="","",IFERROR(INDEX(계정매핑!$C$5:$C$504,MATCH($F563&amp;"",계정매핑!$A$5:$A$504,0)),"미매핑"))</f>
        <v/>
      </c>
      <c r="L563" s="4">
        <f>IF($A563="","",VALUE($A563&amp;""))</f>
        <v/>
      </c>
      <c r="M563" s="4">
        <f>IF($A563="","",VALUE($B563&amp;""))</f>
        <v/>
      </c>
      <c r="N563" s="64">
        <f>IF($A563="","",$H563*설정!$C$15)</f>
        <v/>
      </c>
      <c r="O563" s="4">
        <f>IF($A563="","",J563&amp;"|"&amp;K563)</f>
        <v/>
      </c>
      <c r="P563" s="63">
        <f>IF($A563="","",IF(COUNTIFS(예산_원본!$T$5:$T$3004,O563,예산_원본!$B$5:$B$3004,설정!$C$8,예산_원본!$U$5:$U$3004,L563)&gt;0,"Y","N"))</f>
        <v/>
      </c>
      <c r="Q563" s="63">
        <f>IF($A563="","",IF(COUNTIF(집계!$E$7:$E$506,O563)&gt;0,"Y","N"))</f>
        <v/>
      </c>
    </row>
    <row r="564">
      <c r="A564" s="60" t="n">
        <v>2025</v>
      </c>
      <c r="B564" s="60" t="n">
        <v>8</v>
      </c>
      <c r="C564" s="60" t="inlineStr">
        <is>
          <t>1000</t>
        </is>
      </c>
      <c r="D564" s="60" t="n">
        <v>1201</v>
      </c>
      <c r="E564" s="60" t="inlineStr">
        <is>
          <t>재무회계</t>
        </is>
      </c>
      <c r="F564" s="60" t="n">
        <v>62901000</v>
      </c>
      <c r="G564" s="60" t="inlineStr">
        <is>
          <t>지급수수료-컨설팅</t>
        </is>
      </c>
      <c r="H564" s="61" t="n">
        <v>19534430</v>
      </c>
      <c r="J564" s="63">
        <f>IF($A564="","",IFERROR(INDEX(부서매핑!$C$5:$C$504,MATCH($D564&amp;"",부서매핑!$A$5:$A$504,0)),"미매핑"))</f>
        <v/>
      </c>
      <c r="K564" s="63">
        <f>IF($A564="","",IFERROR(INDEX(계정매핑!$C$5:$C$504,MATCH($F564&amp;"",계정매핑!$A$5:$A$504,0)),"미매핑"))</f>
        <v/>
      </c>
      <c r="L564" s="4">
        <f>IF($A564="","",VALUE($A564&amp;""))</f>
        <v/>
      </c>
      <c r="M564" s="4">
        <f>IF($A564="","",VALUE($B564&amp;""))</f>
        <v/>
      </c>
      <c r="N564" s="64">
        <f>IF($A564="","",$H564*설정!$C$15)</f>
        <v/>
      </c>
      <c r="O564" s="4">
        <f>IF($A564="","",J564&amp;"|"&amp;K564)</f>
        <v/>
      </c>
      <c r="P564" s="63">
        <f>IF($A564="","",IF(COUNTIFS(예산_원본!$T$5:$T$3004,O564,예산_원본!$B$5:$B$3004,설정!$C$8,예산_원본!$U$5:$U$3004,L564)&gt;0,"Y","N"))</f>
        <v/>
      </c>
      <c r="Q564" s="63">
        <f>IF($A564="","",IF(COUNTIF(집계!$E$7:$E$506,O564)&gt;0,"Y","N"))</f>
        <v/>
      </c>
    </row>
    <row r="565">
      <c r="A565" s="60" t="n">
        <v>2025</v>
      </c>
      <c r="B565" s="60" t="n">
        <v>8</v>
      </c>
      <c r="C565" s="60" t="inlineStr">
        <is>
          <t>1000</t>
        </is>
      </c>
      <c r="D565" s="60" t="n">
        <v>1201</v>
      </c>
      <c r="E565" s="60" t="inlineStr">
        <is>
          <t>재무회계</t>
        </is>
      </c>
      <c r="F565" s="60" t="n">
        <v>62902000</v>
      </c>
      <c r="G565" s="60" t="inlineStr">
        <is>
          <t>지급수수료-기타</t>
        </is>
      </c>
      <c r="H565" s="61" t="n">
        <v>7647430</v>
      </c>
      <c r="J565" s="63">
        <f>IF($A565="","",IFERROR(INDEX(부서매핑!$C$5:$C$504,MATCH($D565&amp;"",부서매핑!$A$5:$A$504,0)),"미매핑"))</f>
        <v/>
      </c>
      <c r="K565" s="63">
        <f>IF($A565="","",IFERROR(INDEX(계정매핑!$C$5:$C$504,MATCH($F565&amp;"",계정매핑!$A$5:$A$504,0)),"미매핑"))</f>
        <v/>
      </c>
      <c r="L565" s="4">
        <f>IF($A565="","",VALUE($A565&amp;""))</f>
        <v/>
      </c>
      <c r="M565" s="4">
        <f>IF($A565="","",VALUE($B565&amp;""))</f>
        <v/>
      </c>
      <c r="N565" s="64">
        <f>IF($A565="","",$H565*설정!$C$15)</f>
        <v/>
      </c>
      <c r="O565" s="4">
        <f>IF($A565="","",J565&amp;"|"&amp;K565)</f>
        <v/>
      </c>
      <c r="P565" s="63">
        <f>IF($A565="","",IF(COUNTIFS(예산_원본!$T$5:$T$3004,O565,예산_원본!$B$5:$B$3004,설정!$C$8,예산_원본!$U$5:$U$3004,L565)&gt;0,"Y","N"))</f>
        <v/>
      </c>
      <c r="Q565" s="63">
        <f>IF($A565="","",IF(COUNTIF(집계!$E$7:$E$506,O565)&gt;0,"Y","N"))</f>
        <v/>
      </c>
    </row>
    <row r="566">
      <c r="A566" s="60" t="n">
        <v>2025</v>
      </c>
      <c r="B566" s="60" t="n">
        <v>8</v>
      </c>
      <c r="C566" s="60" t="inlineStr">
        <is>
          <t>1000</t>
        </is>
      </c>
      <c r="D566" s="60" t="n">
        <v>1301</v>
      </c>
      <c r="E566" s="60" t="inlineStr">
        <is>
          <t>인사</t>
        </is>
      </c>
      <c r="F566" s="60" t="n">
        <v>62101000</v>
      </c>
      <c r="G566" s="60" t="inlineStr">
        <is>
          <t>여비교통비-국내</t>
        </is>
      </c>
      <c r="H566" s="61" t="n">
        <v>1383500</v>
      </c>
      <c r="J566" s="63">
        <f>IF($A566="","",IFERROR(INDEX(부서매핑!$C$5:$C$504,MATCH($D566&amp;"",부서매핑!$A$5:$A$504,0)),"미매핑"))</f>
        <v/>
      </c>
      <c r="K566" s="63">
        <f>IF($A566="","",IFERROR(INDEX(계정매핑!$C$5:$C$504,MATCH($F566&amp;"",계정매핑!$A$5:$A$504,0)),"미매핑"))</f>
        <v/>
      </c>
      <c r="L566" s="4">
        <f>IF($A566="","",VALUE($A566&amp;""))</f>
        <v/>
      </c>
      <c r="M566" s="4">
        <f>IF($A566="","",VALUE($B566&amp;""))</f>
        <v/>
      </c>
      <c r="N566" s="64">
        <f>IF($A566="","",$H566*설정!$C$15)</f>
        <v/>
      </c>
      <c r="O566" s="4">
        <f>IF($A566="","",J566&amp;"|"&amp;K566)</f>
        <v/>
      </c>
      <c r="P566" s="63">
        <f>IF($A566="","",IF(COUNTIFS(예산_원본!$T$5:$T$3004,O566,예산_원본!$B$5:$B$3004,설정!$C$8,예산_원본!$U$5:$U$3004,L566)&gt;0,"Y","N"))</f>
        <v/>
      </c>
      <c r="Q566" s="63">
        <f>IF($A566="","",IF(COUNTIF(집계!$E$7:$E$506,O566)&gt;0,"Y","N"))</f>
        <v/>
      </c>
    </row>
    <row r="567">
      <c r="A567" s="60" t="n">
        <v>2025</v>
      </c>
      <c r="B567" s="60" t="n">
        <v>8</v>
      </c>
      <c r="C567" s="60" t="inlineStr">
        <is>
          <t>1000</t>
        </is>
      </c>
      <c r="D567" s="60" t="n">
        <v>1301</v>
      </c>
      <c r="E567" s="60" t="inlineStr">
        <is>
          <t>인사</t>
        </is>
      </c>
      <c r="F567" s="60" t="n">
        <v>62102000</v>
      </c>
      <c r="G567" s="60" t="inlineStr">
        <is>
          <t>여비교통비-해외</t>
        </is>
      </c>
      <c r="H567" s="61" t="n">
        <v>266600</v>
      </c>
      <c r="J567" s="63">
        <f>IF($A567="","",IFERROR(INDEX(부서매핑!$C$5:$C$504,MATCH($D567&amp;"",부서매핑!$A$5:$A$504,0)),"미매핑"))</f>
        <v/>
      </c>
      <c r="K567" s="63">
        <f>IF($A567="","",IFERROR(INDEX(계정매핑!$C$5:$C$504,MATCH($F567&amp;"",계정매핑!$A$5:$A$504,0)),"미매핑"))</f>
        <v/>
      </c>
      <c r="L567" s="4">
        <f>IF($A567="","",VALUE($A567&amp;""))</f>
        <v/>
      </c>
      <c r="M567" s="4">
        <f>IF($A567="","",VALUE($B567&amp;""))</f>
        <v/>
      </c>
      <c r="N567" s="64">
        <f>IF($A567="","",$H567*설정!$C$15)</f>
        <v/>
      </c>
      <c r="O567" s="4">
        <f>IF($A567="","",J567&amp;"|"&amp;K567)</f>
        <v/>
      </c>
      <c r="P567" s="63">
        <f>IF($A567="","",IF(COUNTIFS(예산_원본!$T$5:$T$3004,O567,예산_원본!$B$5:$B$3004,설정!$C$8,예산_원본!$U$5:$U$3004,L567)&gt;0,"Y","N"))</f>
        <v/>
      </c>
      <c r="Q567" s="63">
        <f>IF($A567="","",IF(COUNTIF(집계!$E$7:$E$506,O567)&gt;0,"Y","N"))</f>
        <v/>
      </c>
    </row>
    <row r="568">
      <c r="A568" s="60" t="n">
        <v>2025</v>
      </c>
      <c r="B568" s="60" t="n">
        <v>8</v>
      </c>
      <c r="C568" s="60" t="inlineStr">
        <is>
          <t>1000</t>
        </is>
      </c>
      <c r="D568" s="60" t="n">
        <v>1301</v>
      </c>
      <c r="E568" s="60" t="inlineStr">
        <is>
          <t>인사</t>
        </is>
      </c>
      <c r="F568" s="60" t="n">
        <v>62201000</v>
      </c>
      <c r="G568" s="60" t="inlineStr">
        <is>
          <t>통신비</t>
        </is>
      </c>
      <c r="H568" s="61" t="n">
        <v>771480</v>
      </c>
      <c r="J568" s="63">
        <f>IF($A568="","",IFERROR(INDEX(부서매핑!$C$5:$C$504,MATCH($D568&amp;"",부서매핑!$A$5:$A$504,0)),"미매핑"))</f>
        <v/>
      </c>
      <c r="K568" s="63">
        <f>IF($A568="","",IFERROR(INDEX(계정매핑!$C$5:$C$504,MATCH($F568&amp;"",계정매핑!$A$5:$A$504,0)),"미매핑"))</f>
        <v/>
      </c>
      <c r="L568" s="4">
        <f>IF($A568="","",VALUE($A568&amp;""))</f>
        <v/>
      </c>
      <c r="M568" s="4">
        <f>IF($A568="","",VALUE($B568&amp;""))</f>
        <v/>
      </c>
      <c r="N568" s="64">
        <f>IF($A568="","",$H568*설정!$C$15)</f>
        <v/>
      </c>
      <c r="O568" s="4">
        <f>IF($A568="","",J568&amp;"|"&amp;K568)</f>
        <v/>
      </c>
      <c r="P568" s="63">
        <f>IF($A568="","",IF(COUNTIFS(예산_원본!$T$5:$T$3004,O568,예산_원본!$B$5:$B$3004,설정!$C$8,예산_원본!$U$5:$U$3004,L568)&gt;0,"Y","N"))</f>
        <v/>
      </c>
      <c r="Q568" s="63">
        <f>IF($A568="","",IF(COUNTIF(집계!$E$7:$E$506,O568)&gt;0,"Y","N"))</f>
        <v/>
      </c>
    </row>
    <row r="569">
      <c r="A569" s="60" t="n">
        <v>2025</v>
      </c>
      <c r="B569" s="60" t="n">
        <v>8</v>
      </c>
      <c r="C569" s="60" t="inlineStr">
        <is>
          <t>1000</t>
        </is>
      </c>
      <c r="D569" s="60" t="n">
        <v>1301</v>
      </c>
      <c r="E569" s="60" t="inlineStr">
        <is>
          <t>인사</t>
        </is>
      </c>
      <c r="F569" s="60" t="n">
        <v>62301000</v>
      </c>
      <c r="G569" s="60" t="inlineStr">
        <is>
          <t>소모품비</t>
        </is>
      </c>
      <c r="H569" s="61" t="n">
        <v>778830</v>
      </c>
      <c r="J569" s="63">
        <f>IF($A569="","",IFERROR(INDEX(부서매핑!$C$5:$C$504,MATCH($D569&amp;"",부서매핑!$A$5:$A$504,0)),"미매핑"))</f>
        <v/>
      </c>
      <c r="K569" s="63">
        <f>IF($A569="","",IFERROR(INDEX(계정매핑!$C$5:$C$504,MATCH($F569&amp;"",계정매핑!$A$5:$A$504,0)),"미매핑"))</f>
        <v/>
      </c>
      <c r="L569" s="4">
        <f>IF($A569="","",VALUE($A569&amp;""))</f>
        <v/>
      </c>
      <c r="M569" s="4">
        <f>IF($A569="","",VALUE($B569&amp;""))</f>
        <v/>
      </c>
      <c r="N569" s="64">
        <f>IF($A569="","",$H569*설정!$C$15)</f>
        <v/>
      </c>
      <c r="O569" s="4">
        <f>IF($A569="","",J569&amp;"|"&amp;K569)</f>
        <v/>
      </c>
      <c r="P569" s="63">
        <f>IF($A569="","",IF(COUNTIFS(예산_원본!$T$5:$T$3004,O569,예산_원본!$B$5:$B$3004,설정!$C$8,예산_원본!$U$5:$U$3004,L569)&gt;0,"Y","N"))</f>
        <v/>
      </c>
      <c r="Q569" s="63">
        <f>IF($A569="","",IF(COUNTIF(집계!$E$7:$E$506,O569)&gt;0,"Y","N"))</f>
        <v/>
      </c>
    </row>
    <row r="570">
      <c r="A570" s="60" t="n">
        <v>2025</v>
      </c>
      <c r="B570" s="60" t="n">
        <v>8</v>
      </c>
      <c r="C570" s="60" t="inlineStr">
        <is>
          <t>1000</t>
        </is>
      </c>
      <c r="D570" s="60" t="n">
        <v>1301</v>
      </c>
      <c r="E570" s="60" t="inlineStr">
        <is>
          <t>인사</t>
        </is>
      </c>
      <c r="F570" s="60" t="n">
        <v>62501000</v>
      </c>
      <c r="G570" s="60" t="inlineStr">
        <is>
          <t>회의비</t>
        </is>
      </c>
      <c r="H570" s="61" t="n">
        <v>827640</v>
      </c>
      <c r="J570" s="63">
        <f>IF($A570="","",IFERROR(INDEX(부서매핑!$C$5:$C$504,MATCH($D570&amp;"",부서매핑!$A$5:$A$504,0)),"미매핑"))</f>
        <v/>
      </c>
      <c r="K570" s="63">
        <f>IF($A570="","",IFERROR(INDEX(계정매핑!$C$5:$C$504,MATCH($F570&amp;"",계정매핑!$A$5:$A$504,0)),"미매핑"))</f>
        <v/>
      </c>
      <c r="L570" s="4">
        <f>IF($A570="","",VALUE($A570&amp;""))</f>
        <v/>
      </c>
      <c r="M570" s="4">
        <f>IF($A570="","",VALUE($B570&amp;""))</f>
        <v/>
      </c>
      <c r="N570" s="64">
        <f>IF($A570="","",$H570*설정!$C$15)</f>
        <v/>
      </c>
      <c r="O570" s="4">
        <f>IF($A570="","",J570&amp;"|"&amp;K570)</f>
        <v/>
      </c>
      <c r="P570" s="63">
        <f>IF($A570="","",IF(COUNTIFS(예산_원본!$T$5:$T$3004,O570,예산_원본!$B$5:$B$3004,설정!$C$8,예산_원본!$U$5:$U$3004,L570)&gt;0,"Y","N"))</f>
        <v/>
      </c>
      <c r="Q570" s="63">
        <f>IF($A570="","",IF(COUNTIF(집계!$E$7:$E$506,O570)&gt;0,"Y","N"))</f>
        <v/>
      </c>
    </row>
    <row r="571">
      <c r="A571" s="60" t="n">
        <v>2025</v>
      </c>
      <c r="B571" s="60" t="n">
        <v>8</v>
      </c>
      <c r="C571" s="60" t="inlineStr">
        <is>
          <t>1000</t>
        </is>
      </c>
      <c r="D571" s="60" t="n">
        <v>1301</v>
      </c>
      <c r="E571" s="60" t="inlineStr">
        <is>
          <t>인사</t>
        </is>
      </c>
      <c r="F571" s="60" t="n">
        <v>62601000</v>
      </c>
      <c r="G571" s="60" t="inlineStr">
        <is>
          <t>업무추진비</t>
        </is>
      </c>
      <c r="H571" s="61" t="n">
        <v>1621440</v>
      </c>
      <c r="J571" s="63">
        <f>IF($A571="","",IFERROR(INDEX(부서매핑!$C$5:$C$504,MATCH($D571&amp;"",부서매핑!$A$5:$A$504,0)),"미매핑"))</f>
        <v/>
      </c>
      <c r="K571" s="63">
        <f>IF($A571="","",IFERROR(INDEX(계정매핑!$C$5:$C$504,MATCH($F571&amp;"",계정매핑!$A$5:$A$504,0)),"미매핑"))</f>
        <v/>
      </c>
      <c r="L571" s="4">
        <f>IF($A571="","",VALUE($A571&amp;""))</f>
        <v/>
      </c>
      <c r="M571" s="4">
        <f>IF($A571="","",VALUE($B571&amp;""))</f>
        <v/>
      </c>
      <c r="N571" s="64">
        <f>IF($A571="","",$H571*설정!$C$15)</f>
        <v/>
      </c>
      <c r="O571" s="4">
        <f>IF($A571="","",J571&amp;"|"&amp;K571)</f>
        <v/>
      </c>
      <c r="P571" s="63">
        <f>IF($A571="","",IF(COUNTIFS(예산_원본!$T$5:$T$3004,O571,예산_원본!$B$5:$B$3004,설정!$C$8,예산_원본!$U$5:$U$3004,L571)&gt;0,"Y","N"))</f>
        <v/>
      </c>
      <c r="Q571" s="63">
        <f>IF($A571="","",IF(COUNTIF(집계!$E$7:$E$506,O571)&gt;0,"Y","N"))</f>
        <v/>
      </c>
    </row>
    <row r="572">
      <c r="A572" s="60" t="n">
        <v>2025</v>
      </c>
      <c r="B572" s="60" t="n">
        <v>8</v>
      </c>
      <c r="C572" s="60" t="inlineStr">
        <is>
          <t>1000</t>
        </is>
      </c>
      <c r="D572" s="60" t="n">
        <v>1301</v>
      </c>
      <c r="E572" s="60" t="inlineStr">
        <is>
          <t>인사</t>
        </is>
      </c>
      <c r="F572" s="60" t="n">
        <v>62801000</v>
      </c>
      <c r="G572" s="60" t="inlineStr">
        <is>
          <t>교육훈련비-사내</t>
        </is>
      </c>
      <c r="H572" s="61" t="n">
        <v>11999790</v>
      </c>
      <c r="J572" s="63">
        <f>IF($A572="","",IFERROR(INDEX(부서매핑!$C$5:$C$504,MATCH($D572&amp;"",부서매핑!$A$5:$A$504,0)),"미매핑"))</f>
        <v/>
      </c>
      <c r="K572" s="63">
        <f>IF($A572="","",IFERROR(INDEX(계정매핑!$C$5:$C$504,MATCH($F572&amp;"",계정매핑!$A$5:$A$504,0)),"미매핑"))</f>
        <v/>
      </c>
      <c r="L572" s="4">
        <f>IF($A572="","",VALUE($A572&amp;""))</f>
        <v/>
      </c>
      <c r="M572" s="4">
        <f>IF($A572="","",VALUE($B572&amp;""))</f>
        <v/>
      </c>
      <c r="N572" s="64">
        <f>IF($A572="","",$H572*설정!$C$15)</f>
        <v/>
      </c>
      <c r="O572" s="4">
        <f>IF($A572="","",J572&amp;"|"&amp;K572)</f>
        <v/>
      </c>
      <c r="P572" s="63">
        <f>IF($A572="","",IF(COUNTIFS(예산_원본!$T$5:$T$3004,O572,예산_원본!$B$5:$B$3004,설정!$C$8,예산_원본!$U$5:$U$3004,L572)&gt;0,"Y","N"))</f>
        <v/>
      </c>
      <c r="Q572" s="63">
        <f>IF($A572="","",IF(COUNTIF(집계!$E$7:$E$506,O572)&gt;0,"Y","N"))</f>
        <v/>
      </c>
    </row>
    <row r="573">
      <c r="A573" s="60" t="n">
        <v>2025</v>
      </c>
      <c r="B573" s="60" t="n">
        <v>8</v>
      </c>
      <c r="C573" s="60" t="inlineStr">
        <is>
          <t>1000</t>
        </is>
      </c>
      <c r="D573" s="60" t="n">
        <v>1301</v>
      </c>
      <c r="E573" s="60" t="inlineStr">
        <is>
          <t>인사</t>
        </is>
      </c>
      <c r="F573" s="60" t="n">
        <v>62802000</v>
      </c>
      <c r="G573" s="60" t="inlineStr">
        <is>
          <t>교육훈련비-외부위탁</t>
        </is>
      </c>
      <c r="H573" s="61" t="n">
        <v>19025120</v>
      </c>
      <c r="J573" s="63">
        <f>IF($A573="","",IFERROR(INDEX(부서매핑!$C$5:$C$504,MATCH($D573&amp;"",부서매핑!$A$5:$A$504,0)),"미매핑"))</f>
        <v/>
      </c>
      <c r="K573" s="63">
        <f>IF($A573="","",IFERROR(INDEX(계정매핑!$C$5:$C$504,MATCH($F573&amp;"",계정매핑!$A$5:$A$504,0)),"미매핑"))</f>
        <v/>
      </c>
      <c r="L573" s="4">
        <f>IF($A573="","",VALUE($A573&amp;""))</f>
        <v/>
      </c>
      <c r="M573" s="4">
        <f>IF($A573="","",VALUE($B573&amp;""))</f>
        <v/>
      </c>
      <c r="N573" s="64">
        <f>IF($A573="","",$H573*설정!$C$15)</f>
        <v/>
      </c>
      <c r="O573" s="4">
        <f>IF($A573="","",J573&amp;"|"&amp;K573)</f>
        <v/>
      </c>
      <c r="P573" s="63">
        <f>IF($A573="","",IF(COUNTIFS(예산_원본!$T$5:$T$3004,O573,예산_원본!$B$5:$B$3004,설정!$C$8,예산_원본!$U$5:$U$3004,L573)&gt;0,"Y","N"))</f>
        <v/>
      </c>
      <c r="Q573" s="63">
        <f>IF($A573="","",IF(COUNTIF(집계!$E$7:$E$506,O573)&gt;0,"Y","N"))</f>
        <v/>
      </c>
    </row>
    <row r="574">
      <c r="A574" s="60" t="n">
        <v>2025</v>
      </c>
      <c r="B574" s="60" t="n">
        <v>8</v>
      </c>
      <c r="C574" s="60" t="inlineStr">
        <is>
          <t>1000</t>
        </is>
      </c>
      <c r="D574" s="60" t="n">
        <v>1401</v>
      </c>
      <c r="E574" s="60" t="inlineStr">
        <is>
          <t>상품개발</t>
        </is>
      </c>
      <c r="F574" s="60" t="n">
        <v>62101000</v>
      </c>
      <c r="G574" s="60" t="inlineStr">
        <is>
          <t>여비교통비-국내</t>
        </is>
      </c>
      <c r="H574" s="61" t="n">
        <v>1682290</v>
      </c>
      <c r="J574" s="63">
        <f>IF($A574="","",IFERROR(INDEX(부서매핑!$C$5:$C$504,MATCH($D574&amp;"",부서매핑!$A$5:$A$504,0)),"미매핑"))</f>
        <v/>
      </c>
      <c r="K574" s="63">
        <f>IF($A574="","",IFERROR(INDEX(계정매핑!$C$5:$C$504,MATCH($F574&amp;"",계정매핑!$A$5:$A$504,0)),"미매핑"))</f>
        <v/>
      </c>
      <c r="L574" s="4">
        <f>IF($A574="","",VALUE($A574&amp;""))</f>
        <v/>
      </c>
      <c r="M574" s="4">
        <f>IF($A574="","",VALUE($B574&amp;""))</f>
        <v/>
      </c>
      <c r="N574" s="64">
        <f>IF($A574="","",$H574*설정!$C$15)</f>
        <v/>
      </c>
      <c r="O574" s="4">
        <f>IF($A574="","",J574&amp;"|"&amp;K574)</f>
        <v/>
      </c>
      <c r="P574" s="63">
        <f>IF($A574="","",IF(COUNTIFS(예산_원본!$T$5:$T$3004,O574,예산_원본!$B$5:$B$3004,설정!$C$8,예산_원본!$U$5:$U$3004,L574)&gt;0,"Y","N"))</f>
        <v/>
      </c>
      <c r="Q574" s="63">
        <f>IF($A574="","",IF(COUNTIF(집계!$E$7:$E$506,O574)&gt;0,"Y","N"))</f>
        <v/>
      </c>
    </row>
    <row r="575">
      <c r="A575" s="60" t="n">
        <v>2025</v>
      </c>
      <c r="B575" s="60" t="n">
        <v>8</v>
      </c>
      <c r="C575" s="60" t="inlineStr">
        <is>
          <t>1000</t>
        </is>
      </c>
      <c r="D575" s="60" t="n">
        <v>1401</v>
      </c>
      <c r="E575" s="60" t="inlineStr">
        <is>
          <t>상품개발</t>
        </is>
      </c>
      <c r="F575" s="60" t="n">
        <v>62102000</v>
      </c>
      <c r="G575" s="60" t="inlineStr">
        <is>
          <t>여비교통비-해외</t>
        </is>
      </c>
      <c r="H575" s="61" t="n">
        <v>336740</v>
      </c>
      <c r="J575" s="63">
        <f>IF($A575="","",IFERROR(INDEX(부서매핑!$C$5:$C$504,MATCH($D575&amp;"",부서매핑!$A$5:$A$504,0)),"미매핑"))</f>
        <v/>
      </c>
      <c r="K575" s="63">
        <f>IF($A575="","",IFERROR(INDEX(계정매핑!$C$5:$C$504,MATCH($F575&amp;"",계정매핑!$A$5:$A$504,0)),"미매핑"))</f>
        <v/>
      </c>
      <c r="L575" s="4">
        <f>IF($A575="","",VALUE($A575&amp;""))</f>
        <v/>
      </c>
      <c r="M575" s="4">
        <f>IF($A575="","",VALUE($B575&amp;""))</f>
        <v/>
      </c>
      <c r="N575" s="64">
        <f>IF($A575="","",$H575*설정!$C$15)</f>
        <v/>
      </c>
      <c r="O575" s="4">
        <f>IF($A575="","",J575&amp;"|"&amp;K575)</f>
        <v/>
      </c>
      <c r="P575" s="63">
        <f>IF($A575="","",IF(COUNTIFS(예산_원본!$T$5:$T$3004,O575,예산_원본!$B$5:$B$3004,설정!$C$8,예산_원본!$U$5:$U$3004,L575)&gt;0,"Y","N"))</f>
        <v/>
      </c>
      <c r="Q575" s="63">
        <f>IF($A575="","",IF(COUNTIF(집계!$E$7:$E$506,O575)&gt;0,"Y","N"))</f>
        <v/>
      </c>
    </row>
    <row r="576">
      <c r="A576" s="60" t="n">
        <v>2025</v>
      </c>
      <c r="B576" s="60" t="n">
        <v>8</v>
      </c>
      <c r="C576" s="60" t="inlineStr">
        <is>
          <t>1000</t>
        </is>
      </c>
      <c r="D576" s="60" t="n">
        <v>1401</v>
      </c>
      <c r="E576" s="60" t="inlineStr">
        <is>
          <t>상품개발</t>
        </is>
      </c>
      <c r="F576" s="60" t="n">
        <v>62201000</v>
      </c>
      <c r="G576" s="60" t="inlineStr">
        <is>
          <t>통신비</t>
        </is>
      </c>
      <c r="H576" s="61" t="n">
        <v>529460</v>
      </c>
      <c r="J576" s="63">
        <f>IF($A576="","",IFERROR(INDEX(부서매핑!$C$5:$C$504,MATCH($D576&amp;"",부서매핑!$A$5:$A$504,0)),"미매핑"))</f>
        <v/>
      </c>
      <c r="K576" s="63">
        <f>IF($A576="","",IFERROR(INDEX(계정매핑!$C$5:$C$504,MATCH($F576&amp;"",계정매핑!$A$5:$A$504,0)),"미매핑"))</f>
        <v/>
      </c>
      <c r="L576" s="4">
        <f>IF($A576="","",VALUE($A576&amp;""))</f>
        <v/>
      </c>
      <c r="M576" s="4">
        <f>IF($A576="","",VALUE($B576&amp;""))</f>
        <v/>
      </c>
      <c r="N576" s="64">
        <f>IF($A576="","",$H576*설정!$C$15)</f>
        <v/>
      </c>
      <c r="O576" s="4">
        <f>IF($A576="","",J576&amp;"|"&amp;K576)</f>
        <v/>
      </c>
      <c r="P576" s="63">
        <f>IF($A576="","",IF(COUNTIFS(예산_원본!$T$5:$T$3004,O576,예산_원본!$B$5:$B$3004,설정!$C$8,예산_원본!$U$5:$U$3004,L576)&gt;0,"Y","N"))</f>
        <v/>
      </c>
      <c r="Q576" s="63">
        <f>IF($A576="","",IF(COUNTIF(집계!$E$7:$E$506,O576)&gt;0,"Y","N"))</f>
        <v/>
      </c>
    </row>
    <row r="577">
      <c r="A577" s="60" t="n">
        <v>2025</v>
      </c>
      <c r="B577" s="60" t="n">
        <v>8</v>
      </c>
      <c r="C577" s="60" t="inlineStr">
        <is>
          <t>1000</t>
        </is>
      </c>
      <c r="D577" s="60" t="n">
        <v>1401</v>
      </c>
      <c r="E577" s="60" t="inlineStr">
        <is>
          <t>상품개발</t>
        </is>
      </c>
      <c r="F577" s="60" t="n">
        <v>62301000</v>
      </c>
      <c r="G577" s="60" t="inlineStr">
        <is>
          <t>소모품비</t>
        </is>
      </c>
      <c r="H577" s="61" t="n">
        <v>386900</v>
      </c>
      <c r="J577" s="63">
        <f>IF($A577="","",IFERROR(INDEX(부서매핑!$C$5:$C$504,MATCH($D577&amp;"",부서매핑!$A$5:$A$504,0)),"미매핑"))</f>
        <v/>
      </c>
      <c r="K577" s="63">
        <f>IF($A577="","",IFERROR(INDEX(계정매핑!$C$5:$C$504,MATCH($F577&amp;"",계정매핑!$A$5:$A$504,0)),"미매핑"))</f>
        <v/>
      </c>
      <c r="L577" s="4">
        <f>IF($A577="","",VALUE($A577&amp;""))</f>
        <v/>
      </c>
      <c r="M577" s="4">
        <f>IF($A577="","",VALUE($B577&amp;""))</f>
        <v/>
      </c>
      <c r="N577" s="64">
        <f>IF($A577="","",$H577*설정!$C$15)</f>
        <v/>
      </c>
      <c r="O577" s="4">
        <f>IF($A577="","",J577&amp;"|"&amp;K577)</f>
        <v/>
      </c>
      <c r="P577" s="63">
        <f>IF($A577="","",IF(COUNTIFS(예산_원본!$T$5:$T$3004,O577,예산_원본!$B$5:$B$3004,설정!$C$8,예산_원본!$U$5:$U$3004,L577)&gt;0,"Y","N"))</f>
        <v/>
      </c>
      <c r="Q577" s="63">
        <f>IF($A577="","",IF(COUNTIF(집계!$E$7:$E$506,O577)&gt;0,"Y","N"))</f>
        <v/>
      </c>
    </row>
    <row r="578">
      <c r="A578" s="60" t="n">
        <v>2025</v>
      </c>
      <c r="B578" s="60" t="n">
        <v>8</v>
      </c>
      <c r="C578" s="60" t="inlineStr">
        <is>
          <t>1000</t>
        </is>
      </c>
      <c r="D578" s="60" t="n">
        <v>1401</v>
      </c>
      <c r="E578" s="60" t="inlineStr">
        <is>
          <t>상품개발</t>
        </is>
      </c>
      <c r="F578" s="60" t="n">
        <v>62401000</v>
      </c>
      <c r="G578" s="60" t="inlineStr">
        <is>
          <t>도서인쇄비</t>
        </is>
      </c>
      <c r="H578" s="61" t="n">
        <v>878290</v>
      </c>
      <c r="J578" s="63">
        <f>IF($A578="","",IFERROR(INDEX(부서매핑!$C$5:$C$504,MATCH($D578&amp;"",부서매핑!$A$5:$A$504,0)),"미매핑"))</f>
        <v/>
      </c>
      <c r="K578" s="63">
        <f>IF($A578="","",IFERROR(INDEX(계정매핑!$C$5:$C$504,MATCH($F578&amp;"",계정매핑!$A$5:$A$504,0)),"미매핑"))</f>
        <v/>
      </c>
      <c r="L578" s="4">
        <f>IF($A578="","",VALUE($A578&amp;""))</f>
        <v/>
      </c>
      <c r="M578" s="4">
        <f>IF($A578="","",VALUE($B578&amp;""))</f>
        <v/>
      </c>
      <c r="N578" s="64">
        <f>IF($A578="","",$H578*설정!$C$15)</f>
        <v/>
      </c>
      <c r="O578" s="4">
        <f>IF($A578="","",J578&amp;"|"&amp;K578)</f>
        <v/>
      </c>
      <c r="P578" s="63">
        <f>IF($A578="","",IF(COUNTIFS(예산_원본!$T$5:$T$3004,O578,예산_원본!$B$5:$B$3004,설정!$C$8,예산_원본!$U$5:$U$3004,L578)&gt;0,"Y","N"))</f>
        <v/>
      </c>
      <c r="Q578" s="63">
        <f>IF($A578="","",IF(COUNTIF(집계!$E$7:$E$506,O578)&gt;0,"Y","N"))</f>
        <v/>
      </c>
    </row>
    <row r="579">
      <c r="A579" s="60" t="n">
        <v>2025</v>
      </c>
      <c r="B579" s="60" t="n">
        <v>8</v>
      </c>
      <c r="C579" s="60" t="inlineStr">
        <is>
          <t>1000</t>
        </is>
      </c>
      <c r="D579" s="60" t="n">
        <v>1401</v>
      </c>
      <c r="E579" s="60" t="inlineStr">
        <is>
          <t>상품개발</t>
        </is>
      </c>
      <c r="F579" s="60" t="n">
        <v>62501000</v>
      </c>
      <c r="G579" s="60" t="inlineStr">
        <is>
          <t>회의비</t>
        </is>
      </c>
      <c r="H579" s="61" t="n">
        <v>559970</v>
      </c>
      <c r="J579" s="63">
        <f>IF($A579="","",IFERROR(INDEX(부서매핑!$C$5:$C$504,MATCH($D579&amp;"",부서매핑!$A$5:$A$504,0)),"미매핑"))</f>
        <v/>
      </c>
      <c r="K579" s="63">
        <f>IF($A579="","",IFERROR(INDEX(계정매핑!$C$5:$C$504,MATCH($F579&amp;"",계정매핑!$A$5:$A$504,0)),"미매핑"))</f>
        <v/>
      </c>
      <c r="L579" s="4">
        <f>IF($A579="","",VALUE($A579&amp;""))</f>
        <v/>
      </c>
      <c r="M579" s="4">
        <f>IF($A579="","",VALUE($B579&amp;""))</f>
        <v/>
      </c>
      <c r="N579" s="64">
        <f>IF($A579="","",$H579*설정!$C$15)</f>
        <v/>
      </c>
      <c r="O579" s="4">
        <f>IF($A579="","",J579&amp;"|"&amp;K579)</f>
        <v/>
      </c>
      <c r="P579" s="63">
        <f>IF($A579="","",IF(COUNTIFS(예산_원본!$T$5:$T$3004,O579,예산_원본!$B$5:$B$3004,설정!$C$8,예산_원본!$U$5:$U$3004,L579)&gt;0,"Y","N"))</f>
        <v/>
      </c>
      <c r="Q579" s="63">
        <f>IF($A579="","",IF(COUNTIF(집계!$E$7:$E$506,O579)&gt;0,"Y","N"))</f>
        <v/>
      </c>
    </row>
    <row r="580">
      <c r="A580" s="60" t="n">
        <v>2025</v>
      </c>
      <c r="B580" s="60" t="n">
        <v>8</v>
      </c>
      <c r="C580" s="60" t="inlineStr">
        <is>
          <t>1000</t>
        </is>
      </c>
      <c r="D580" s="60" t="n">
        <v>1401</v>
      </c>
      <c r="E580" s="60" t="inlineStr">
        <is>
          <t>상품개발</t>
        </is>
      </c>
      <c r="F580" s="60" t="n">
        <v>62901000</v>
      </c>
      <c r="G580" s="60" t="inlineStr">
        <is>
          <t>지급수수료-컨설팅</t>
        </is>
      </c>
      <c r="H580" s="61" t="n">
        <v>18443780</v>
      </c>
      <c r="J580" s="63">
        <f>IF($A580="","",IFERROR(INDEX(부서매핑!$C$5:$C$504,MATCH($D580&amp;"",부서매핑!$A$5:$A$504,0)),"미매핑"))</f>
        <v/>
      </c>
      <c r="K580" s="63">
        <f>IF($A580="","",IFERROR(INDEX(계정매핑!$C$5:$C$504,MATCH($F580&amp;"",계정매핑!$A$5:$A$504,0)),"미매핑"))</f>
        <v/>
      </c>
      <c r="L580" s="4">
        <f>IF($A580="","",VALUE($A580&amp;""))</f>
        <v/>
      </c>
      <c r="M580" s="4">
        <f>IF($A580="","",VALUE($B580&amp;""))</f>
        <v/>
      </c>
      <c r="N580" s="64">
        <f>IF($A580="","",$H580*설정!$C$15)</f>
        <v/>
      </c>
      <c r="O580" s="4">
        <f>IF($A580="","",J580&amp;"|"&amp;K580)</f>
        <v/>
      </c>
      <c r="P580" s="63">
        <f>IF($A580="","",IF(COUNTIFS(예산_원본!$T$5:$T$3004,O580,예산_원본!$B$5:$B$3004,설정!$C$8,예산_원본!$U$5:$U$3004,L580)&gt;0,"Y","N"))</f>
        <v/>
      </c>
      <c r="Q580" s="63">
        <f>IF($A580="","",IF(COUNTIF(집계!$E$7:$E$506,O580)&gt;0,"Y","N"))</f>
        <v/>
      </c>
    </row>
    <row r="581">
      <c r="A581" s="60" t="n">
        <v>2025</v>
      </c>
      <c r="B581" s="60" t="n">
        <v>8</v>
      </c>
      <c r="C581" s="60" t="inlineStr">
        <is>
          <t>1000</t>
        </is>
      </c>
      <c r="D581" s="60" t="n">
        <v>1401</v>
      </c>
      <c r="E581" s="60" t="inlineStr">
        <is>
          <t>상품개발</t>
        </is>
      </c>
      <c r="F581" s="60" t="n">
        <v>62902000</v>
      </c>
      <c r="G581" s="60" t="inlineStr">
        <is>
          <t>지급수수료-기타</t>
        </is>
      </c>
      <c r="H581" s="61" t="n">
        <v>7822350</v>
      </c>
      <c r="J581" s="63">
        <f>IF($A581="","",IFERROR(INDEX(부서매핑!$C$5:$C$504,MATCH($D581&amp;"",부서매핑!$A$5:$A$504,0)),"미매핑"))</f>
        <v/>
      </c>
      <c r="K581" s="63">
        <f>IF($A581="","",IFERROR(INDEX(계정매핑!$C$5:$C$504,MATCH($F581&amp;"",계정매핑!$A$5:$A$504,0)),"미매핑"))</f>
        <v/>
      </c>
      <c r="L581" s="4">
        <f>IF($A581="","",VALUE($A581&amp;""))</f>
        <v/>
      </c>
      <c r="M581" s="4">
        <f>IF($A581="","",VALUE($B581&amp;""))</f>
        <v/>
      </c>
      <c r="N581" s="64">
        <f>IF($A581="","",$H581*설정!$C$15)</f>
        <v/>
      </c>
      <c r="O581" s="4">
        <f>IF($A581="","",J581&amp;"|"&amp;K581)</f>
        <v/>
      </c>
      <c r="P581" s="63">
        <f>IF($A581="","",IF(COUNTIFS(예산_원본!$T$5:$T$3004,O581,예산_원본!$B$5:$B$3004,설정!$C$8,예산_원본!$U$5:$U$3004,L581)&gt;0,"Y","N"))</f>
        <v/>
      </c>
      <c r="Q581" s="63">
        <f>IF($A581="","",IF(COUNTIF(집계!$E$7:$E$506,O581)&gt;0,"Y","N"))</f>
        <v/>
      </c>
    </row>
    <row r="582">
      <c r="A582" s="60" t="n">
        <v>2025</v>
      </c>
      <c r="B582" s="60" t="n">
        <v>8</v>
      </c>
      <c r="C582" s="60" t="inlineStr">
        <is>
          <t>1000</t>
        </is>
      </c>
      <c r="D582" s="60" t="n">
        <v>1501</v>
      </c>
      <c r="E582" s="60" t="inlineStr">
        <is>
          <t>마케팅전략</t>
        </is>
      </c>
      <c r="F582" s="60" t="n">
        <v>62101000</v>
      </c>
      <c r="G582" s="60" t="inlineStr">
        <is>
          <t>여비교통비-국내</t>
        </is>
      </c>
      <c r="H582" s="61" t="n">
        <v>1346860</v>
      </c>
      <c r="J582" s="63">
        <f>IF($A582="","",IFERROR(INDEX(부서매핑!$C$5:$C$504,MATCH($D582&amp;"",부서매핑!$A$5:$A$504,0)),"미매핑"))</f>
        <v/>
      </c>
      <c r="K582" s="63">
        <f>IF($A582="","",IFERROR(INDEX(계정매핑!$C$5:$C$504,MATCH($F582&amp;"",계정매핑!$A$5:$A$504,0)),"미매핑"))</f>
        <v/>
      </c>
      <c r="L582" s="4">
        <f>IF($A582="","",VALUE($A582&amp;""))</f>
        <v/>
      </c>
      <c r="M582" s="4">
        <f>IF($A582="","",VALUE($B582&amp;""))</f>
        <v/>
      </c>
      <c r="N582" s="64">
        <f>IF($A582="","",$H582*설정!$C$15)</f>
        <v/>
      </c>
      <c r="O582" s="4">
        <f>IF($A582="","",J582&amp;"|"&amp;K582)</f>
        <v/>
      </c>
      <c r="P582" s="63">
        <f>IF($A582="","",IF(COUNTIFS(예산_원본!$T$5:$T$3004,O582,예산_원본!$B$5:$B$3004,설정!$C$8,예산_원본!$U$5:$U$3004,L582)&gt;0,"Y","N"))</f>
        <v/>
      </c>
      <c r="Q582" s="63">
        <f>IF($A582="","",IF(COUNTIF(집계!$E$7:$E$506,O582)&gt;0,"Y","N"))</f>
        <v/>
      </c>
    </row>
    <row r="583">
      <c r="A583" s="60" t="n">
        <v>2025</v>
      </c>
      <c r="B583" s="60" t="n">
        <v>8</v>
      </c>
      <c r="C583" s="60" t="inlineStr">
        <is>
          <t>1000</t>
        </is>
      </c>
      <c r="D583" s="60" t="n">
        <v>1501</v>
      </c>
      <c r="E583" s="60" t="inlineStr">
        <is>
          <t>마케팅전략</t>
        </is>
      </c>
      <c r="F583" s="60" t="n">
        <v>62102000</v>
      </c>
      <c r="G583" s="60" t="inlineStr">
        <is>
          <t>여비교통비-해외</t>
        </is>
      </c>
      <c r="H583" s="61" t="n">
        <v>250080</v>
      </c>
      <c r="J583" s="63">
        <f>IF($A583="","",IFERROR(INDEX(부서매핑!$C$5:$C$504,MATCH($D583&amp;"",부서매핑!$A$5:$A$504,0)),"미매핑"))</f>
        <v/>
      </c>
      <c r="K583" s="63">
        <f>IF($A583="","",IFERROR(INDEX(계정매핑!$C$5:$C$504,MATCH($F583&amp;"",계정매핑!$A$5:$A$504,0)),"미매핑"))</f>
        <v/>
      </c>
      <c r="L583" s="4">
        <f>IF($A583="","",VALUE($A583&amp;""))</f>
        <v/>
      </c>
      <c r="M583" s="4">
        <f>IF($A583="","",VALUE($B583&amp;""))</f>
        <v/>
      </c>
      <c r="N583" s="64">
        <f>IF($A583="","",$H583*설정!$C$15)</f>
        <v/>
      </c>
      <c r="O583" s="4">
        <f>IF($A583="","",J583&amp;"|"&amp;K583)</f>
        <v/>
      </c>
      <c r="P583" s="63">
        <f>IF($A583="","",IF(COUNTIFS(예산_원본!$T$5:$T$3004,O583,예산_원본!$B$5:$B$3004,설정!$C$8,예산_원본!$U$5:$U$3004,L583)&gt;0,"Y","N"))</f>
        <v/>
      </c>
      <c r="Q583" s="63">
        <f>IF($A583="","",IF(COUNTIF(집계!$E$7:$E$506,O583)&gt;0,"Y","N"))</f>
        <v/>
      </c>
    </row>
    <row r="584">
      <c r="A584" s="60" t="n">
        <v>2025</v>
      </c>
      <c r="B584" s="60" t="n">
        <v>8</v>
      </c>
      <c r="C584" s="60" t="inlineStr">
        <is>
          <t>1000</t>
        </is>
      </c>
      <c r="D584" s="60" t="n">
        <v>1501</v>
      </c>
      <c r="E584" s="60" t="inlineStr">
        <is>
          <t>마케팅전략</t>
        </is>
      </c>
      <c r="F584" s="60" t="n">
        <v>62201000</v>
      </c>
      <c r="G584" s="60" t="inlineStr">
        <is>
          <t>통신비</t>
        </is>
      </c>
      <c r="H584" s="61" t="n">
        <v>680550</v>
      </c>
      <c r="J584" s="63">
        <f>IF($A584="","",IFERROR(INDEX(부서매핑!$C$5:$C$504,MATCH($D584&amp;"",부서매핑!$A$5:$A$504,0)),"미매핑"))</f>
        <v/>
      </c>
      <c r="K584" s="63">
        <f>IF($A584="","",IFERROR(INDEX(계정매핑!$C$5:$C$504,MATCH($F584&amp;"",계정매핑!$A$5:$A$504,0)),"미매핑"))</f>
        <v/>
      </c>
      <c r="L584" s="4">
        <f>IF($A584="","",VALUE($A584&amp;""))</f>
        <v/>
      </c>
      <c r="M584" s="4">
        <f>IF($A584="","",VALUE($B584&amp;""))</f>
        <v/>
      </c>
      <c r="N584" s="64">
        <f>IF($A584="","",$H584*설정!$C$15)</f>
        <v/>
      </c>
      <c r="O584" s="4">
        <f>IF($A584="","",J584&amp;"|"&amp;K584)</f>
        <v/>
      </c>
      <c r="P584" s="63">
        <f>IF($A584="","",IF(COUNTIFS(예산_원본!$T$5:$T$3004,O584,예산_원본!$B$5:$B$3004,설정!$C$8,예산_원본!$U$5:$U$3004,L584)&gt;0,"Y","N"))</f>
        <v/>
      </c>
      <c r="Q584" s="63">
        <f>IF($A584="","",IF(COUNTIF(집계!$E$7:$E$506,O584)&gt;0,"Y","N"))</f>
        <v/>
      </c>
    </row>
    <row r="585">
      <c r="A585" s="60" t="n">
        <v>2025</v>
      </c>
      <c r="B585" s="60" t="n">
        <v>8</v>
      </c>
      <c r="C585" s="60" t="inlineStr">
        <is>
          <t>1000</t>
        </is>
      </c>
      <c r="D585" s="60" t="n">
        <v>1501</v>
      </c>
      <c r="E585" s="60" t="inlineStr">
        <is>
          <t>마케팅전략</t>
        </is>
      </c>
      <c r="F585" s="60" t="n">
        <v>62301000</v>
      </c>
      <c r="G585" s="60" t="inlineStr">
        <is>
          <t>소모품비</t>
        </is>
      </c>
      <c r="H585" s="61" t="n">
        <v>405570</v>
      </c>
      <c r="J585" s="63">
        <f>IF($A585="","",IFERROR(INDEX(부서매핑!$C$5:$C$504,MATCH($D585&amp;"",부서매핑!$A$5:$A$504,0)),"미매핑"))</f>
        <v/>
      </c>
      <c r="K585" s="63">
        <f>IF($A585="","",IFERROR(INDEX(계정매핑!$C$5:$C$504,MATCH($F585&amp;"",계정매핑!$A$5:$A$504,0)),"미매핑"))</f>
        <v/>
      </c>
      <c r="L585" s="4">
        <f>IF($A585="","",VALUE($A585&amp;""))</f>
        <v/>
      </c>
      <c r="M585" s="4">
        <f>IF($A585="","",VALUE($B585&amp;""))</f>
        <v/>
      </c>
      <c r="N585" s="64">
        <f>IF($A585="","",$H585*설정!$C$15)</f>
        <v/>
      </c>
      <c r="O585" s="4">
        <f>IF($A585="","",J585&amp;"|"&amp;K585)</f>
        <v/>
      </c>
      <c r="P585" s="63">
        <f>IF($A585="","",IF(COUNTIFS(예산_원본!$T$5:$T$3004,O585,예산_원본!$B$5:$B$3004,설정!$C$8,예산_원본!$U$5:$U$3004,L585)&gt;0,"Y","N"))</f>
        <v/>
      </c>
      <c r="Q585" s="63">
        <f>IF($A585="","",IF(COUNTIF(집계!$E$7:$E$506,O585)&gt;0,"Y","N"))</f>
        <v/>
      </c>
    </row>
    <row r="586">
      <c r="A586" s="60" t="n">
        <v>2025</v>
      </c>
      <c r="B586" s="60" t="n">
        <v>8</v>
      </c>
      <c r="C586" s="60" t="inlineStr">
        <is>
          <t>1000</t>
        </is>
      </c>
      <c r="D586" s="60" t="n">
        <v>1501</v>
      </c>
      <c r="E586" s="60" t="inlineStr">
        <is>
          <t>마케팅전략</t>
        </is>
      </c>
      <c r="F586" s="60" t="n">
        <v>62401000</v>
      </c>
      <c r="G586" s="60" t="inlineStr">
        <is>
          <t>도서인쇄비</t>
        </is>
      </c>
      <c r="H586" s="61" t="n">
        <v>3813020</v>
      </c>
      <c r="J586" s="63">
        <f>IF($A586="","",IFERROR(INDEX(부서매핑!$C$5:$C$504,MATCH($D586&amp;"",부서매핑!$A$5:$A$504,0)),"미매핑"))</f>
        <v/>
      </c>
      <c r="K586" s="63">
        <f>IF($A586="","",IFERROR(INDEX(계정매핑!$C$5:$C$504,MATCH($F586&amp;"",계정매핑!$A$5:$A$504,0)),"미매핑"))</f>
        <v/>
      </c>
      <c r="L586" s="4">
        <f>IF($A586="","",VALUE($A586&amp;""))</f>
        <v/>
      </c>
      <c r="M586" s="4">
        <f>IF($A586="","",VALUE($B586&amp;""))</f>
        <v/>
      </c>
      <c r="N586" s="64">
        <f>IF($A586="","",$H586*설정!$C$15)</f>
        <v/>
      </c>
      <c r="O586" s="4">
        <f>IF($A586="","",J586&amp;"|"&amp;K586)</f>
        <v/>
      </c>
      <c r="P586" s="63">
        <f>IF($A586="","",IF(COUNTIFS(예산_원본!$T$5:$T$3004,O586,예산_원본!$B$5:$B$3004,설정!$C$8,예산_원본!$U$5:$U$3004,L586)&gt;0,"Y","N"))</f>
        <v/>
      </c>
      <c r="Q586" s="63">
        <f>IF($A586="","",IF(COUNTIF(집계!$E$7:$E$506,O586)&gt;0,"Y","N"))</f>
        <v/>
      </c>
    </row>
    <row r="587">
      <c r="A587" s="60" t="n">
        <v>2025</v>
      </c>
      <c r="B587" s="60" t="n">
        <v>8</v>
      </c>
      <c r="C587" s="60" t="inlineStr">
        <is>
          <t>1000</t>
        </is>
      </c>
      <c r="D587" s="60" t="n">
        <v>1501</v>
      </c>
      <c r="E587" s="60" t="inlineStr">
        <is>
          <t>마케팅전략</t>
        </is>
      </c>
      <c r="F587" s="60" t="n">
        <v>62501000</v>
      </c>
      <c r="G587" s="60" t="inlineStr">
        <is>
          <t>회의비</t>
        </is>
      </c>
      <c r="H587" s="61" t="n">
        <v>671330</v>
      </c>
      <c r="J587" s="63">
        <f>IF($A587="","",IFERROR(INDEX(부서매핑!$C$5:$C$504,MATCH($D587&amp;"",부서매핑!$A$5:$A$504,0)),"미매핑"))</f>
        <v/>
      </c>
      <c r="K587" s="63">
        <f>IF($A587="","",IFERROR(INDEX(계정매핑!$C$5:$C$504,MATCH($F587&amp;"",계정매핑!$A$5:$A$504,0)),"미매핑"))</f>
        <v/>
      </c>
      <c r="L587" s="4">
        <f>IF($A587="","",VALUE($A587&amp;""))</f>
        <v/>
      </c>
      <c r="M587" s="4">
        <f>IF($A587="","",VALUE($B587&amp;""))</f>
        <v/>
      </c>
      <c r="N587" s="64">
        <f>IF($A587="","",$H587*설정!$C$15)</f>
        <v/>
      </c>
      <c r="O587" s="4">
        <f>IF($A587="","",J587&amp;"|"&amp;K587)</f>
        <v/>
      </c>
      <c r="P587" s="63">
        <f>IF($A587="","",IF(COUNTIFS(예산_원본!$T$5:$T$3004,O587,예산_원본!$B$5:$B$3004,설정!$C$8,예산_원본!$U$5:$U$3004,L587)&gt;0,"Y","N"))</f>
        <v/>
      </c>
      <c r="Q587" s="63">
        <f>IF($A587="","",IF(COUNTIF(집계!$E$7:$E$506,O587)&gt;0,"Y","N"))</f>
        <v/>
      </c>
    </row>
    <row r="588">
      <c r="A588" s="60" t="n">
        <v>2025</v>
      </c>
      <c r="B588" s="60" t="n">
        <v>8</v>
      </c>
      <c r="C588" s="60" t="inlineStr">
        <is>
          <t>1000</t>
        </is>
      </c>
      <c r="D588" s="60" t="n">
        <v>1501</v>
      </c>
      <c r="E588" s="60" t="inlineStr">
        <is>
          <t>마케팅전략</t>
        </is>
      </c>
      <c r="F588" s="60" t="n">
        <v>62601000</v>
      </c>
      <c r="G588" s="60" t="inlineStr">
        <is>
          <t>업무추진비</t>
        </is>
      </c>
      <c r="H588" s="61" t="n">
        <v>1561180</v>
      </c>
      <c r="J588" s="63">
        <f>IF($A588="","",IFERROR(INDEX(부서매핑!$C$5:$C$504,MATCH($D588&amp;"",부서매핑!$A$5:$A$504,0)),"미매핑"))</f>
        <v/>
      </c>
      <c r="K588" s="63">
        <f>IF($A588="","",IFERROR(INDEX(계정매핑!$C$5:$C$504,MATCH($F588&amp;"",계정매핑!$A$5:$A$504,0)),"미매핑"))</f>
        <v/>
      </c>
      <c r="L588" s="4">
        <f>IF($A588="","",VALUE($A588&amp;""))</f>
        <v/>
      </c>
      <c r="M588" s="4">
        <f>IF($A588="","",VALUE($B588&amp;""))</f>
        <v/>
      </c>
      <c r="N588" s="64">
        <f>IF($A588="","",$H588*설정!$C$15)</f>
        <v/>
      </c>
      <c r="O588" s="4">
        <f>IF($A588="","",J588&amp;"|"&amp;K588)</f>
        <v/>
      </c>
      <c r="P588" s="63">
        <f>IF($A588="","",IF(COUNTIFS(예산_원본!$T$5:$T$3004,O588,예산_원본!$B$5:$B$3004,설정!$C$8,예산_원본!$U$5:$U$3004,L588)&gt;0,"Y","N"))</f>
        <v/>
      </c>
      <c r="Q588" s="63">
        <f>IF($A588="","",IF(COUNTIF(집계!$E$7:$E$506,O588)&gt;0,"Y","N"))</f>
        <v/>
      </c>
    </row>
    <row r="589">
      <c r="A589" s="60" t="n">
        <v>2025</v>
      </c>
      <c r="B589" s="60" t="n">
        <v>8</v>
      </c>
      <c r="C589" s="60" t="inlineStr">
        <is>
          <t>1000</t>
        </is>
      </c>
      <c r="D589" s="60" t="n">
        <v>1501</v>
      </c>
      <c r="E589" s="60" t="inlineStr">
        <is>
          <t>마케팅전략</t>
        </is>
      </c>
      <c r="F589" s="60" t="n">
        <v>62701000</v>
      </c>
      <c r="G589" s="60" t="inlineStr">
        <is>
          <t>광고선전비</t>
        </is>
      </c>
      <c r="H589" s="61" t="n">
        <v>69878980</v>
      </c>
      <c r="J589" s="63">
        <f>IF($A589="","",IFERROR(INDEX(부서매핑!$C$5:$C$504,MATCH($D589&amp;"",부서매핑!$A$5:$A$504,0)),"미매핑"))</f>
        <v/>
      </c>
      <c r="K589" s="63">
        <f>IF($A589="","",IFERROR(INDEX(계정매핑!$C$5:$C$504,MATCH($F589&amp;"",계정매핑!$A$5:$A$504,0)),"미매핑"))</f>
        <v/>
      </c>
      <c r="L589" s="4">
        <f>IF($A589="","",VALUE($A589&amp;""))</f>
        <v/>
      </c>
      <c r="M589" s="4">
        <f>IF($A589="","",VALUE($B589&amp;""))</f>
        <v/>
      </c>
      <c r="N589" s="64">
        <f>IF($A589="","",$H589*설정!$C$15)</f>
        <v/>
      </c>
      <c r="O589" s="4">
        <f>IF($A589="","",J589&amp;"|"&amp;K589)</f>
        <v/>
      </c>
      <c r="P589" s="63">
        <f>IF($A589="","",IF(COUNTIFS(예산_원본!$T$5:$T$3004,O589,예산_원본!$B$5:$B$3004,설정!$C$8,예산_원본!$U$5:$U$3004,L589)&gt;0,"Y","N"))</f>
        <v/>
      </c>
      <c r="Q589" s="63">
        <f>IF($A589="","",IF(COUNTIF(집계!$E$7:$E$506,O589)&gt;0,"Y","N"))</f>
        <v/>
      </c>
    </row>
    <row r="590">
      <c r="A590" s="60" t="n">
        <v>2025</v>
      </c>
      <c r="B590" s="60" t="n">
        <v>8</v>
      </c>
      <c r="C590" s="60" t="inlineStr">
        <is>
          <t>1000</t>
        </is>
      </c>
      <c r="D590" s="60" t="n">
        <v>1502</v>
      </c>
      <c r="E590" s="60" t="inlineStr">
        <is>
          <t>디지털마케팅</t>
        </is>
      </c>
      <c r="F590" s="60" t="n">
        <v>62101000</v>
      </c>
      <c r="G590" s="60" t="inlineStr">
        <is>
          <t>여비교통비-국내</t>
        </is>
      </c>
      <c r="H590" s="61" t="n">
        <v>949880</v>
      </c>
      <c r="J590" s="63">
        <f>IF($A590="","",IFERROR(INDEX(부서매핑!$C$5:$C$504,MATCH($D590&amp;"",부서매핑!$A$5:$A$504,0)),"미매핑"))</f>
        <v/>
      </c>
      <c r="K590" s="63">
        <f>IF($A590="","",IFERROR(INDEX(계정매핑!$C$5:$C$504,MATCH($F590&amp;"",계정매핑!$A$5:$A$504,0)),"미매핑"))</f>
        <v/>
      </c>
      <c r="L590" s="4">
        <f>IF($A590="","",VALUE($A590&amp;""))</f>
        <v/>
      </c>
      <c r="M590" s="4">
        <f>IF($A590="","",VALUE($B590&amp;""))</f>
        <v/>
      </c>
      <c r="N590" s="64">
        <f>IF($A590="","",$H590*설정!$C$15)</f>
        <v/>
      </c>
      <c r="O590" s="4">
        <f>IF($A590="","",J590&amp;"|"&amp;K590)</f>
        <v/>
      </c>
      <c r="P590" s="63">
        <f>IF($A590="","",IF(COUNTIFS(예산_원본!$T$5:$T$3004,O590,예산_원본!$B$5:$B$3004,설정!$C$8,예산_원본!$U$5:$U$3004,L590)&gt;0,"Y","N"))</f>
        <v/>
      </c>
      <c r="Q590" s="63">
        <f>IF($A590="","",IF(COUNTIF(집계!$E$7:$E$506,O590)&gt;0,"Y","N"))</f>
        <v/>
      </c>
    </row>
    <row r="591">
      <c r="A591" s="60" t="n">
        <v>2025</v>
      </c>
      <c r="B591" s="60" t="n">
        <v>8</v>
      </c>
      <c r="C591" s="60" t="inlineStr">
        <is>
          <t>1000</t>
        </is>
      </c>
      <c r="D591" s="60" t="n">
        <v>1502</v>
      </c>
      <c r="E591" s="60" t="inlineStr">
        <is>
          <t>디지털마케팅</t>
        </is>
      </c>
      <c r="F591" s="60" t="n">
        <v>62102000</v>
      </c>
      <c r="G591" s="60" t="inlineStr">
        <is>
          <t>여비교통비-해외</t>
        </is>
      </c>
      <c r="H591" s="61" t="n">
        <v>182810</v>
      </c>
      <c r="J591" s="63">
        <f>IF($A591="","",IFERROR(INDEX(부서매핑!$C$5:$C$504,MATCH($D591&amp;"",부서매핑!$A$5:$A$504,0)),"미매핑"))</f>
        <v/>
      </c>
      <c r="K591" s="63">
        <f>IF($A591="","",IFERROR(INDEX(계정매핑!$C$5:$C$504,MATCH($F591&amp;"",계정매핑!$A$5:$A$504,0)),"미매핑"))</f>
        <v/>
      </c>
      <c r="L591" s="4">
        <f>IF($A591="","",VALUE($A591&amp;""))</f>
        <v/>
      </c>
      <c r="M591" s="4">
        <f>IF($A591="","",VALUE($B591&amp;""))</f>
        <v/>
      </c>
      <c r="N591" s="64">
        <f>IF($A591="","",$H591*설정!$C$15)</f>
        <v/>
      </c>
      <c r="O591" s="4">
        <f>IF($A591="","",J591&amp;"|"&amp;K591)</f>
        <v/>
      </c>
      <c r="P591" s="63">
        <f>IF($A591="","",IF(COUNTIFS(예산_원본!$T$5:$T$3004,O591,예산_원본!$B$5:$B$3004,설정!$C$8,예산_원본!$U$5:$U$3004,L591)&gt;0,"Y","N"))</f>
        <v/>
      </c>
      <c r="Q591" s="63">
        <f>IF($A591="","",IF(COUNTIF(집계!$E$7:$E$506,O591)&gt;0,"Y","N"))</f>
        <v/>
      </c>
    </row>
    <row r="592">
      <c r="A592" s="60" t="n">
        <v>2025</v>
      </c>
      <c r="B592" s="60" t="n">
        <v>8</v>
      </c>
      <c r="C592" s="60" t="inlineStr">
        <is>
          <t>1000</t>
        </is>
      </c>
      <c r="D592" s="60" t="n">
        <v>1502</v>
      </c>
      <c r="E592" s="60" t="inlineStr">
        <is>
          <t>디지털마케팅</t>
        </is>
      </c>
      <c r="F592" s="60" t="n">
        <v>62201000</v>
      </c>
      <c r="G592" s="60" t="inlineStr">
        <is>
          <t>통신비</t>
        </is>
      </c>
      <c r="H592" s="61" t="n">
        <v>399300</v>
      </c>
      <c r="J592" s="63">
        <f>IF($A592="","",IFERROR(INDEX(부서매핑!$C$5:$C$504,MATCH($D592&amp;"",부서매핑!$A$5:$A$504,0)),"미매핑"))</f>
        <v/>
      </c>
      <c r="K592" s="63">
        <f>IF($A592="","",IFERROR(INDEX(계정매핑!$C$5:$C$504,MATCH($F592&amp;"",계정매핑!$A$5:$A$504,0)),"미매핑"))</f>
        <v/>
      </c>
      <c r="L592" s="4">
        <f>IF($A592="","",VALUE($A592&amp;""))</f>
        <v/>
      </c>
      <c r="M592" s="4">
        <f>IF($A592="","",VALUE($B592&amp;""))</f>
        <v/>
      </c>
      <c r="N592" s="64">
        <f>IF($A592="","",$H592*설정!$C$15)</f>
        <v/>
      </c>
      <c r="O592" s="4">
        <f>IF($A592="","",J592&amp;"|"&amp;K592)</f>
        <v/>
      </c>
      <c r="P592" s="63">
        <f>IF($A592="","",IF(COUNTIFS(예산_원본!$T$5:$T$3004,O592,예산_원본!$B$5:$B$3004,설정!$C$8,예산_원본!$U$5:$U$3004,L592)&gt;0,"Y","N"))</f>
        <v/>
      </c>
      <c r="Q592" s="63">
        <f>IF($A592="","",IF(COUNTIF(집계!$E$7:$E$506,O592)&gt;0,"Y","N"))</f>
        <v/>
      </c>
    </row>
    <row r="593">
      <c r="A593" s="60" t="n">
        <v>2025</v>
      </c>
      <c r="B593" s="60" t="n">
        <v>8</v>
      </c>
      <c r="C593" s="60" t="inlineStr">
        <is>
          <t>1000</t>
        </is>
      </c>
      <c r="D593" s="60" t="n">
        <v>1502</v>
      </c>
      <c r="E593" s="60" t="inlineStr">
        <is>
          <t>디지털마케팅</t>
        </is>
      </c>
      <c r="F593" s="60" t="n">
        <v>62301000</v>
      </c>
      <c r="G593" s="60" t="inlineStr">
        <is>
          <t>소모품비</t>
        </is>
      </c>
      <c r="H593" s="61" t="n">
        <v>298210</v>
      </c>
      <c r="J593" s="63">
        <f>IF($A593="","",IFERROR(INDEX(부서매핑!$C$5:$C$504,MATCH($D593&amp;"",부서매핑!$A$5:$A$504,0)),"미매핑"))</f>
        <v/>
      </c>
      <c r="K593" s="63">
        <f>IF($A593="","",IFERROR(INDEX(계정매핑!$C$5:$C$504,MATCH($F593&amp;"",계정매핑!$A$5:$A$504,0)),"미매핑"))</f>
        <v/>
      </c>
      <c r="L593" s="4">
        <f>IF($A593="","",VALUE($A593&amp;""))</f>
        <v/>
      </c>
      <c r="M593" s="4">
        <f>IF($A593="","",VALUE($B593&amp;""))</f>
        <v/>
      </c>
      <c r="N593" s="64">
        <f>IF($A593="","",$H593*설정!$C$15)</f>
        <v/>
      </c>
      <c r="O593" s="4">
        <f>IF($A593="","",J593&amp;"|"&amp;K593)</f>
        <v/>
      </c>
      <c r="P593" s="63">
        <f>IF($A593="","",IF(COUNTIFS(예산_원본!$T$5:$T$3004,O593,예산_원본!$B$5:$B$3004,설정!$C$8,예산_원본!$U$5:$U$3004,L593)&gt;0,"Y","N"))</f>
        <v/>
      </c>
      <c r="Q593" s="63">
        <f>IF($A593="","",IF(COUNTIF(집계!$E$7:$E$506,O593)&gt;0,"Y","N"))</f>
        <v/>
      </c>
    </row>
    <row r="594">
      <c r="A594" s="60" t="n">
        <v>2025</v>
      </c>
      <c r="B594" s="60" t="n">
        <v>8</v>
      </c>
      <c r="C594" s="60" t="inlineStr">
        <is>
          <t>1000</t>
        </is>
      </c>
      <c r="D594" s="60" t="n">
        <v>1502</v>
      </c>
      <c r="E594" s="60" t="inlineStr">
        <is>
          <t>디지털마케팅</t>
        </is>
      </c>
      <c r="F594" s="60" t="n">
        <v>62401000</v>
      </c>
      <c r="G594" s="60" t="inlineStr">
        <is>
          <t>도서인쇄비</t>
        </is>
      </c>
      <c r="H594" s="61" t="n">
        <v>2552880</v>
      </c>
      <c r="J594" s="63">
        <f>IF($A594="","",IFERROR(INDEX(부서매핑!$C$5:$C$504,MATCH($D594&amp;"",부서매핑!$A$5:$A$504,0)),"미매핑"))</f>
        <v/>
      </c>
      <c r="K594" s="63">
        <f>IF($A594="","",IFERROR(INDEX(계정매핑!$C$5:$C$504,MATCH($F594&amp;"",계정매핑!$A$5:$A$504,0)),"미매핑"))</f>
        <v/>
      </c>
      <c r="L594" s="4">
        <f>IF($A594="","",VALUE($A594&amp;""))</f>
        <v/>
      </c>
      <c r="M594" s="4">
        <f>IF($A594="","",VALUE($B594&amp;""))</f>
        <v/>
      </c>
      <c r="N594" s="64">
        <f>IF($A594="","",$H594*설정!$C$15)</f>
        <v/>
      </c>
      <c r="O594" s="4">
        <f>IF($A594="","",J594&amp;"|"&amp;K594)</f>
        <v/>
      </c>
      <c r="P594" s="63">
        <f>IF($A594="","",IF(COUNTIFS(예산_원본!$T$5:$T$3004,O594,예산_원본!$B$5:$B$3004,설정!$C$8,예산_원본!$U$5:$U$3004,L594)&gt;0,"Y","N"))</f>
        <v/>
      </c>
      <c r="Q594" s="63">
        <f>IF($A594="","",IF(COUNTIF(집계!$E$7:$E$506,O594)&gt;0,"Y","N"))</f>
        <v/>
      </c>
    </row>
    <row r="595">
      <c r="A595" s="60" t="n">
        <v>2025</v>
      </c>
      <c r="B595" s="60" t="n">
        <v>8</v>
      </c>
      <c r="C595" s="60" t="inlineStr">
        <is>
          <t>1000</t>
        </is>
      </c>
      <c r="D595" s="60" t="n">
        <v>1502</v>
      </c>
      <c r="E595" s="60" t="inlineStr">
        <is>
          <t>디지털마케팅</t>
        </is>
      </c>
      <c r="F595" s="60" t="n">
        <v>62501000</v>
      </c>
      <c r="G595" s="60" t="inlineStr">
        <is>
          <t>회의비</t>
        </is>
      </c>
      <c r="H595" s="61" t="n">
        <v>469050</v>
      </c>
      <c r="J595" s="63">
        <f>IF($A595="","",IFERROR(INDEX(부서매핑!$C$5:$C$504,MATCH($D595&amp;"",부서매핑!$A$5:$A$504,0)),"미매핑"))</f>
        <v/>
      </c>
      <c r="K595" s="63">
        <f>IF($A595="","",IFERROR(INDEX(계정매핑!$C$5:$C$504,MATCH($F595&amp;"",계정매핑!$A$5:$A$504,0)),"미매핑"))</f>
        <v/>
      </c>
      <c r="L595" s="4">
        <f>IF($A595="","",VALUE($A595&amp;""))</f>
        <v/>
      </c>
      <c r="M595" s="4">
        <f>IF($A595="","",VALUE($B595&amp;""))</f>
        <v/>
      </c>
      <c r="N595" s="64">
        <f>IF($A595="","",$H595*설정!$C$15)</f>
        <v/>
      </c>
      <c r="O595" s="4">
        <f>IF($A595="","",J595&amp;"|"&amp;K595)</f>
        <v/>
      </c>
      <c r="P595" s="63">
        <f>IF($A595="","",IF(COUNTIFS(예산_원본!$T$5:$T$3004,O595,예산_원본!$B$5:$B$3004,설정!$C$8,예산_원본!$U$5:$U$3004,L595)&gt;0,"Y","N"))</f>
        <v/>
      </c>
      <c r="Q595" s="63">
        <f>IF($A595="","",IF(COUNTIF(집계!$E$7:$E$506,O595)&gt;0,"Y","N"))</f>
        <v/>
      </c>
    </row>
    <row r="596">
      <c r="A596" s="60" t="n">
        <v>2025</v>
      </c>
      <c r="B596" s="60" t="n">
        <v>8</v>
      </c>
      <c r="C596" s="60" t="inlineStr">
        <is>
          <t>1000</t>
        </is>
      </c>
      <c r="D596" s="60" t="n">
        <v>1502</v>
      </c>
      <c r="E596" s="60" t="inlineStr">
        <is>
          <t>디지털마케팅</t>
        </is>
      </c>
      <c r="F596" s="60" t="n">
        <v>62601000</v>
      </c>
      <c r="G596" s="60" t="inlineStr">
        <is>
          <t>업무추진비</t>
        </is>
      </c>
      <c r="H596" s="61" t="n">
        <v>1137780</v>
      </c>
      <c r="J596" s="63">
        <f>IF($A596="","",IFERROR(INDEX(부서매핑!$C$5:$C$504,MATCH($D596&amp;"",부서매핑!$A$5:$A$504,0)),"미매핑"))</f>
        <v/>
      </c>
      <c r="K596" s="63">
        <f>IF($A596="","",IFERROR(INDEX(계정매핑!$C$5:$C$504,MATCH($F596&amp;"",계정매핑!$A$5:$A$504,0)),"미매핑"))</f>
        <v/>
      </c>
      <c r="L596" s="4">
        <f>IF($A596="","",VALUE($A596&amp;""))</f>
        <v/>
      </c>
      <c r="M596" s="4">
        <f>IF($A596="","",VALUE($B596&amp;""))</f>
        <v/>
      </c>
      <c r="N596" s="64">
        <f>IF($A596="","",$H596*설정!$C$15)</f>
        <v/>
      </c>
      <c r="O596" s="4">
        <f>IF($A596="","",J596&amp;"|"&amp;K596)</f>
        <v/>
      </c>
      <c r="P596" s="63">
        <f>IF($A596="","",IF(COUNTIFS(예산_원본!$T$5:$T$3004,O596,예산_원본!$B$5:$B$3004,설정!$C$8,예산_원본!$U$5:$U$3004,L596)&gt;0,"Y","N"))</f>
        <v/>
      </c>
      <c r="Q596" s="63">
        <f>IF($A596="","",IF(COUNTIF(집계!$E$7:$E$506,O596)&gt;0,"Y","N"))</f>
        <v/>
      </c>
    </row>
    <row r="597">
      <c r="A597" s="60" t="n">
        <v>2025</v>
      </c>
      <c r="B597" s="60" t="n">
        <v>8</v>
      </c>
      <c r="C597" s="60" t="inlineStr">
        <is>
          <t>1000</t>
        </is>
      </c>
      <c r="D597" s="60" t="n">
        <v>1502</v>
      </c>
      <c r="E597" s="60" t="inlineStr">
        <is>
          <t>디지털마케팅</t>
        </is>
      </c>
      <c r="F597" s="60" t="n">
        <v>62701000</v>
      </c>
      <c r="G597" s="60" t="inlineStr">
        <is>
          <t>광고선전비</t>
        </is>
      </c>
      <c r="H597" s="61" t="n">
        <v>42600850</v>
      </c>
      <c r="J597" s="63">
        <f>IF($A597="","",IFERROR(INDEX(부서매핑!$C$5:$C$504,MATCH($D597&amp;"",부서매핑!$A$5:$A$504,0)),"미매핑"))</f>
        <v/>
      </c>
      <c r="K597" s="63">
        <f>IF($A597="","",IFERROR(INDEX(계정매핑!$C$5:$C$504,MATCH($F597&amp;"",계정매핑!$A$5:$A$504,0)),"미매핑"))</f>
        <v/>
      </c>
      <c r="L597" s="4">
        <f>IF($A597="","",VALUE($A597&amp;""))</f>
        <v/>
      </c>
      <c r="M597" s="4">
        <f>IF($A597="","",VALUE($B597&amp;""))</f>
        <v/>
      </c>
      <c r="N597" s="64">
        <f>IF($A597="","",$H597*설정!$C$15)</f>
        <v/>
      </c>
      <c r="O597" s="4">
        <f>IF($A597="","",J597&amp;"|"&amp;K597)</f>
        <v/>
      </c>
      <c r="P597" s="63">
        <f>IF($A597="","",IF(COUNTIFS(예산_원본!$T$5:$T$3004,O597,예산_원본!$B$5:$B$3004,설정!$C$8,예산_원본!$U$5:$U$3004,L597)&gt;0,"Y","N"))</f>
        <v/>
      </c>
      <c r="Q597" s="63">
        <f>IF($A597="","",IF(COUNTIF(집계!$E$7:$E$506,O597)&gt;0,"Y","N"))</f>
        <v/>
      </c>
    </row>
    <row r="598">
      <c r="A598" s="60" t="n">
        <v>2025</v>
      </c>
      <c r="B598" s="60" t="n">
        <v>8</v>
      </c>
      <c r="C598" s="60" t="inlineStr">
        <is>
          <t>1000</t>
        </is>
      </c>
      <c r="D598" s="60" t="n">
        <v>1601</v>
      </c>
      <c r="E598" s="60" t="inlineStr">
        <is>
          <t>영업지원-본사</t>
        </is>
      </c>
      <c r="F598" s="60" t="n">
        <v>62101000</v>
      </c>
      <c r="G598" s="60" t="inlineStr">
        <is>
          <t>여비교통비-국내</t>
        </is>
      </c>
      <c r="H598" s="61" t="n">
        <v>2725350</v>
      </c>
      <c r="J598" s="63">
        <f>IF($A598="","",IFERROR(INDEX(부서매핑!$C$5:$C$504,MATCH($D598&amp;"",부서매핑!$A$5:$A$504,0)),"미매핑"))</f>
        <v/>
      </c>
      <c r="K598" s="63">
        <f>IF($A598="","",IFERROR(INDEX(계정매핑!$C$5:$C$504,MATCH($F598&amp;"",계정매핑!$A$5:$A$504,0)),"미매핑"))</f>
        <v/>
      </c>
      <c r="L598" s="4">
        <f>IF($A598="","",VALUE($A598&amp;""))</f>
        <v/>
      </c>
      <c r="M598" s="4">
        <f>IF($A598="","",VALUE($B598&amp;""))</f>
        <v/>
      </c>
      <c r="N598" s="64">
        <f>IF($A598="","",$H598*설정!$C$15)</f>
        <v/>
      </c>
      <c r="O598" s="4">
        <f>IF($A598="","",J598&amp;"|"&amp;K598)</f>
        <v/>
      </c>
      <c r="P598" s="63">
        <f>IF($A598="","",IF(COUNTIFS(예산_원본!$T$5:$T$3004,O598,예산_원본!$B$5:$B$3004,설정!$C$8,예산_원본!$U$5:$U$3004,L598)&gt;0,"Y","N"))</f>
        <v/>
      </c>
      <c r="Q598" s="63">
        <f>IF($A598="","",IF(COUNTIF(집계!$E$7:$E$506,O598)&gt;0,"Y","N"))</f>
        <v/>
      </c>
    </row>
    <row r="599">
      <c r="A599" s="60" t="n">
        <v>2025</v>
      </c>
      <c r="B599" s="60" t="n">
        <v>8</v>
      </c>
      <c r="C599" s="60" t="inlineStr">
        <is>
          <t>1000</t>
        </is>
      </c>
      <c r="D599" s="60" t="n">
        <v>1601</v>
      </c>
      <c r="E599" s="60" t="inlineStr">
        <is>
          <t>영업지원-본사</t>
        </is>
      </c>
      <c r="F599" s="60" t="n">
        <v>62102000</v>
      </c>
      <c r="G599" s="60" t="inlineStr">
        <is>
          <t>여비교통비-해외</t>
        </is>
      </c>
      <c r="H599" s="61" t="n">
        <v>479750</v>
      </c>
      <c r="J599" s="63">
        <f>IF($A599="","",IFERROR(INDEX(부서매핑!$C$5:$C$504,MATCH($D599&amp;"",부서매핑!$A$5:$A$504,0)),"미매핑"))</f>
        <v/>
      </c>
      <c r="K599" s="63">
        <f>IF($A599="","",IFERROR(INDEX(계정매핑!$C$5:$C$504,MATCH($F599&amp;"",계정매핑!$A$5:$A$504,0)),"미매핑"))</f>
        <v/>
      </c>
      <c r="L599" s="4">
        <f>IF($A599="","",VALUE($A599&amp;""))</f>
        <v/>
      </c>
      <c r="M599" s="4">
        <f>IF($A599="","",VALUE($B599&amp;""))</f>
        <v/>
      </c>
      <c r="N599" s="64">
        <f>IF($A599="","",$H599*설정!$C$15)</f>
        <v/>
      </c>
      <c r="O599" s="4">
        <f>IF($A599="","",J599&amp;"|"&amp;K599)</f>
        <v/>
      </c>
      <c r="P599" s="63">
        <f>IF($A599="","",IF(COUNTIFS(예산_원본!$T$5:$T$3004,O599,예산_원본!$B$5:$B$3004,설정!$C$8,예산_원본!$U$5:$U$3004,L599)&gt;0,"Y","N"))</f>
        <v/>
      </c>
      <c r="Q599" s="63">
        <f>IF($A599="","",IF(COUNTIF(집계!$E$7:$E$506,O599)&gt;0,"Y","N"))</f>
        <v/>
      </c>
    </row>
    <row r="600">
      <c r="A600" s="60" t="n">
        <v>2025</v>
      </c>
      <c r="B600" s="60" t="n">
        <v>8</v>
      </c>
      <c r="C600" s="60" t="inlineStr">
        <is>
          <t>1000</t>
        </is>
      </c>
      <c r="D600" s="60" t="n">
        <v>1601</v>
      </c>
      <c r="E600" s="60" t="inlineStr">
        <is>
          <t>영업지원-본사</t>
        </is>
      </c>
      <c r="F600" s="60" t="n">
        <v>62201000</v>
      </c>
      <c r="G600" s="60" t="inlineStr">
        <is>
          <t>통신비</t>
        </is>
      </c>
      <c r="H600" s="61" t="n">
        <v>1279550</v>
      </c>
      <c r="J600" s="63">
        <f>IF($A600="","",IFERROR(INDEX(부서매핑!$C$5:$C$504,MATCH($D600&amp;"",부서매핑!$A$5:$A$504,0)),"미매핑"))</f>
        <v/>
      </c>
      <c r="K600" s="63">
        <f>IF($A600="","",IFERROR(INDEX(계정매핑!$C$5:$C$504,MATCH($F600&amp;"",계정매핑!$A$5:$A$504,0)),"미매핑"))</f>
        <v/>
      </c>
      <c r="L600" s="4">
        <f>IF($A600="","",VALUE($A600&amp;""))</f>
        <v/>
      </c>
      <c r="M600" s="4">
        <f>IF($A600="","",VALUE($B600&amp;""))</f>
        <v/>
      </c>
      <c r="N600" s="64">
        <f>IF($A600="","",$H600*설정!$C$15)</f>
        <v/>
      </c>
      <c r="O600" s="4">
        <f>IF($A600="","",J600&amp;"|"&amp;K600)</f>
        <v/>
      </c>
      <c r="P600" s="63">
        <f>IF($A600="","",IF(COUNTIFS(예산_원본!$T$5:$T$3004,O600,예산_원본!$B$5:$B$3004,설정!$C$8,예산_원본!$U$5:$U$3004,L600)&gt;0,"Y","N"))</f>
        <v/>
      </c>
      <c r="Q600" s="63">
        <f>IF($A600="","",IF(COUNTIF(집계!$E$7:$E$506,O600)&gt;0,"Y","N"))</f>
        <v/>
      </c>
    </row>
    <row r="601">
      <c r="A601" s="60" t="n">
        <v>2025</v>
      </c>
      <c r="B601" s="60" t="n">
        <v>8</v>
      </c>
      <c r="C601" s="60" t="inlineStr">
        <is>
          <t>1000</t>
        </is>
      </c>
      <c r="D601" s="60" t="n">
        <v>1601</v>
      </c>
      <c r="E601" s="60" t="inlineStr">
        <is>
          <t>영업지원-본사</t>
        </is>
      </c>
      <c r="F601" s="60" t="n">
        <v>62301000</v>
      </c>
      <c r="G601" s="60" t="inlineStr">
        <is>
          <t>소모품비</t>
        </is>
      </c>
      <c r="H601" s="61" t="n">
        <v>628760</v>
      </c>
      <c r="J601" s="63">
        <f>IF($A601="","",IFERROR(INDEX(부서매핑!$C$5:$C$504,MATCH($D601&amp;"",부서매핑!$A$5:$A$504,0)),"미매핑"))</f>
        <v/>
      </c>
      <c r="K601" s="63">
        <f>IF($A601="","",IFERROR(INDEX(계정매핑!$C$5:$C$504,MATCH($F601&amp;"",계정매핑!$A$5:$A$504,0)),"미매핑"))</f>
        <v/>
      </c>
      <c r="L601" s="4">
        <f>IF($A601="","",VALUE($A601&amp;""))</f>
        <v/>
      </c>
      <c r="M601" s="4">
        <f>IF($A601="","",VALUE($B601&amp;""))</f>
        <v/>
      </c>
      <c r="N601" s="64">
        <f>IF($A601="","",$H601*설정!$C$15)</f>
        <v/>
      </c>
      <c r="O601" s="4">
        <f>IF($A601="","",J601&amp;"|"&amp;K601)</f>
        <v/>
      </c>
      <c r="P601" s="63">
        <f>IF($A601="","",IF(COUNTIFS(예산_원본!$T$5:$T$3004,O601,예산_원본!$B$5:$B$3004,설정!$C$8,예산_원본!$U$5:$U$3004,L601)&gt;0,"Y","N"))</f>
        <v/>
      </c>
      <c r="Q601" s="63">
        <f>IF($A601="","",IF(COUNTIF(집계!$E$7:$E$506,O601)&gt;0,"Y","N"))</f>
        <v/>
      </c>
    </row>
    <row r="602">
      <c r="A602" s="60" t="n">
        <v>2025</v>
      </c>
      <c r="B602" s="60" t="n">
        <v>8</v>
      </c>
      <c r="C602" s="60" t="inlineStr">
        <is>
          <t>1000</t>
        </is>
      </c>
      <c r="D602" s="60" t="n">
        <v>1601</v>
      </c>
      <c r="E602" s="60" t="inlineStr">
        <is>
          <t>영업지원-본사</t>
        </is>
      </c>
      <c r="F602" s="60" t="n">
        <v>62501000</v>
      </c>
      <c r="G602" s="60" t="inlineStr">
        <is>
          <t>회의비</t>
        </is>
      </c>
      <c r="H602" s="61" t="n">
        <v>663570</v>
      </c>
      <c r="J602" s="63">
        <f>IF($A602="","",IFERROR(INDEX(부서매핑!$C$5:$C$504,MATCH($D602&amp;"",부서매핑!$A$5:$A$504,0)),"미매핑"))</f>
        <v/>
      </c>
      <c r="K602" s="63">
        <f>IF($A602="","",IFERROR(INDEX(계정매핑!$C$5:$C$504,MATCH($F602&amp;"",계정매핑!$A$5:$A$504,0)),"미매핑"))</f>
        <v/>
      </c>
      <c r="L602" s="4">
        <f>IF($A602="","",VALUE($A602&amp;""))</f>
        <v/>
      </c>
      <c r="M602" s="4">
        <f>IF($A602="","",VALUE($B602&amp;""))</f>
        <v/>
      </c>
      <c r="N602" s="64">
        <f>IF($A602="","",$H602*설정!$C$15)</f>
        <v/>
      </c>
      <c r="O602" s="4">
        <f>IF($A602="","",J602&amp;"|"&amp;K602)</f>
        <v/>
      </c>
      <c r="P602" s="63">
        <f>IF($A602="","",IF(COUNTIFS(예산_원본!$T$5:$T$3004,O602,예산_원본!$B$5:$B$3004,설정!$C$8,예산_원본!$U$5:$U$3004,L602)&gt;0,"Y","N"))</f>
        <v/>
      </c>
      <c r="Q602" s="63">
        <f>IF($A602="","",IF(COUNTIF(집계!$E$7:$E$506,O602)&gt;0,"Y","N"))</f>
        <v/>
      </c>
    </row>
    <row r="603">
      <c r="A603" s="60" t="n">
        <v>2025</v>
      </c>
      <c r="B603" s="60" t="n">
        <v>8</v>
      </c>
      <c r="C603" s="60" t="inlineStr">
        <is>
          <t>1000</t>
        </is>
      </c>
      <c r="D603" s="60" t="n">
        <v>1601</v>
      </c>
      <c r="E603" s="60" t="inlineStr">
        <is>
          <t>영업지원-본사</t>
        </is>
      </c>
      <c r="F603" s="60" t="n">
        <v>62601000</v>
      </c>
      <c r="G603" s="60" t="inlineStr">
        <is>
          <t>업무추진비</t>
        </is>
      </c>
      <c r="H603" s="61" t="n">
        <v>1923910</v>
      </c>
      <c r="J603" s="63">
        <f>IF($A603="","",IFERROR(INDEX(부서매핑!$C$5:$C$504,MATCH($D603&amp;"",부서매핑!$A$5:$A$504,0)),"미매핑"))</f>
        <v/>
      </c>
      <c r="K603" s="63">
        <f>IF($A603="","",IFERROR(INDEX(계정매핑!$C$5:$C$504,MATCH($F603&amp;"",계정매핑!$A$5:$A$504,0)),"미매핑"))</f>
        <v/>
      </c>
      <c r="L603" s="4">
        <f>IF($A603="","",VALUE($A603&amp;""))</f>
        <v/>
      </c>
      <c r="M603" s="4">
        <f>IF($A603="","",VALUE($B603&amp;""))</f>
        <v/>
      </c>
      <c r="N603" s="64">
        <f>IF($A603="","",$H603*설정!$C$15)</f>
        <v/>
      </c>
      <c r="O603" s="4">
        <f>IF($A603="","",J603&amp;"|"&amp;K603)</f>
        <v/>
      </c>
      <c r="P603" s="63">
        <f>IF($A603="","",IF(COUNTIFS(예산_원본!$T$5:$T$3004,O603,예산_원본!$B$5:$B$3004,설정!$C$8,예산_원본!$U$5:$U$3004,L603)&gt;0,"Y","N"))</f>
        <v/>
      </c>
      <c r="Q603" s="63">
        <f>IF($A603="","",IF(COUNTIF(집계!$E$7:$E$506,O603)&gt;0,"Y","N"))</f>
        <v/>
      </c>
    </row>
    <row r="604">
      <c r="A604" s="60" t="n">
        <v>2025</v>
      </c>
      <c r="B604" s="60" t="n">
        <v>8</v>
      </c>
      <c r="C604" s="60" t="inlineStr">
        <is>
          <t>1000</t>
        </is>
      </c>
      <c r="D604" s="60" t="n">
        <v>1601</v>
      </c>
      <c r="E604" s="60" t="inlineStr">
        <is>
          <t>영업지원-본사</t>
        </is>
      </c>
      <c r="F604" s="60" t="n">
        <v>63101000</v>
      </c>
      <c r="G604" s="60" t="inlineStr">
        <is>
          <t>임차료</t>
        </is>
      </c>
      <c r="H604" s="61" t="n">
        <v>9261980</v>
      </c>
      <c r="J604" s="63">
        <f>IF($A604="","",IFERROR(INDEX(부서매핑!$C$5:$C$504,MATCH($D604&amp;"",부서매핑!$A$5:$A$504,0)),"미매핑"))</f>
        <v/>
      </c>
      <c r="K604" s="63">
        <f>IF($A604="","",IFERROR(INDEX(계정매핑!$C$5:$C$504,MATCH($F604&amp;"",계정매핑!$A$5:$A$504,0)),"미매핑"))</f>
        <v/>
      </c>
      <c r="L604" s="4">
        <f>IF($A604="","",VALUE($A604&amp;""))</f>
        <v/>
      </c>
      <c r="M604" s="4">
        <f>IF($A604="","",VALUE($B604&amp;""))</f>
        <v/>
      </c>
      <c r="N604" s="64">
        <f>IF($A604="","",$H604*설정!$C$15)</f>
        <v/>
      </c>
      <c r="O604" s="4">
        <f>IF($A604="","",J604&amp;"|"&amp;K604)</f>
        <v/>
      </c>
      <c r="P604" s="63">
        <f>IF($A604="","",IF(COUNTIFS(예산_원본!$T$5:$T$3004,O604,예산_원본!$B$5:$B$3004,설정!$C$8,예산_원본!$U$5:$U$3004,L604)&gt;0,"Y","N"))</f>
        <v/>
      </c>
      <c r="Q604" s="63">
        <f>IF($A604="","",IF(COUNTIF(집계!$E$7:$E$506,O604)&gt;0,"Y","N"))</f>
        <v/>
      </c>
    </row>
    <row r="605">
      <c r="A605" s="60" t="n">
        <v>2025</v>
      </c>
      <c r="B605" s="60" t="n">
        <v>8</v>
      </c>
      <c r="C605" s="60" t="inlineStr">
        <is>
          <t>1000</t>
        </is>
      </c>
      <c r="D605" s="60" t="n">
        <v>1601</v>
      </c>
      <c r="E605" s="60" t="inlineStr">
        <is>
          <t>영업지원-본사</t>
        </is>
      </c>
      <c r="F605" s="60" t="n">
        <v>63201000</v>
      </c>
      <c r="G605" s="60" t="inlineStr">
        <is>
          <t>차량유지비</t>
        </is>
      </c>
      <c r="H605" s="61" t="n">
        <v>3959370</v>
      </c>
      <c r="J605" s="63">
        <f>IF($A605="","",IFERROR(INDEX(부서매핑!$C$5:$C$504,MATCH($D605&amp;"",부서매핑!$A$5:$A$504,0)),"미매핑"))</f>
        <v/>
      </c>
      <c r="K605" s="63">
        <f>IF($A605="","",IFERROR(INDEX(계정매핑!$C$5:$C$504,MATCH($F605&amp;"",계정매핑!$A$5:$A$504,0)),"미매핑"))</f>
        <v/>
      </c>
      <c r="L605" s="4">
        <f>IF($A605="","",VALUE($A605&amp;""))</f>
        <v/>
      </c>
      <c r="M605" s="4">
        <f>IF($A605="","",VALUE($B605&amp;""))</f>
        <v/>
      </c>
      <c r="N605" s="64">
        <f>IF($A605="","",$H605*설정!$C$15)</f>
        <v/>
      </c>
      <c r="O605" s="4">
        <f>IF($A605="","",J605&amp;"|"&amp;K605)</f>
        <v/>
      </c>
      <c r="P605" s="63">
        <f>IF($A605="","",IF(COUNTIFS(예산_원본!$T$5:$T$3004,O605,예산_원본!$B$5:$B$3004,설정!$C$8,예산_원본!$U$5:$U$3004,L605)&gt;0,"Y","N"))</f>
        <v/>
      </c>
      <c r="Q605" s="63">
        <f>IF($A605="","",IF(COUNTIF(집계!$E$7:$E$506,O605)&gt;0,"Y","N"))</f>
        <v/>
      </c>
    </row>
    <row r="606">
      <c r="A606" s="60" t="n">
        <v>2025</v>
      </c>
      <c r="B606" s="60" t="n">
        <v>8</v>
      </c>
      <c r="C606" s="60" t="inlineStr">
        <is>
          <t>1000</t>
        </is>
      </c>
      <c r="D606" s="60" t="n">
        <v>1602</v>
      </c>
      <c r="E606" s="60" t="inlineStr">
        <is>
          <t>영업지원-지역본부</t>
        </is>
      </c>
      <c r="F606" s="60" t="n">
        <v>62101000</v>
      </c>
      <c r="G606" s="60" t="inlineStr">
        <is>
          <t>여비교통비-국내</t>
        </is>
      </c>
      <c r="H606" s="61" t="n">
        <v>2471600</v>
      </c>
      <c r="J606" s="63">
        <f>IF($A606="","",IFERROR(INDEX(부서매핑!$C$5:$C$504,MATCH($D606&amp;"",부서매핑!$A$5:$A$504,0)),"미매핑"))</f>
        <v/>
      </c>
      <c r="K606" s="63">
        <f>IF($A606="","",IFERROR(INDEX(계정매핑!$C$5:$C$504,MATCH($F606&amp;"",계정매핑!$A$5:$A$504,0)),"미매핑"))</f>
        <v/>
      </c>
      <c r="L606" s="4">
        <f>IF($A606="","",VALUE($A606&amp;""))</f>
        <v/>
      </c>
      <c r="M606" s="4">
        <f>IF($A606="","",VALUE($B606&amp;""))</f>
        <v/>
      </c>
      <c r="N606" s="64">
        <f>IF($A606="","",$H606*설정!$C$15)</f>
        <v/>
      </c>
      <c r="O606" s="4">
        <f>IF($A606="","",J606&amp;"|"&amp;K606)</f>
        <v/>
      </c>
      <c r="P606" s="63">
        <f>IF($A606="","",IF(COUNTIFS(예산_원본!$T$5:$T$3004,O606,예산_원본!$B$5:$B$3004,설정!$C$8,예산_원본!$U$5:$U$3004,L606)&gt;0,"Y","N"))</f>
        <v/>
      </c>
      <c r="Q606" s="63">
        <f>IF($A606="","",IF(COUNTIF(집계!$E$7:$E$506,O606)&gt;0,"Y","N"))</f>
        <v/>
      </c>
    </row>
    <row r="607">
      <c r="A607" s="60" t="n">
        <v>2025</v>
      </c>
      <c r="B607" s="60" t="n">
        <v>8</v>
      </c>
      <c r="C607" s="60" t="inlineStr">
        <is>
          <t>1000</t>
        </is>
      </c>
      <c r="D607" s="60" t="n">
        <v>1602</v>
      </c>
      <c r="E607" s="60" t="inlineStr">
        <is>
          <t>영업지원-지역본부</t>
        </is>
      </c>
      <c r="F607" s="60" t="n">
        <v>62102000</v>
      </c>
      <c r="G607" s="60" t="inlineStr">
        <is>
          <t>여비교통비-해외</t>
        </is>
      </c>
      <c r="H607" s="61" t="n">
        <v>407800</v>
      </c>
      <c r="J607" s="63">
        <f>IF($A607="","",IFERROR(INDEX(부서매핑!$C$5:$C$504,MATCH($D607&amp;"",부서매핑!$A$5:$A$504,0)),"미매핑"))</f>
        <v/>
      </c>
      <c r="K607" s="63">
        <f>IF($A607="","",IFERROR(INDEX(계정매핑!$C$5:$C$504,MATCH($F607&amp;"",계정매핑!$A$5:$A$504,0)),"미매핑"))</f>
        <v/>
      </c>
      <c r="L607" s="4">
        <f>IF($A607="","",VALUE($A607&amp;""))</f>
        <v/>
      </c>
      <c r="M607" s="4">
        <f>IF($A607="","",VALUE($B607&amp;""))</f>
        <v/>
      </c>
      <c r="N607" s="64">
        <f>IF($A607="","",$H607*설정!$C$15)</f>
        <v/>
      </c>
      <c r="O607" s="4">
        <f>IF($A607="","",J607&amp;"|"&amp;K607)</f>
        <v/>
      </c>
      <c r="P607" s="63">
        <f>IF($A607="","",IF(COUNTIFS(예산_원본!$T$5:$T$3004,O607,예산_원본!$B$5:$B$3004,설정!$C$8,예산_원본!$U$5:$U$3004,L607)&gt;0,"Y","N"))</f>
        <v/>
      </c>
      <c r="Q607" s="63">
        <f>IF($A607="","",IF(COUNTIF(집계!$E$7:$E$506,O607)&gt;0,"Y","N"))</f>
        <v/>
      </c>
    </row>
    <row r="608">
      <c r="A608" s="60" t="n">
        <v>2025</v>
      </c>
      <c r="B608" s="60" t="n">
        <v>8</v>
      </c>
      <c r="C608" s="60" t="inlineStr">
        <is>
          <t>1000</t>
        </is>
      </c>
      <c r="D608" s="60" t="n">
        <v>1602</v>
      </c>
      <c r="E608" s="60" t="inlineStr">
        <is>
          <t>영업지원-지역본부</t>
        </is>
      </c>
      <c r="F608" s="60" t="n">
        <v>62201000</v>
      </c>
      <c r="G608" s="60" t="inlineStr">
        <is>
          <t>통신비</t>
        </is>
      </c>
      <c r="H608" s="61" t="n">
        <v>1051190</v>
      </c>
      <c r="J608" s="63">
        <f>IF($A608="","",IFERROR(INDEX(부서매핑!$C$5:$C$504,MATCH($D608&amp;"",부서매핑!$A$5:$A$504,0)),"미매핑"))</f>
        <v/>
      </c>
      <c r="K608" s="63">
        <f>IF($A608="","",IFERROR(INDEX(계정매핑!$C$5:$C$504,MATCH($F608&amp;"",계정매핑!$A$5:$A$504,0)),"미매핑"))</f>
        <v/>
      </c>
      <c r="L608" s="4">
        <f>IF($A608="","",VALUE($A608&amp;""))</f>
        <v/>
      </c>
      <c r="M608" s="4">
        <f>IF($A608="","",VALUE($B608&amp;""))</f>
        <v/>
      </c>
      <c r="N608" s="64">
        <f>IF($A608="","",$H608*설정!$C$15)</f>
        <v/>
      </c>
      <c r="O608" s="4">
        <f>IF($A608="","",J608&amp;"|"&amp;K608)</f>
        <v/>
      </c>
      <c r="P608" s="63">
        <f>IF($A608="","",IF(COUNTIFS(예산_원본!$T$5:$T$3004,O608,예산_원본!$B$5:$B$3004,설정!$C$8,예산_원본!$U$5:$U$3004,L608)&gt;0,"Y","N"))</f>
        <v/>
      </c>
      <c r="Q608" s="63">
        <f>IF($A608="","",IF(COUNTIF(집계!$E$7:$E$506,O608)&gt;0,"Y","N"))</f>
        <v/>
      </c>
    </row>
    <row r="609">
      <c r="A609" s="60" t="n">
        <v>2025</v>
      </c>
      <c r="B609" s="60" t="n">
        <v>8</v>
      </c>
      <c r="C609" s="60" t="inlineStr">
        <is>
          <t>1000</t>
        </is>
      </c>
      <c r="D609" s="60" t="n">
        <v>1602</v>
      </c>
      <c r="E609" s="60" t="inlineStr">
        <is>
          <t>영업지원-지역본부</t>
        </is>
      </c>
      <c r="F609" s="60" t="n">
        <v>62301000</v>
      </c>
      <c r="G609" s="60" t="inlineStr">
        <is>
          <t>소모품비</t>
        </is>
      </c>
      <c r="H609" s="61" t="n">
        <v>508700</v>
      </c>
      <c r="J609" s="63">
        <f>IF($A609="","",IFERROR(INDEX(부서매핑!$C$5:$C$504,MATCH($D609&amp;"",부서매핑!$A$5:$A$504,0)),"미매핑"))</f>
        <v/>
      </c>
      <c r="K609" s="63">
        <f>IF($A609="","",IFERROR(INDEX(계정매핑!$C$5:$C$504,MATCH($F609&amp;"",계정매핑!$A$5:$A$504,0)),"미매핑"))</f>
        <v/>
      </c>
      <c r="L609" s="4">
        <f>IF($A609="","",VALUE($A609&amp;""))</f>
        <v/>
      </c>
      <c r="M609" s="4">
        <f>IF($A609="","",VALUE($B609&amp;""))</f>
        <v/>
      </c>
      <c r="N609" s="64">
        <f>IF($A609="","",$H609*설정!$C$15)</f>
        <v/>
      </c>
      <c r="O609" s="4">
        <f>IF($A609="","",J609&amp;"|"&amp;K609)</f>
        <v/>
      </c>
      <c r="P609" s="63">
        <f>IF($A609="","",IF(COUNTIFS(예산_원본!$T$5:$T$3004,O609,예산_원본!$B$5:$B$3004,설정!$C$8,예산_원본!$U$5:$U$3004,L609)&gt;0,"Y","N"))</f>
        <v/>
      </c>
      <c r="Q609" s="63">
        <f>IF($A609="","",IF(COUNTIF(집계!$E$7:$E$506,O609)&gt;0,"Y","N"))</f>
        <v/>
      </c>
    </row>
    <row r="610">
      <c r="A610" s="60" t="n">
        <v>2025</v>
      </c>
      <c r="B610" s="60" t="n">
        <v>8</v>
      </c>
      <c r="C610" s="60" t="inlineStr">
        <is>
          <t>1000</t>
        </is>
      </c>
      <c r="D610" s="60" t="n">
        <v>1602</v>
      </c>
      <c r="E610" s="60" t="inlineStr">
        <is>
          <t>영업지원-지역본부</t>
        </is>
      </c>
      <c r="F610" s="60" t="n">
        <v>62501000</v>
      </c>
      <c r="G610" s="60" t="inlineStr">
        <is>
          <t>회의비</t>
        </is>
      </c>
      <c r="H610" s="61" t="n">
        <v>612820</v>
      </c>
      <c r="J610" s="63">
        <f>IF($A610="","",IFERROR(INDEX(부서매핑!$C$5:$C$504,MATCH($D610&amp;"",부서매핑!$A$5:$A$504,0)),"미매핑"))</f>
        <v/>
      </c>
      <c r="K610" s="63">
        <f>IF($A610="","",IFERROR(INDEX(계정매핑!$C$5:$C$504,MATCH($F610&amp;"",계정매핑!$A$5:$A$504,0)),"미매핑"))</f>
        <v/>
      </c>
      <c r="L610" s="4">
        <f>IF($A610="","",VALUE($A610&amp;""))</f>
        <v/>
      </c>
      <c r="M610" s="4">
        <f>IF($A610="","",VALUE($B610&amp;""))</f>
        <v/>
      </c>
      <c r="N610" s="64">
        <f>IF($A610="","",$H610*설정!$C$15)</f>
        <v/>
      </c>
      <c r="O610" s="4">
        <f>IF($A610="","",J610&amp;"|"&amp;K610)</f>
        <v/>
      </c>
      <c r="P610" s="63">
        <f>IF($A610="","",IF(COUNTIFS(예산_원본!$T$5:$T$3004,O610,예산_원본!$B$5:$B$3004,설정!$C$8,예산_원본!$U$5:$U$3004,L610)&gt;0,"Y","N"))</f>
        <v/>
      </c>
      <c r="Q610" s="63">
        <f>IF($A610="","",IF(COUNTIF(집계!$E$7:$E$506,O610)&gt;0,"Y","N"))</f>
        <v/>
      </c>
    </row>
    <row r="611">
      <c r="A611" s="60" t="n">
        <v>2025</v>
      </c>
      <c r="B611" s="60" t="n">
        <v>8</v>
      </c>
      <c r="C611" s="60" t="inlineStr">
        <is>
          <t>1000</t>
        </is>
      </c>
      <c r="D611" s="60" t="n">
        <v>1602</v>
      </c>
      <c r="E611" s="60" t="inlineStr">
        <is>
          <t>영업지원-지역본부</t>
        </is>
      </c>
      <c r="F611" s="60" t="n">
        <v>62601000</v>
      </c>
      <c r="G611" s="60" t="inlineStr">
        <is>
          <t>업무추진비</t>
        </is>
      </c>
      <c r="H611" s="61" t="n">
        <v>1662760</v>
      </c>
      <c r="J611" s="63">
        <f>IF($A611="","",IFERROR(INDEX(부서매핑!$C$5:$C$504,MATCH($D611&amp;"",부서매핑!$A$5:$A$504,0)),"미매핑"))</f>
        <v/>
      </c>
      <c r="K611" s="63">
        <f>IF($A611="","",IFERROR(INDEX(계정매핑!$C$5:$C$504,MATCH($F611&amp;"",계정매핑!$A$5:$A$504,0)),"미매핑"))</f>
        <v/>
      </c>
      <c r="L611" s="4">
        <f>IF($A611="","",VALUE($A611&amp;""))</f>
        <v/>
      </c>
      <c r="M611" s="4">
        <f>IF($A611="","",VALUE($B611&amp;""))</f>
        <v/>
      </c>
      <c r="N611" s="64">
        <f>IF($A611="","",$H611*설정!$C$15)</f>
        <v/>
      </c>
      <c r="O611" s="4">
        <f>IF($A611="","",J611&amp;"|"&amp;K611)</f>
        <v/>
      </c>
      <c r="P611" s="63">
        <f>IF($A611="","",IF(COUNTIFS(예산_원본!$T$5:$T$3004,O611,예산_원본!$B$5:$B$3004,설정!$C$8,예산_원본!$U$5:$U$3004,L611)&gt;0,"Y","N"))</f>
        <v/>
      </c>
      <c r="Q611" s="63">
        <f>IF($A611="","",IF(COUNTIF(집계!$E$7:$E$506,O611)&gt;0,"Y","N"))</f>
        <v/>
      </c>
    </row>
    <row r="612">
      <c r="A612" s="60" t="n">
        <v>2025</v>
      </c>
      <c r="B612" s="60" t="n">
        <v>8</v>
      </c>
      <c r="C612" s="60" t="inlineStr">
        <is>
          <t>1000</t>
        </is>
      </c>
      <c r="D612" s="60" t="n">
        <v>1602</v>
      </c>
      <c r="E612" s="60" t="inlineStr">
        <is>
          <t>영업지원-지역본부</t>
        </is>
      </c>
      <c r="F612" s="60" t="n">
        <v>63101000</v>
      </c>
      <c r="G612" s="60" t="inlineStr">
        <is>
          <t>임차료</t>
        </is>
      </c>
      <c r="H612" s="61" t="n">
        <v>7875100</v>
      </c>
      <c r="J612" s="63">
        <f>IF($A612="","",IFERROR(INDEX(부서매핑!$C$5:$C$504,MATCH($D612&amp;"",부서매핑!$A$5:$A$504,0)),"미매핑"))</f>
        <v/>
      </c>
      <c r="K612" s="63">
        <f>IF($A612="","",IFERROR(INDEX(계정매핑!$C$5:$C$504,MATCH($F612&amp;"",계정매핑!$A$5:$A$504,0)),"미매핑"))</f>
        <v/>
      </c>
      <c r="L612" s="4">
        <f>IF($A612="","",VALUE($A612&amp;""))</f>
        <v/>
      </c>
      <c r="M612" s="4">
        <f>IF($A612="","",VALUE($B612&amp;""))</f>
        <v/>
      </c>
      <c r="N612" s="64">
        <f>IF($A612="","",$H612*설정!$C$15)</f>
        <v/>
      </c>
      <c r="O612" s="4">
        <f>IF($A612="","",J612&amp;"|"&amp;K612)</f>
        <v/>
      </c>
      <c r="P612" s="63">
        <f>IF($A612="","",IF(COUNTIFS(예산_원본!$T$5:$T$3004,O612,예산_원본!$B$5:$B$3004,설정!$C$8,예산_원본!$U$5:$U$3004,L612)&gt;0,"Y","N"))</f>
        <v/>
      </c>
      <c r="Q612" s="63">
        <f>IF($A612="","",IF(COUNTIF(집계!$E$7:$E$506,O612)&gt;0,"Y","N"))</f>
        <v/>
      </c>
    </row>
    <row r="613">
      <c r="A613" s="60" t="n">
        <v>2025</v>
      </c>
      <c r="B613" s="60" t="n">
        <v>8</v>
      </c>
      <c r="C613" s="60" t="inlineStr">
        <is>
          <t>1000</t>
        </is>
      </c>
      <c r="D613" s="60" t="n">
        <v>1602</v>
      </c>
      <c r="E613" s="60" t="inlineStr">
        <is>
          <t>영업지원-지역본부</t>
        </is>
      </c>
      <c r="F613" s="60" t="n">
        <v>63201000</v>
      </c>
      <c r="G613" s="60" t="inlineStr">
        <is>
          <t>차량유지비</t>
        </is>
      </c>
      <c r="H613" s="61" t="n">
        <v>3218410</v>
      </c>
      <c r="J613" s="63">
        <f>IF($A613="","",IFERROR(INDEX(부서매핑!$C$5:$C$504,MATCH($D613&amp;"",부서매핑!$A$5:$A$504,0)),"미매핑"))</f>
        <v/>
      </c>
      <c r="K613" s="63">
        <f>IF($A613="","",IFERROR(INDEX(계정매핑!$C$5:$C$504,MATCH($F613&amp;"",계정매핑!$A$5:$A$504,0)),"미매핑"))</f>
        <v/>
      </c>
      <c r="L613" s="4">
        <f>IF($A613="","",VALUE($A613&amp;""))</f>
        <v/>
      </c>
      <c r="M613" s="4">
        <f>IF($A613="","",VALUE($B613&amp;""))</f>
        <v/>
      </c>
      <c r="N613" s="64">
        <f>IF($A613="","",$H613*설정!$C$15)</f>
        <v/>
      </c>
      <c r="O613" s="4">
        <f>IF($A613="","",J613&amp;"|"&amp;K613)</f>
        <v/>
      </c>
      <c r="P613" s="63">
        <f>IF($A613="","",IF(COUNTIFS(예산_원본!$T$5:$T$3004,O613,예산_원본!$B$5:$B$3004,설정!$C$8,예산_원본!$U$5:$U$3004,L613)&gt;0,"Y","N"))</f>
        <v/>
      </c>
      <c r="Q613" s="63">
        <f>IF($A613="","",IF(COUNTIF(집계!$E$7:$E$506,O613)&gt;0,"Y","N"))</f>
        <v/>
      </c>
    </row>
    <row r="614">
      <c r="A614" s="60" t="n">
        <v>2025</v>
      </c>
      <c r="B614" s="60" t="n">
        <v>8</v>
      </c>
      <c r="C614" s="60" t="inlineStr">
        <is>
          <t>1000</t>
        </is>
      </c>
      <c r="D614" s="60" t="n">
        <v>1701</v>
      </c>
      <c r="E614" s="60" t="inlineStr">
        <is>
          <t>IT운영</t>
        </is>
      </c>
      <c r="F614" s="60" t="n">
        <v>62101000</v>
      </c>
      <c r="G614" s="60" t="inlineStr">
        <is>
          <t>여비교통비-국내</t>
        </is>
      </c>
      <c r="H614" s="61" t="n">
        <v>961560</v>
      </c>
      <c r="J614" s="63">
        <f>IF($A614="","",IFERROR(INDEX(부서매핑!$C$5:$C$504,MATCH($D614&amp;"",부서매핑!$A$5:$A$504,0)),"미매핑"))</f>
        <v/>
      </c>
      <c r="K614" s="63">
        <f>IF($A614="","",IFERROR(INDEX(계정매핑!$C$5:$C$504,MATCH($F614&amp;"",계정매핑!$A$5:$A$504,0)),"미매핑"))</f>
        <v/>
      </c>
      <c r="L614" s="4">
        <f>IF($A614="","",VALUE($A614&amp;""))</f>
        <v/>
      </c>
      <c r="M614" s="4">
        <f>IF($A614="","",VALUE($B614&amp;""))</f>
        <v/>
      </c>
      <c r="N614" s="64">
        <f>IF($A614="","",$H614*설정!$C$15)</f>
        <v/>
      </c>
      <c r="O614" s="4">
        <f>IF($A614="","",J614&amp;"|"&amp;K614)</f>
        <v/>
      </c>
      <c r="P614" s="63">
        <f>IF($A614="","",IF(COUNTIFS(예산_원본!$T$5:$T$3004,O614,예산_원본!$B$5:$B$3004,설정!$C$8,예산_원본!$U$5:$U$3004,L614)&gt;0,"Y","N"))</f>
        <v/>
      </c>
      <c r="Q614" s="63">
        <f>IF($A614="","",IF(COUNTIF(집계!$E$7:$E$506,O614)&gt;0,"Y","N"))</f>
        <v/>
      </c>
    </row>
    <row r="615">
      <c r="A615" s="60" t="n">
        <v>2025</v>
      </c>
      <c r="B615" s="60" t="n">
        <v>8</v>
      </c>
      <c r="C615" s="60" t="inlineStr">
        <is>
          <t>1000</t>
        </is>
      </c>
      <c r="D615" s="60" t="n">
        <v>1701</v>
      </c>
      <c r="E615" s="60" t="inlineStr">
        <is>
          <t>IT운영</t>
        </is>
      </c>
      <c r="F615" s="60" t="n">
        <v>62102000</v>
      </c>
      <c r="G615" s="60" t="inlineStr">
        <is>
          <t>여비교통비-해외</t>
        </is>
      </c>
      <c r="H615" s="61" t="n">
        <v>148620</v>
      </c>
      <c r="J615" s="63">
        <f>IF($A615="","",IFERROR(INDEX(부서매핑!$C$5:$C$504,MATCH($D615&amp;"",부서매핑!$A$5:$A$504,0)),"미매핑"))</f>
        <v/>
      </c>
      <c r="K615" s="63">
        <f>IF($A615="","",IFERROR(INDEX(계정매핑!$C$5:$C$504,MATCH($F615&amp;"",계정매핑!$A$5:$A$504,0)),"미매핑"))</f>
        <v/>
      </c>
      <c r="L615" s="4">
        <f>IF($A615="","",VALUE($A615&amp;""))</f>
        <v/>
      </c>
      <c r="M615" s="4">
        <f>IF($A615="","",VALUE($B615&amp;""))</f>
        <v/>
      </c>
      <c r="N615" s="64">
        <f>IF($A615="","",$H615*설정!$C$15)</f>
        <v/>
      </c>
      <c r="O615" s="4">
        <f>IF($A615="","",J615&amp;"|"&amp;K615)</f>
        <v/>
      </c>
      <c r="P615" s="63">
        <f>IF($A615="","",IF(COUNTIFS(예산_원본!$T$5:$T$3004,O615,예산_원본!$B$5:$B$3004,설정!$C$8,예산_원본!$U$5:$U$3004,L615)&gt;0,"Y","N"))</f>
        <v/>
      </c>
      <c r="Q615" s="63">
        <f>IF($A615="","",IF(COUNTIF(집계!$E$7:$E$506,O615)&gt;0,"Y","N"))</f>
        <v/>
      </c>
    </row>
    <row r="616">
      <c r="A616" s="60" t="n">
        <v>2025</v>
      </c>
      <c r="B616" s="60" t="n">
        <v>8</v>
      </c>
      <c r="C616" s="60" t="inlineStr">
        <is>
          <t>1000</t>
        </is>
      </c>
      <c r="D616" s="60" t="n">
        <v>1701</v>
      </c>
      <c r="E616" s="60" t="inlineStr">
        <is>
          <t>IT운영</t>
        </is>
      </c>
      <c r="F616" s="60" t="n">
        <v>62201000</v>
      </c>
      <c r="G616" s="60" t="inlineStr">
        <is>
          <t>통신비</t>
        </is>
      </c>
      <c r="H616" s="61" t="n">
        <v>13604880</v>
      </c>
      <c r="J616" s="63">
        <f>IF($A616="","",IFERROR(INDEX(부서매핑!$C$5:$C$504,MATCH($D616&amp;"",부서매핑!$A$5:$A$504,0)),"미매핑"))</f>
        <v/>
      </c>
      <c r="K616" s="63">
        <f>IF($A616="","",IFERROR(INDEX(계정매핑!$C$5:$C$504,MATCH($F616&amp;"",계정매핑!$A$5:$A$504,0)),"미매핑"))</f>
        <v/>
      </c>
      <c r="L616" s="4">
        <f>IF($A616="","",VALUE($A616&amp;""))</f>
        <v/>
      </c>
      <c r="M616" s="4">
        <f>IF($A616="","",VALUE($B616&amp;""))</f>
        <v/>
      </c>
      <c r="N616" s="64">
        <f>IF($A616="","",$H616*설정!$C$15)</f>
        <v/>
      </c>
      <c r="O616" s="4">
        <f>IF($A616="","",J616&amp;"|"&amp;K616)</f>
        <v/>
      </c>
      <c r="P616" s="63">
        <f>IF($A616="","",IF(COUNTIFS(예산_원본!$T$5:$T$3004,O616,예산_원본!$B$5:$B$3004,설정!$C$8,예산_원본!$U$5:$U$3004,L616)&gt;0,"Y","N"))</f>
        <v/>
      </c>
      <c r="Q616" s="63">
        <f>IF($A616="","",IF(COUNTIF(집계!$E$7:$E$506,O616)&gt;0,"Y","N"))</f>
        <v/>
      </c>
    </row>
    <row r="617">
      <c r="A617" s="60" t="n">
        <v>2025</v>
      </c>
      <c r="B617" s="60" t="n">
        <v>8</v>
      </c>
      <c r="C617" s="60" t="inlineStr">
        <is>
          <t>1000</t>
        </is>
      </c>
      <c r="D617" s="60" t="n">
        <v>1701</v>
      </c>
      <c r="E617" s="60" t="inlineStr">
        <is>
          <t>IT운영</t>
        </is>
      </c>
      <c r="F617" s="60" t="n">
        <v>62301000</v>
      </c>
      <c r="G617" s="60" t="inlineStr">
        <is>
          <t>소모품비</t>
        </is>
      </c>
      <c r="H617" s="61" t="n">
        <v>894500</v>
      </c>
      <c r="J617" s="63">
        <f>IF($A617="","",IFERROR(INDEX(부서매핑!$C$5:$C$504,MATCH($D617&amp;"",부서매핑!$A$5:$A$504,0)),"미매핑"))</f>
        <v/>
      </c>
      <c r="K617" s="63">
        <f>IF($A617="","",IFERROR(INDEX(계정매핑!$C$5:$C$504,MATCH($F617&amp;"",계정매핑!$A$5:$A$504,0)),"미매핑"))</f>
        <v/>
      </c>
      <c r="L617" s="4">
        <f>IF($A617="","",VALUE($A617&amp;""))</f>
        <v/>
      </c>
      <c r="M617" s="4">
        <f>IF($A617="","",VALUE($B617&amp;""))</f>
        <v/>
      </c>
      <c r="N617" s="64">
        <f>IF($A617="","",$H617*설정!$C$15)</f>
        <v/>
      </c>
      <c r="O617" s="4">
        <f>IF($A617="","",J617&amp;"|"&amp;K617)</f>
        <v/>
      </c>
      <c r="P617" s="63">
        <f>IF($A617="","",IF(COUNTIFS(예산_원본!$T$5:$T$3004,O617,예산_원본!$B$5:$B$3004,설정!$C$8,예산_원본!$U$5:$U$3004,L617)&gt;0,"Y","N"))</f>
        <v/>
      </c>
      <c r="Q617" s="63">
        <f>IF($A617="","",IF(COUNTIF(집계!$E$7:$E$506,O617)&gt;0,"Y","N"))</f>
        <v/>
      </c>
    </row>
    <row r="618">
      <c r="A618" s="60" t="n">
        <v>2025</v>
      </c>
      <c r="B618" s="60" t="n">
        <v>8</v>
      </c>
      <c r="C618" s="60" t="inlineStr">
        <is>
          <t>1000</t>
        </is>
      </c>
      <c r="D618" s="60" t="n">
        <v>1701</v>
      </c>
      <c r="E618" s="60" t="inlineStr">
        <is>
          <t>IT운영</t>
        </is>
      </c>
      <c r="F618" s="60" t="n">
        <v>62501000</v>
      </c>
      <c r="G618" s="60" t="inlineStr">
        <is>
          <t>회의비</t>
        </is>
      </c>
      <c r="H618" s="61" t="n">
        <v>409310</v>
      </c>
      <c r="J618" s="63">
        <f>IF($A618="","",IFERROR(INDEX(부서매핑!$C$5:$C$504,MATCH($D618&amp;"",부서매핑!$A$5:$A$504,0)),"미매핑"))</f>
        <v/>
      </c>
      <c r="K618" s="63">
        <f>IF($A618="","",IFERROR(INDEX(계정매핑!$C$5:$C$504,MATCH($F618&amp;"",계정매핑!$A$5:$A$504,0)),"미매핑"))</f>
        <v/>
      </c>
      <c r="L618" s="4">
        <f>IF($A618="","",VALUE($A618&amp;""))</f>
        <v/>
      </c>
      <c r="M618" s="4">
        <f>IF($A618="","",VALUE($B618&amp;""))</f>
        <v/>
      </c>
      <c r="N618" s="64">
        <f>IF($A618="","",$H618*설정!$C$15)</f>
        <v/>
      </c>
      <c r="O618" s="4">
        <f>IF($A618="","",J618&amp;"|"&amp;K618)</f>
        <v/>
      </c>
      <c r="P618" s="63">
        <f>IF($A618="","",IF(COUNTIFS(예산_원본!$T$5:$T$3004,O618,예산_원본!$B$5:$B$3004,설정!$C$8,예산_원본!$U$5:$U$3004,L618)&gt;0,"Y","N"))</f>
        <v/>
      </c>
      <c r="Q618" s="63">
        <f>IF($A618="","",IF(COUNTIF(집계!$E$7:$E$506,O618)&gt;0,"Y","N"))</f>
        <v/>
      </c>
    </row>
    <row r="619">
      <c r="A619" s="60" t="n">
        <v>2025</v>
      </c>
      <c r="B619" s="60" t="n">
        <v>8</v>
      </c>
      <c r="C619" s="60" t="inlineStr">
        <is>
          <t>1000</t>
        </is>
      </c>
      <c r="D619" s="60" t="n">
        <v>1701</v>
      </c>
      <c r="E619" s="60" t="inlineStr">
        <is>
          <t>IT운영</t>
        </is>
      </c>
      <c r="F619" s="60" t="n">
        <v>63001000</v>
      </c>
      <c r="G619" s="60" t="inlineStr">
        <is>
          <t>전산운영비-SW유지보수</t>
        </is>
      </c>
      <c r="H619" s="61" t="n">
        <v>93507050</v>
      </c>
      <c r="J619" s="63">
        <f>IF($A619="","",IFERROR(INDEX(부서매핑!$C$5:$C$504,MATCH($D619&amp;"",부서매핑!$A$5:$A$504,0)),"미매핑"))</f>
        <v/>
      </c>
      <c r="K619" s="63">
        <f>IF($A619="","",IFERROR(INDEX(계정매핑!$C$5:$C$504,MATCH($F619&amp;"",계정매핑!$A$5:$A$504,0)),"미매핑"))</f>
        <v/>
      </c>
      <c r="L619" s="4">
        <f>IF($A619="","",VALUE($A619&amp;""))</f>
        <v/>
      </c>
      <c r="M619" s="4">
        <f>IF($A619="","",VALUE($B619&amp;""))</f>
        <v/>
      </c>
      <c r="N619" s="64">
        <f>IF($A619="","",$H619*설정!$C$15)</f>
        <v/>
      </c>
      <c r="O619" s="4">
        <f>IF($A619="","",J619&amp;"|"&amp;K619)</f>
        <v/>
      </c>
      <c r="P619" s="63">
        <f>IF($A619="","",IF(COUNTIFS(예산_원본!$T$5:$T$3004,O619,예산_원본!$B$5:$B$3004,설정!$C$8,예산_원본!$U$5:$U$3004,L619)&gt;0,"Y","N"))</f>
        <v/>
      </c>
      <c r="Q619" s="63">
        <f>IF($A619="","",IF(COUNTIF(집계!$E$7:$E$506,O619)&gt;0,"Y","N"))</f>
        <v/>
      </c>
    </row>
    <row r="620">
      <c r="A620" s="60" t="n">
        <v>2025</v>
      </c>
      <c r="B620" s="60" t="n">
        <v>8</v>
      </c>
      <c r="C620" s="60" t="inlineStr">
        <is>
          <t>1000</t>
        </is>
      </c>
      <c r="D620" s="60" t="n">
        <v>1701</v>
      </c>
      <c r="E620" s="60" t="inlineStr">
        <is>
          <t>IT운영</t>
        </is>
      </c>
      <c r="F620" s="60" t="n">
        <v>63002000</v>
      </c>
      <c r="G620" s="60" t="inlineStr">
        <is>
          <t>전산운영비-클라우드</t>
        </is>
      </c>
      <c r="H620" s="61" t="n">
        <v>82859760</v>
      </c>
      <c r="J620" s="63">
        <f>IF($A620="","",IFERROR(INDEX(부서매핑!$C$5:$C$504,MATCH($D620&amp;"",부서매핑!$A$5:$A$504,0)),"미매핑"))</f>
        <v/>
      </c>
      <c r="K620" s="63">
        <f>IF($A620="","",IFERROR(INDEX(계정매핑!$C$5:$C$504,MATCH($F620&amp;"",계정매핑!$A$5:$A$504,0)),"미매핑"))</f>
        <v/>
      </c>
      <c r="L620" s="4">
        <f>IF($A620="","",VALUE($A620&amp;""))</f>
        <v/>
      </c>
      <c r="M620" s="4">
        <f>IF($A620="","",VALUE($B620&amp;""))</f>
        <v/>
      </c>
      <c r="N620" s="64">
        <f>IF($A620="","",$H620*설정!$C$15)</f>
        <v/>
      </c>
      <c r="O620" s="4">
        <f>IF($A620="","",J620&amp;"|"&amp;K620)</f>
        <v/>
      </c>
      <c r="P620" s="63">
        <f>IF($A620="","",IF(COUNTIFS(예산_원본!$T$5:$T$3004,O620,예산_원본!$B$5:$B$3004,설정!$C$8,예산_원본!$U$5:$U$3004,L620)&gt;0,"Y","N"))</f>
        <v/>
      </c>
      <c r="Q620" s="63">
        <f>IF($A620="","",IF(COUNTIF(집계!$E$7:$E$506,O620)&gt;0,"Y","N"))</f>
        <v/>
      </c>
    </row>
    <row r="621">
      <c r="A621" s="60" t="n">
        <v>2025</v>
      </c>
      <c r="B621" s="60" t="n">
        <v>8</v>
      </c>
      <c r="C621" s="60" t="inlineStr">
        <is>
          <t>1000</t>
        </is>
      </c>
      <c r="D621" s="60" t="n">
        <v>1801</v>
      </c>
      <c r="E621" s="60" t="inlineStr">
        <is>
          <t>고객서비스</t>
        </is>
      </c>
      <c r="F621" s="60" t="n">
        <v>62101000</v>
      </c>
      <c r="G621" s="60" t="inlineStr">
        <is>
          <t>여비교통비-국내</t>
        </is>
      </c>
      <c r="H621" s="61" t="n">
        <v>746900</v>
      </c>
      <c r="J621" s="63">
        <f>IF($A621="","",IFERROR(INDEX(부서매핑!$C$5:$C$504,MATCH($D621&amp;"",부서매핑!$A$5:$A$504,0)),"미매핑"))</f>
        <v/>
      </c>
      <c r="K621" s="63">
        <f>IF($A621="","",IFERROR(INDEX(계정매핑!$C$5:$C$504,MATCH($F621&amp;"",계정매핑!$A$5:$A$504,0)),"미매핑"))</f>
        <v/>
      </c>
      <c r="L621" s="4">
        <f>IF($A621="","",VALUE($A621&amp;""))</f>
        <v/>
      </c>
      <c r="M621" s="4">
        <f>IF($A621="","",VALUE($B621&amp;""))</f>
        <v/>
      </c>
      <c r="N621" s="64">
        <f>IF($A621="","",$H621*설정!$C$15)</f>
        <v/>
      </c>
      <c r="O621" s="4">
        <f>IF($A621="","",J621&amp;"|"&amp;K621)</f>
        <v/>
      </c>
      <c r="P621" s="63">
        <f>IF($A621="","",IF(COUNTIFS(예산_원본!$T$5:$T$3004,O621,예산_원본!$B$5:$B$3004,설정!$C$8,예산_원본!$U$5:$U$3004,L621)&gt;0,"Y","N"))</f>
        <v/>
      </c>
      <c r="Q621" s="63">
        <f>IF($A621="","",IF(COUNTIF(집계!$E$7:$E$506,O621)&gt;0,"Y","N"))</f>
        <v/>
      </c>
    </row>
    <row r="622">
      <c r="A622" s="60" t="n">
        <v>2025</v>
      </c>
      <c r="B622" s="60" t="n">
        <v>8</v>
      </c>
      <c r="C622" s="60" t="inlineStr">
        <is>
          <t>1000</t>
        </is>
      </c>
      <c r="D622" s="60" t="n">
        <v>1801</v>
      </c>
      <c r="E622" s="60" t="inlineStr">
        <is>
          <t>고객서비스</t>
        </is>
      </c>
      <c r="F622" s="60" t="n">
        <v>62102000</v>
      </c>
      <c r="G622" s="60" t="inlineStr">
        <is>
          <t>여비교통비-해외</t>
        </is>
      </c>
      <c r="H622" s="61" t="n">
        <v>125280</v>
      </c>
      <c r="J622" s="63">
        <f>IF($A622="","",IFERROR(INDEX(부서매핑!$C$5:$C$504,MATCH($D622&amp;"",부서매핑!$A$5:$A$504,0)),"미매핑"))</f>
        <v/>
      </c>
      <c r="K622" s="63">
        <f>IF($A622="","",IFERROR(INDEX(계정매핑!$C$5:$C$504,MATCH($F622&amp;"",계정매핑!$A$5:$A$504,0)),"미매핑"))</f>
        <v/>
      </c>
      <c r="L622" s="4">
        <f>IF($A622="","",VALUE($A622&amp;""))</f>
        <v/>
      </c>
      <c r="M622" s="4">
        <f>IF($A622="","",VALUE($B622&amp;""))</f>
        <v/>
      </c>
      <c r="N622" s="64">
        <f>IF($A622="","",$H622*설정!$C$15)</f>
        <v/>
      </c>
      <c r="O622" s="4">
        <f>IF($A622="","",J622&amp;"|"&amp;K622)</f>
        <v/>
      </c>
      <c r="P622" s="63">
        <f>IF($A622="","",IF(COUNTIFS(예산_원본!$T$5:$T$3004,O622,예산_원본!$B$5:$B$3004,설정!$C$8,예산_원본!$U$5:$U$3004,L622)&gt;0,"Y","N"))</f>
        <v/>
      </c>
      <c r="Q622" s="63">
        <f>IF($A622="","",IF(COUNTIF(집계!$E$7:$E$506,O622)&gt;0,"Y","N"))</f>
        <v/>
      </c>
    </row>
    <row r="623">
      <c r="A623" s="60" t="n">
        <v>2025</v>
      </c>
      <c r="B623" s="60" t="n">
        <v>8</v>
      </c>
      <c r="C623" s="60" t="inlineStr">
        <is>
          <t>1000</t>
        </is>
      </c>
      <c r="D623" s="60" t="n">
        <v>1801</v>
      </c>
      <c r="E623" s="60" t="inlineStr">
        <is>
          <t>고객서비스</t>
        </is>
      </c>
      <c r="F623" s="60" t="n">
        <v>62201000</v>
      </c>
      <c r="G623" s="60" t="inlineStr">
        <is>
          <t>통신비</t>
        </is>
      </c>
      <c r="H623" s="61" t="n">
        <v>20444500</v>
      </c>
      <c r="J623" s="63">
        <f>IF($A623="","",IFERROR(INDEX(부서매핑!$C$5:$C$504,MATCH($D623&amp;"",부서매핑!$A$5:$A$504,0)),"미매핑"))</f>
        <v/>
      </c>
      <c r="K623" s="63">
        <f>IF($A623="","",IFERROR(INDEX(계정매핑!$C$5:$C$504,MATCH($F623&amp;"",계정매핑!$A$5:$A$504,0)),"미매핑"))</f>
        <v/>
      </c>
      <c r="L623" s="4">
        <f>IF($A623="","",VALUE($A623&amp;""))</f>
        <v/>
      </c>
      <c r="M623" s="4">
        <f>IF($A623="","",VALUE($B623&amp;""))</f>
        <v/>
      </c>
      <c r="N623" s="64">
        <f>IF($A623="","",$H623*설정!$C$15)</f>
        <v/>
      </c>
      <c r="O623" s="4">
        <f>IF($A623="","",J623&amp;"|"&amp;K623)</f>
        <v/>
      </c>
      <c r="P623" s="63">
        <f>IF($A623="","",IF(COUNTIFS(예산_원본!$T$5:$T$3004,O623,예산_원본!$B$5:$B$3004,설정!$C$8,예산_원본!$U$5:$U$3004,L623)&gt;0,"Y","N"))</f>
        <v/>
      </c>
      <c r="Q623" s="63">
        <f>IF($A623="","",IF(COUNTIF(집계!$E$7:$E$506,O623)&gt;0,"Y","N"))</f>
        <v/>
      </c>
    </row>
    <row r="624">
      <c r="A624" s="60" t="n">
        <v>2025</v>
      </c>
      <c r="B624" s="60" t="n">
        <v>8</v>
      </c>
      <c r="C624" s="60" t="inlineStr">
        <is>
          <t>1000</t>
        </is>
      </c>
      <c r="D624" s="60" t="n">
        <v>1801</v>
      </c>
      <c r="E624" s="60" t="inlineStr">
        <is>
          <t>고객서비스</t>
        </is>
      </c>
      <c r="F624" s="60" t="n">
        <v>62301000</v>
      </c>
      <c r="G624" s="60" t="inlineStr">
        <is>
          <t>소모품비</t>
        </is>
      </c>
      <c r="H624" s="61" t="n">
        <v>1457620</v>
      </c>
      <c r="J624" s="63">
        <f>IF($A624="","",IFERROR(INDEX(부서매핑!$C$5:$C$504,MATCH($D624&amp;"",부서매핑!$A$5:$A$504,0)),"미매핑"))</f>
        <v/>
      </c>
      <c r="K624" s="63">
        <f>IF($A624="","",IFERROR(INDEX(계정매핑!$C$5:$C$504,MATCH($F624&amp;"",계정매핑!$A$5:$A$504,0)),"미매핑"))</f>
        <v/>
      </c>
      <c r="L624" s="4">
        <f>IF($A624="","",VALUE($A624&amp;""))</f>
        <v/>
      </c>
      <c r="M624" s="4">
        <f>IF($A624="","",VALUE($B624&amp;""))</f>
        <v/>
      </c>
      <c r="N624" s="64">
        <f>IF($A624="","",$H624*설정!$C$15)</f>
        <v/>
      </c>
      <c r="O624" s="4">
        <f>IF($A624="","",J624&amp;"|"&amp;K624)</f>
        <v/>
      </c>
      <c r="P624" s="63">
        <f>IF($A624="","",IF(COUNTIFS(예산_원본!$T$5:$T$3004,O624,예산_원본!$B$5:$B$3004,설정!$C$8,예산_원본!$U$5:$U$3004,L624)&gt;0,"Y","N"))</f>
        <v/>
      </c>
      <c r="Q624" s="63">
        <f>IF($A624="","",IF(COUNTIF(집계!$E$7:$E$506,O624)&gt;0,"Y","N"))</f>
        <v/>
      </c>
    </row>
    <row r="625">
      <c r="A625" s="60" t="n">
        <v>2025</v>
      </c>
      <c r="B625" s="60" t="n">
        <v>8</v>
      </c>
      <c r="C625" s="60" t="inlineStr">
        <is>
          <t>1000</t>
        </is>
      </c>
      <c r="D625" s="60" t="n">
        <v>1801</v>
      </c>
      <c r="E625" s="60" t="inlineStr">
        <is>
          <t>고객서비스</t>
        </is>
      </c>
      <c r="F625" s="60" t="n">
        <v>62401000</v>
      </c>
      <c r="G625" s="60" t="inlineStr">
        <is>
          <t>도서인쇄비</t>
        </is>
      </c>
      <c r="H625" s="61" t="n">
        <v>6129920</v>
      </c>
      <c r="J625" s="63">
        <f>IF($A625="","",IFERROR(INDEX(부서매핑!$C$5:$C$504,MATCH($D625&amp;"",부서매핑!$A$5:$A$504,0)),"미매핑"))</f>
        <v/>
      </c>
      <c r="K625" s="63">
        <f>IF($A625="","",IFERROR(INDEX(계정매핑!$C$5:$C$504,MATCH($F625&amp;"",계정매핑!$A$5:$A$504,0)),"미매핑"))</f>
        <v/>
      </c>
      <c r="L625" s="4">
        <f>IF($A625="","",VALUE($A625&amp;""))</f>
        <v/>
      </c>
      <c r="M625" s="4">
        <f>IF($A625="","",VALUE($B625&amp;""))</f>
        <v/>
      </c>
      <c r="N625" s="64">
        <f>IF($A625="","",$H625*설정!$C$15)</f>
        <v/>
      </c>
      <c r="O625" s="4">
        <f>IF($A625="","",J625&amp;"|"&amp;K625)</f>
        <v/>
      </c>
      <c r="P625" s="63">
        <f>IF($A625="","",IF(COUNTIFS(예산_원본!$T$5:$T$3004,O625,예산_원본!$B$5:$B$3004,설정!$C$8,예산_원본!$U$5:$U$3004,L625)&gt;0,"Y","N"))</f>
        <v/>
      </c>
      <c r="Q625" s="63">
        <f>IF($A625="","",IF(COUNTIF(집계!$E$7:$E$506,O625)&gt;0,"Y","N"))</f>
        <v/>
      </c>
    </row>
    <row r="626">
      <c r="A626" s="60" t="n">
        <v>2025</v>
      </c>
      <c r="B626" s="60" t="n">
        <v>8</v>
      </c>
      <c r="C626" s="60" t="inlineStr">
        <is>
          <t>1000</t>
        </is>
      </c>
      <c r="D626" s="60" t="n">
        <v>1801</v>
      </c>
      <c r="E626" s="60" t="inlineStr">
        <is>
          <t>고객서비스</t>
        </is>
      </c>
      <c r="F626" s="60" t="n">
        <v>62501000</v>
      </c>
      <c r="G626" s="60" t="inlineStr">
        <is>
          <t>회의비</t>
        </is>
      </c>
      <c r="H626" s="61" t="n">
        <v>453850</v>
      </c>
      <c r="J626" s="63">
        <f>IF($A626="","",IFERROR(INDEX(부서매핑!$C$5:$C$504,MATCH($D626&amp;"",부서매핑!$A$5:$A$504,0)),"미매핑"))</f>
        <v/>
      </c>
      <c r="K626" s="63">
        <f>IF($A626="","",IFERROR(INDEX(계정매핑!$C$5:$C$504,MATCH($F626&amp;"",계정매핑!$A$5:$A$504,0)),"미매핑"))</f>
        <v/>
      </c>
      <c r="L626" s="4">
        <f>IF($A626="","",VALUE($A626&amp;""))</f>
        <v/>
      </c>
      <c r="M626" s="4">
        <f>IF($A626="","",VALUE($B626&amp;""))</f>
        <v/>
      </c>
      <c r="N626" s="64">
        <f>IF($A626="","",$H626*설정!$C$15)</f>
        <v/>
      </c>
      <c r="O626" s="4">
        <f>IF($A626="","",J626&amp;"|"&amp;K626)</f>
        <v/>
      </c>
      <c r="P626" s="63">
        <f>IF($A626="","",IF(COUNTIFS(예산_원본!$T$5:$T$3004,O626,예산_원본!$B$5:$B$3004,설정!$C$8,예산_원본!$U$5:$U$3004,L626)&gt;0,"Y","N"))</f>
        <v/>
      </c>
      <c r="Q626" s="63">
        <f>IF($A626="","",IF(COUNTIF(집계!$E$7:$E$506,O626)&gt;0,"Y","N"))</f>
        <v/>
      </c>
    </row>
    <row r="627">
      <c r="A627" s="60" t="n">
        <v>2025</v>
      </c>
      <c r="B627" s="60" t="n">
        <v>8</v>
      </c>
      <c r="C627" s="60" t="inlineStr">
        <is>
          <t>1000</t>
        </is>
      </c>
      <c r="D627" s="60" t="n">
        <v>1801</v>
      </c>
      <c r="E627" s="60" t="inlineStr">
        <is>
          <t>고객서비스</t>
        </is>
      </c>
      <c r="F627" s="60" t="n">
        <v>62901000</v>
      </c>
      <c r="G627" s="60" t="inlineStr">
        <is>
          <t>지급수수료-컨설팅</t>
        </is>
      </c>
      <c r="H627" s="61" t="n">
        <v>29076620</v>
      </c>
      <c r="J627" s="63">
        <f>IF($A627="","",IFERROR(INDEX(부서매핑!$C$5:$C$504,MATCH($D627&amp;"",부서매핑!$A$5:$A$504,0)),"미매핑"))</f>
        <v/>
      </c>
      <c r="K627" s="63">
        <f>IF($A627="","",IFERROR(INDEX(계정매핑!$C$5:$C$504,MATCH($F627&amp;"",계정매핑!$A$5:$A$504,0)),"미매핑"))</f>
        <v/>
      </c>
      <c r="L627" s="4">
        <f>IF($A627="","",VALUE($A627&amp;""))</f>
        <v/>
      </c>
      <c r="M627" s="4">
        <f>IF($A627="","",VALUE($B627&amp;""))</f>
        <v/>
      </c>
      <c r="N627" s="64">
        <f>IF($A627="","",$H627*설정!$C$15)</f>
        <v/>
      </c>
      <c r="O627" s="4">
        <f>IF($A627="","",J627&amp;"|"&amp;K627)</f>
        <v/>
      </c>
      <c r="P627" s="63">
        <f>IF($A627="","",IF(COUNTIFS(예산_원본!$T$5:$T$3004,O627,예산_원본!$B$5:$B$3004,설정!$C$8,예산_원본!$U$5:$U$3004,L627)&gt;0,"Y","N"))</f>
        <v/>
      </c>
      <c r="Q627" s="63">
        <f>IF($A627="","",IF(COUNTIF(집계!$E$7:$E$506,O627)&gt;0,"Y","N"))</f>
        <v/>
      </c>
    </row>
    <row r="628">
      <c r="A628" s="60" t="n">
        <v>2025</v>
      </c>
      <c r="B628" s="60" t="n">
        <v>8</v>
      </c>
      <c r="C628" s="60" t="inlineStr">
        <is>
          <t>1000</t>
        </is>
      </c>
      <c r="D628" s="60" t="n">
        <v>1801</v>
      </c>
      <c r="E628" s="60" t="inlineStr">
        <is>
          <t>고객서비스</t>
        </is>
      </c>
      <c r="F628" s="60" t="n">
        <v>62902000</v>
      </c>
      <c r="G628" s="60" t="inlineStr">
        <is>
          <t>지급수수료-기타</t>
        </is>
      </c>
      <c r="H628" s="61" t="n">
        <v>12361070</v>
      </c>
      <c r="J628" s="63">
        <f>IF($A628="","",IFERROR(INDEX(부서매핑!$C$5:$C$504,MATCH($D628&amp;"",부서매핑!$A$5:$A$504,0)),"미매핑"))</f>
        <v/>
      </c>
      <c r="K628" s="63">
        <f>IF($A628="","",IFERROR(INDEX(계정매핑!$C$5:$C$504,MATCH($F628&amp;"",계정매핑!$A$5:$A$504,0)),"미매핑"))</f>
        <v/>
      </c>
      <c r="L628" s="4">
        <f>IF($A628="","",VALUE($A628&amp;""))</f>
        <v/>
      </c>
      <c r="M628" s="4">
        <f>IF($A628="","",VALUE($B628&amp;""))</f>
        <v/>
      </c>
      <c r="N628" s="64">
        <f>IF($A628="","",$H628*설정!$C$15)</f>
        <v/>
      </c>
      <c r="O628" s="4">
        <f>IF($A628="","",J628&amp;"|"&amp;K628)</f>
        <v/>
      </c>
      <c r="P628" s="63">
        <f>IF($A628="","",IF(COUNTIFS(예산_원본!$T$5:$T$3004,O628,예산_원본!$B$5:$B$3004,설정!$C$8,예산_원본!$U$5:$U$3004,L628)&gt;0,"Y","N"))</f>
        <v/>
      </c>
      <c r="Q628" s="63">
        <f>IF($A628="","",IF(COUNTIF(집계!$E$7:$E$506,O628)&gt;0,"Y","N"))</f>
        <v/>
      </c>
    </row>
    <row r="629">
      <c r="A629" s="60" t="n">
        <v>2025</v>
      </c>
      <c r="B629" s="60" t="n">
        <v>9</v>
      </c>
      <c r="C629" s="60" t="inlineStr">
        <is>
          <t>1000</t>
        </is>
      </c>
      <c r="D629" s="60" t="n">
        <v>1101</v>
      </c>
      <c r="E629" s="60" t="inlineStr">
        <is>
          <t>경영기획</t>
        </is>
      </c>
      <c r="F629" s="60" t="n">
        <v>62101000</v>
      </c>
      <c r="G629" s="60" t="inlineStr">
        <is>
          <t>여비교통비-국내</t>
        </is>
      </c>
      <c r="H629" s="61" t="n">
        <v>2229960</v>
      </c>
      <c r="J629" s="63">
        <f>IF($A629="","",IFERROR(INDEX(부서매핑!$C$5:$C$504,MATCH($D629&amp;"",부서매핑!$A$5:$A$504,0)),"미매핑"))</f>
        <v/>
      </c>
      <c r="K629" s="63">
        <f>IF($A629="","",IFERROR(INDEX(계정매핑!$C$5:$C$504,MATCH($F629&amp;"",계정매핑!$A$5:$A$504,0)),"미매핑"))</f>
        <v/>
      </c>
      <c r="L629" s="4">
        <f>IF($A629="","",VALUE($A629&amp;""))</f>
        <v/>
      </c>
      <c r="M629" s="4">
        <f>IF($A629="","",VALUE($B629&amp;""))</f>
        <v/>
      </c>
      <c r="N629" s="64">
        <f>IF($A629="","",$H629*설정!$C$15)</f>
        <v/>
      </c>
      <c r="O629" s="4">
        <f>IF($A629="","",J629&amp;"|"&amp;K629)</f>
        <v/>
      </c>
      <c r="P629" s="63">
        <f>IF($A629="","",IF(COUNTIFS(예산_원본!$T$5:$T$3004,O629,예산_원본!$B$5:$B$3004,설정!$C$8,예산_원본!$U$5:$U$3004,L629)&gt;0,"Y","N"))</f>
        <v/>
      </c>
      <c r="Q629" s="63">
        <f>IF($A629="","",IF(COUNTIF(집계!$E$7:$E$506,O629)&gt;0,"Y","N"))</f>
        <v/>
      </c>
    </row>
    <row r="630">
      <c r="A630" s="60" t="n">
        <v>2025</v>
      </c>
      <c r="B630" s="60" t="n">
        <v>9</v>
      </c>
      <c r="C630" s="60" t="inlineStr">
        <is>
          <t>1000</t>
        </is>
      </c>
      <c r="D630" s="60" t="n">
        <v>1101</v>
      </c>
      <c r="E630" s="60" t="inlineStr">
        <is>
          <t>경영기획</t>
        </is>
      </c>
      <c r="F630" s="60" t="n">
        <v>62102000</v>
      </c>
      <c r="G630" s="60" t="inlineStr">
        <is>
          <t>여비교통비-해외</t>
        </is>
      </c>
      <c r="H630" s="61" t="n">
        <v>346490</v>
      </c>
      <c r="J630" s="63">
        <f>IF($A630="","",IFERROR(INDEX(부서매핑!$C$5:$C$504,MATCH($D630&amp;"",부서매핑!$A$5:$A$504,0)),"미매핑"))</f>
        <v/>
      </c>
      <c r="K630" s="63">
        <f>IF($A630="","",IFERROR(INDEX(계정매핑!$C$5:$C$504,MATCH($F630&amp;"",계정매핑!$A$5:$A$504,0)),"미매핑"))</f>
        <v/>
      </c>
      <c r="L630" s="4">
        <f>IF($A630="","",VALUE($A630&amp;""))</f>
        <v/>
      </c>
      <c r="M630" s="4">
        <f>IF($A630="","",VALUE($B630&amp;""))</f>
        <v/>
      </c>
      <c r="N630" s="64">
        <f>IF($A630="","",$H630*설정!$C$15)</f>
        <v/>
      </c>
      <c r="O630" s="4">
        <f>IF($A630="","",J630&amp;"|"&amp;K630)</f>
        <v/>
      </c>
      <c r="P630" s="63">
        <f>IF($A630="","",IF(COUNTIFS(예산_원본!$T$5:$T$3004,O630,예산_원본!$B$5:$B$3004,설정!$C$8,예산_원본!$U$5:$U$3004,L630)&gt;0,"Y","N"))</f>
        <v/>
      </c>
      <c r="Q630" s="63">
        <f>IF($A630="","",IF(COUNTIF(집계!$E$7:$E$506,O630)&gt;0,"Y","N"))</f>
        <v/>
      </c>
    </row>
    <row r="631">
      <c r="A631" s="60" t="n">
        <v>2025</v>
      </c>
      <c r="B631" s="60" t="n">
        <v>9</v>
      </c>
      <c r="C631" s="60" t="inlineStr">
        <is>
          <t>1000</t>
        </is>
      </c>
      <c r="D631" s="60" t="n">
        <v>1101</v>
      </c>
      <c r="E631" s="60" t="inlineStr">
        <is>
          <t>경영기획</t>
        </is>
      </c>
      <c r="F631" s="60" t="n">
        <v>62201000</v>
      </c>
      <c r="G631" s="60" t="inlineStr">
        <is>
          <t>통신비</t>
        </is>
      </c>
      <c r="H631" s="61" t="n">
        <v>781090</v>
      </c>
      <c r="J631" s="63">
        <f>IF($A631="","",IFERROR(INDEX(부서매핑!$C$5:$C$504,MATCH($D631&amp;"",부서매핑!$A$5:$A$504,0)),"미매핑"))</f>
        <v/>
      </c>
      <c r="K631" s="63">
        <f>IF($A631="","",IFERROR(INDEX(계정매핑!$C$5:$C$504,MATCH($F631&amp;"",계정매핑!$A$5:$A$504,0)),"미매핑"))</f>
        <v/>
      </c>
      <c r="L631" s="4">
        <f>IF($A631="","",VALUE($A631&amp;""))</f>
        <v/>
      </c>
      <c r="M631" s="4">
        <f>IF($A631="","",VALUE($B631&amp;""))</f>
        <v/>
      </c>
      <c r="N631" s="64">
        <f>IF($A631="","",$H631*설정!$C$15)</f>
        <v/>
      </c>
      <c r="O631" s="4">
        <f>IF($A631="","",J631&amp;"|"&amp;K631)</f>
        <v/>
      </c>
      <c r="P631" s="63">
        <f>IF($A631="","",IF(COUNTIFS(예산_원본!$T$5:$T$3004,O631,예산_원본!$B$5:$B$3004,설정!$C$8,예산_원본!$U$5:$U$3004,L631)&gt;0,"Y","N"))</f>
        <v/>
      </c>
      <c r="Q631" s="63">
        <f>IF($A631="","",IF(COUNTIF(집계!$E$7:$E$506,O631)&gt;0,"Y","N"))</f>
        <v/>
      </c>
    </row>
    <row r="632">
      <c r="A632" s="60" t="n">
        <v>2025</v>
      </c>
      <c r="B632" s="60" t="n">
        <v>9</v>
      </c>
      <c r="C632" s="60" t="inlineStr">
        <is>
          <t>1000</t>
        </is>
      </c>
      <c r="D632" s="60" t="n">
        <v>1101</v>
      </c>
      <c r="E632" s="60" t="inlineStr">
        <is>
          <t>경영기획</t>
        </is>
      </c>
      <c r="F632" s="60" t="n">
        <v>62301000</v>
      </c>
      <c r="G632" s="60" t="inlineStr">
        <is>
          <t>소모품비</t>
        </is>
      </c>
      <c r="H632" s="61" t="n">
        <v>431910</v>
      </c>
      <c r="J632" s="63">
        <f>IF($A632="","",IFERROR(INDEX(부서매핑!$C$5:$C$504,MATCH($D632&amp;"",부서매핑!$A$5:$A$504,0)),"미매핑"))</f>
        <v/>
      </c>
      <c r="K632" s="63">
        <f>IF($A632="","",IFERROR(INDEX(계정매핑!$C$5:$C$504,MATCH($F632&amp;"",계정매핑!$A$5:$A$504,0)),"미매핑"))</f>
        <v/>
      </c>
      <c r="L632" s="4">
        <f>IF($A632="","",VALUE($A632&amp;""))</f>
        <v/>
      </c>
      <c r="M632" s="4">
        <f>IF($A632="","",VALUE($B632&amp;""))</f>
        <v/>
      </c>
      <c r="N632" s="64">
        <f>IF($A632="","",$H632*설정!$C$15)</f>
        <v/>
      </c>
      <c r="O632" s="4">
        <f>IF($A632="","",J632&amp;"|"&amp;K632)</f>
        <v/>
      </c>
      <c r="P632" s="63">
        <f>IF($A632="","",IF(COUNTIFS(예산_원본!$T$5:$T$3004,O632,예산_원본!$B$5:$B$3004,설정!$C$8,예산_원본!$U$5:$U$3004,L632)&gt;0,"Y","N"))</f>
        <v/>
      </c>
      <c r="Q632" s="63">
        <f>IF($A632="","",IF(COUNTIF(집계!$E$7:$E$506,O632)&gt;0,"Y","N"))</f>
        <v/>
      </c>
    </row>
    <row r="633">
      <c r="A633" s="60" t="n">
        <v>2025</v>
      </c>
      <c r="B633" s="60" t="n">
        <v>9</v>
      </c>
      <c r="C633" s="60" t="inlineStr">
        <is>
          <t>1000</t>
        </is>
      </c>
      <c r="D633" s="60" t="n">
        <v>1101</v>
      </c>
      <c r="E633" s="60" t="inlineStr">
        <is>
          <t>경영기획</t>
        </is>
      </c>
      <c r="F633" s="60" t="n">
        <v>62501000</v>
      </c>
      <c r="G633" s="60" t="inlineStr">
        <is>
          <t>회의비</t>
        </is>
      </c>
      <c r="H633" s="61" t="n">
        <v>1139490</v>
      </c>
      <c r="J633" s="63">
        <f>IF($A633="","",IFERROR(INDEX(부서매핑!$C$5:$C$504,MATCH($D633&amp;"",부서매핑!$A$5:$A$504,0)),"미매핑"))</f>
        <v/>
      </c>
      <c r="K633" s="63">
        <f>IF($A633="","",IFERROR(INDEX(계정매핑!$C$5:$C$504,MATCH($F633&amp;"",계정매핑!$A$5:$A$504,0)),"미매핑"))</f>
        <v/>
      </c>
      <c r="L633" s="4">
        <f>IF($A633="","",VALUE($A633&amp;""))</f>
        <v/>
      </c>
      <c r="M633" s="4">
        <f>IF($A633="","",VALUE($B633&amp;""))</f>
        <v/>
      </c>
      <c r="N633" s="64">
        <f>IF($A633="","",$H633*설정!$C$15)</f>
        <v/>
      </c>
      <c r="O633" s="4">
        <f>IF($A633="","",J633&amp;"|"&amp;K633)</f>
        <v/>
      </c>
      <c r="P633" s="63">
        <f>IF($A633="","",IF(COUNTIFS(예산_원본!$T$5:$T$3004,O633,예산_원본!$B$5:$B$3004,설정!$C$8,예산_원본!$U$5:$U$3004,L633)&gt;0,"Y","N"))</f>
        <v/>
      </c>
      <c r="Q633" s="63">
        <f>IF($A633="","",IF(COUNTIF(집계!$E$7:$E$506,O633)&gt;0,"Y","N"))</f>
        <v/>
      </c>
    </row>
    <row r="634">
      <c r="A634" s="60" t="n">
        <v>2025</v>
      </c>
      <c r="B634" s="60" t="n">
        <v>9</v>
      </c>
      <c r="C634" s="60" t="inlineStr">
        <is>
          <t>1000</t>
        </is>
      </c>
      <c r="D634" s="60" t="n">
        <v>1101</v>
      </c>
      <c r="E634" s="60" t="inlineStr">
        <is>
          <t>경영기획</t>
        </is>
      </c>
      <c r="F634" s="60" t="n">
        <v>62601000</v>
      </c>
      <c r="G634" s="60" t="inlineStr">
        <is>
          <t>업무추진비</t>
        </is>
      </c>
      <c r="H634" s="61" t="n">
        <v>3161570</v>
      </c>
      <c r="J634" s="63">
        <f>IF($A634="","",IFERROR(INDEX(부서매핑!$C$5:$C$504,MATCH($D634&amp;"",부서매핑!$A$5:$A$504,0)),"미매핑"))</f>
        <v/>
      </c>
      <c r="K634" s="63">
        <f>IF($A634="","",IFERROR(INDEX(계정매핑!$C$5:$C$504,MATCH($F634&amp;"",계정매핑!$A$5:$A$504,0)),"미매핑"))</f>
        <v/>
      </c>
      <c r="L634" s="4">
        <f>IF($A634="","",VALUE($A634&amp;""))</f>
        <v/>
      </c>
      <c r="M634" s="4">
        <f>IF($A634="","",VALUE($B634&amp;""))</f>
        <v/>
      </c>
      <c r="N634" s="64">
        <f>IF($A634="","",$H634*설정!$C$15)</f>
        <v/>
      </c>
      <c r="O634" s="4">
        <f>IF($A634="","",J634&amp;"|"&amp;K634)</f>
        <v/>
      </c>
      <c r="P634" s="63">
        <f>IF($A634="","",IF(COUNTIFS(예산_원본!$T$5:$T$3004,O634,예산_원본!$B$5:$B$3004,설정!$C$8,예산_원본!$U$5:$U$3004,L634)&gt;0,"Y","N"))</f>
        <v/>
      </c>
      <c r="Q634" s="63">
        <f>IF($A634="","",IF(COUNTIF(집계!$E$7:$E$506,O634)&gt;0,"Y","N"))</f>
        <v/>
      </c>
    </row>
    <row r="635">
      <c r="A635" s="60" t="n">
        <v>2025</v>
      </c>
      <c r="B635" s="60" t="n">
        <v>9</v>
      </c>
      <c r="C635" s="60" t="inlineStr">
        <is>
          <t>1000</t>
        </is>
      </c>
      <c r="D635" s="60" t="n">
        <v>1101</v>
      </c>
      <c r="E635" s="60" t="inlineStr">
        <is>
          <t>경영기획</t>
        </is>
      </c>
      <c r="F635" s="60" t="n">
        <v>62901000</v>
      </c>
      <c r="G635" s="60" t="inlineStr">
        <is>
          <t>지급수수료-컨설팅</t>
        </is>
      </c>
      <c r="H635" s="61" t="n">
        <v>11771980</v>
      </c>
      <c r="J635" s="63">
        <f>IF($A635="","",IFERROR(INDEX(부서매핑!$C$5:$C$504,MATCH($D635&amp;"",부서매핑!$A$5:$A$504,0)),"미매핑"))</f>
        <v/>
      </c>
      <c r="K635" s="63">
        <f>IF($A635="","",IFERROR(INDEX(계정매핑!$C$5:$C$504,MATCH($F635&amp;"",계정매핑!$A$5:$A$504,0)),"미매핑"))</f>
        <v/>
      </c>
      <c r="L635" s="4">
        <f>IF($A635="","",VALUE($A635&amp;""))</f>
        <v/>
      </c>
      <c r="M635" s="4">
        <f>IF($A635="","",VALUE($B635&amp;""))</f>
        <v/>
      </c>
      <c r="N635" s="64">
        <f>IF($A635="","",$H635*설정!$C$15)</f>
        <v/>
      </c>
      <c r="O635" s="4">
        <f>IF($A635="","",J635&amp;"|"&amp;K635)</f>
        <v/>
      </c>
      <c r="P635" s="63">
        <f>IF($A635="","",IF(COUNTIFS(예산_원본!$T$5:$T$3004,O635,예산_원본!$B$5:$B$3004,설정!$C$8,예산_원본!$U$5:$U$3004,L635)&gt;0,"Y","N"))</f>
        <v/>
      </c>
      <c r="Q635" s="63">
        <f>IF($A635="","",IF(COUNTIF(집계!$E$7:$E$506,O635)&gt;0,"Y","N"))</f>
        <v/>
      </c>
    </row>
    <row r="636">
      <c r="A636" s="60" t="n">
        <v>2025</v>
      </c>
      <c r="B636" s="60" t="n">
        <v>9</v>
      </c>
      <c r="C636" s="60" t="inlineStr">
        <is>
          <t>1000</t>
        </is>
      </c>
      <c r="D636" s="60" t="n">
        <v>1101</v>
      </c>
      <c r="E636" s="60" t="inlineStr">
        <is>
          <t>경영기획</t>
        </is>
      </c>
      <c r="F636" s="60" t="n">
        <v>62902000</v>
      </c>
      <c r="G636" s="60" t="inlineStr">
        <is>
          <t>지급수수료-기타</t>
        </is>
      </c>
      <c r="H636" s="61" t="n">
        <v>5075330</v>
      </c>
      <c r="J636" s="63">
        <f>IF($A636="","",IFERROR(INDEX(부서매핑!$C$5:$C$504,MATCH($D636&amp;"",부서매핑!$A$5:$A$504,0)),"미매핑"))</f>
        <v/>
      </c>
      <c r="K636" s="63">
        <f>IF($A636="","",IFERROR(INDEX(계정매핑!$C$5:$C$504,MATCH($F636&amp;"",계정매핑!$A$5:$A$504,0)),"미매핑"))</f>
        <v/>
      </c>
      <c r="L636" s="4">
        <f>IF($A636="","",VALUE($A636&amp;""))</f>
        <v/>
      </c>
      <c r="M636" s="4">
        <f>IF($A636="","",VALUE($B636&amp;""))</f>
        <v/>
      </c>
      <c r="N636" s="64">
        <f>IF($A636="","",$H636*설정!$C$15)</f>
        <v/>
      </c>
      <c r="O636" s="4">
        <f>IF($A636="","",J636&amp;"|"&amp;K636)</f>
        <v/>
      </c>
      <c r="P636" s="63">
        <f>IF($A636="","",IF(COUNTIFS(예산_원본!$T$5:$T$3004,O636,예산_원본!$B$5:$B$3004,설정!$C$8,예산_원본!$U$5:$U$3004,L636)&gt;0,"Y","N"))</f>
        <v/>
      </c>
      <c r="Q636" s="63">
        <f>IF($A636="","",IF(COUNTIF(집계!$E$7:$E$506,O636)&gt;0,"Y","N"))</f>
        <v/>
      </c>
    </row>
    <row r="637">
      <c r="A637" s="60" t="n">
        <v>2025</v>
      </c>
      <c r="B637" s="60" t="n">
        <v>9</v>
      </c>
      <c r="C637" s="60" t="inlineStr">
        <is>
          <t>1000</t>
        </is>
      </c>
      <c r="D637" s="60" t="n">
        <v>1201</v>
      </c>
      <c r="E637" s="60" t="inlineStr">
        <is>
          <t>재무회계</t>
        </is>
      </c>
      <c r="F637" s="60" t="n">
        <v>62101000</v>
      </c>
      <c r="G637" s="60" t="inlineStr">
        <is>
          <t>여비교통비-국내</t>
        </is>
      </c>
      <c r="H637" s="61" t="n">
        <v>1151940</v>
      </c>
      <c r="J637" s="63">
        <f>IF($A637="","",IFERROR(INDEX(부서매핑!$C$5:$C$504,MATCH($D637&amp;"",부서매핑!$A$5:$A$504,0)),"미매핑"))</f>
        <v/>
      </c>
      <c r="K637" s="63">
        <f>IF($A637="","",IFERROR(INDEX(계정매핑!$C$5:$C$504,MATCH($F637&amp;"",계정매핑!$A$5:$A$504,0)),"미매핑"))</f>
        <v/>
      </c>
      <c r="L637" s="4">
        <f>IF($A637="","",VALUE($A637&amp;""))</f>
        <v/>
      </c>
      <c r="M637" s="4">
        <f>IF($A637="","",VALUE($B637&amp;""))</f>
        <v/>
      </c>
      <c r="N637" s="64">
        <f>IF($A637="","",$H637*설정!$C$15)</f>
        <v/>
      </c>
      <c r="O637" s="4">
        <f>IF($A637="","",J637&amp;"|"&amp;K637)</f>
        <v/>
      </c>
      <c r="P637" s="63">
        <f>IF($A637="","",IF(COUNTIFS(예산_원본!$T$5:$T$3004,O637,예산_원본!$B$5:$B$3004,설정!$C$8,예산_원본!$U$5:$U$3004,L637)&gt;0,"Y","N"))</f>
        <v/>
      </c>
      <c r="Q637" s="63">
        <f>IF($A637="","",IF(COUNTIF(집계!$E$7:$E$506,O637)&gt;0,"Y","N"))</f>
        <v/>
      </c>
    </row>
    <row r="638">
      <c r="A638" s="60" t="n">
        <v>2025</v>
      </c>
      <c r="B638" s="60" t="n">
        <v>9</v>
      </c>
      <c r="C638" s="60" t="inlineStr">
        <is>
          <t>1000</t>
        </is>
      </c>
      <c r="D638" s="60" t="n">
        <v>1201</v>
      </c>
      <c r="E638" s="60" t="inlineStr">
        <is>
          <t>재무회계</t>
        </is>
      </c>
      <c r="F638" s="60" t="n">
        <v>62102000</v>
      </c>
      <c r="G638" s="60" t="inlineStr">
        <is>
          <t>여비교통비-해외</t>
        </is>
      </c>
      <c r="H638" s="61" t="n">
        <v>183700</v>
      </c>
      <c r="J638" s="63">
        <f>IF($A638="","",IFERROR(INDEX(부서매핑!$C$5:$C$504,MATCH($D638&amp;"",부서매핑!$A$5:$A$504,0)),"미매핑"))</f>
        <v/>
      </c>
      <c r="K638" s="63">
        <f>IF($A638="","",IFERROR(INDEX(계정매핑!$C$5:$C$504,MATCH($F638&amp;"",계정매핑!$A$5:$A$504,0)),"미매핑"))</f>
        <v/>
      </c>
      <c r="L638" s="4">
        <f>IF($A638="","",VALUE($A638&amp;""))</f>
        <v/>
      </c>
      <c r="M638" s="4">
        <f>IF($A638="","",VALUE($B638&amp;""))</f>
        <v/>
      </c>
      <c r="N638" s="64">
        <f>IF($A638="","",$H638*설정!$C$15)</f>
        <v/>
      </c>
      <c r="O638" s="4">
        <f>IF($A638="","",J638&amp;"|"&amp;K638)</f>
        <v/>
      </c>
      <c r="P638" s="63">
        <f>IF($A638="","",IF(COUNTIFS(예산_원본!$T$5:$T$3004,O638,예산_원본!$B$5:$B$3004,설정!$C$8,예산_원본!$U$5:$U$3004,L638)&gt;0,"Y","N"))</f>
        <v/>
      </c>
      <c r="Q638" s="63">
        <f>IF($A638="","",IF(COUNTIF(집계!$E$7:$E$506,O638)&gt;0,"Y","N"))</f>
        <v/>
      </c>
    </row>
    <row r="639">
      <c r="A639" s="60" t="n">
        <v>2025</v>
      </c>
      <c r="B639" s="60" t="n">
        <v>9</v>
      </c>
      <c r="C639" s="60" t="inlineStr">
        <is>
          <t>1000</t>
        </is>
      </c>
      <c r="D639" s="60" t="n">
        <v>1201</v>
      </c>
      <c r="E639" s="60" t="inlineStr">
        <is>
          <t>재무회계</t>
        </is>
      </c>
      <c r="F639" s="60" t="n">
        <v>62201000</v>
      </c>
      <c r="G639" s="60" t="inlineStr">
        <is>
          <t>통신비</t>
        </is>
      </c>
      <c r="H639" s="61" t="n">
        <v>577000</v>
      </c>
      <c r="J639" s="63">
        <f>IF($A639="","",IFERROR(INDEX(부서매핑!$C$5:$C$504,MATCH($D639&amp;"",부서매핑!$A$5:$A$504,0)),"미매핑"))</f>
        <v/>
      </c>
      <c r="K639" s="63">
        <f>IF($A639="","",IFERROR(INDEX(계정매핑!$C$5:$C$504,MATCH($F639&amp;"",계정매핑!$A$5:$A$504,0)),"미매핑"))</f>
        <v/>
      </c>
      <c r="L639" s="4">
        <f>IF($A639="","",VALUE($A639&amp;""))</f>
        <v/>
      </c>
      <c r="M639" s="4">
        <f>IF($A639="","",VALUE($B639&amp;""))</f>
        <v/>
      </c>
      <c r="N639" s="64">
        <f>IF($A639="","",$H639*설정!$C$15)</f>
        <v/>
      </c>
      <c r="O639" s="4">
        <f>IF($A639="","",J639&amp;"|"&amp;K639)</f>
        <v/>
      </c>
      <c r="P639" s="63">
        <f>IF($A639="","",IF(COUNTIFS(예산_원본!$T$5:$T$3004,O639,예산_원본!$B$5:$B$3004,설정!$C$8,예산_원본!$U$5:$U$3004,L639)&gt;0,"Y","N"))</f>
        <v/>
      </c>
      <c r="Q639" s="63">
        <f>IF($A639="","",IF(COUNTIF(집계!$E$7:$E$506,O639)&gt;0,"Y","N"))</f>
        <v/>
      </c>
    </row>
    <row r="640">
      <c r="A640" s="60" t="n">
        <v>2025</v>
      </c>
      <c r="B640" s="60" t="n">
        <v>9</v>
      </c>
      <c r="C640" s="60" t="inlineStr">
        <is>
          <t>1000</t>
        </is>
      </c>
      <c r="D640" s="60" t="n">
        <v>1201</v>
      </c>
      <c r="E640" s="60" t="inlineStr">
        <is>
          <t>재무회계</t>
        </is>
      </c>
      <c r="F640" s="60" t="n">
        <v>62301000</v>
      </c>
      <c r="G640" s="60" t="inlineStr">
        <is>
          <t>소모품비</t>
        </is>
      </c>
      <c r="H640" s="61" t="n">
        <v>491900</v>
      </c>
      <c r="J640" s="63">
        <f>IF($A640="","",IFERROR(INDEX(부서매핑!$C$5:$C$504,MATCH($D640&amp;"",부서매핑!$A$5:$A$504,0)),"미매핑"))</f>
        <v/>
      </c>
      <c r="K640" s="63">
        <f>IF($A640="","",IFERROR(INDEX(계정매핑!$C$5:$C$504,MATCH($F640&amp;"",계정매핑!$A$5:$A$504,0)),"미매핑"))</f>
        <v/>
      </c>
      <c r="L640" s="4">
        <f>IF($A640="","",VALUE($A640&amp;""))</f>
        <v/>
      </c>
      <c r="M640" s="4">
        <f>IF($A640="","",VALUE($B640&amp;""))</f>
        <v/>
      </c>
      <c r="N640" s="64">
        <f>IF($A640="","",$H640*설정!$C$15)</f>
        <v/>
      </c>
      <c r="O640" s="4">
        <f>IF($A640="","",J640&amp;"|"&amp;K640)</f>
        <v/>
      </c>
      <c r="P640" s="63">
        <f>IF($A640="","",IF(COUNTIFS(예산_원본!$T$5:$T$3004,O640,예산_원본!$B$5:$B$3004,설정!$C$8,예산_원본!$U$5:$U$3004,L640)&gt;0,"Y","N"))</f>
        <v/>
      </c>
      <c r="Q640" s="63">
        <f>IF($A640="","",IF(COUNTIF(집계!$E$7:$E$506,O640)&gt;0,"Y","N"))</f>
        <v/>
      </c>
    </row>
    <row r="641">
      <c r="A641" s="60" t="n">
        <v>2025</v>
      </c>
      <c r="B641" s="60" t="n">
        <v>9</v>
      </c>
      <c r="C641" s="60" t="inlineStr">
        <is>
          <t>1000</t>
        </is>
      </c>
      <c r="D641" s="60" t="n">
        <v>1201</v>
      </c>
      <c r="E641" s="60" t="inlineStr">
        <is>
          <t>재무회계</t>
        </is>
      </c>
      <c r="F641" s="60" t="n">
        <v>62501000</v>
      </c>
      <c r="G641" s="60" t="inlineStr">
        <is>
          <t>회의비</t>
        </is>
      </c>
      <c r="H641" s="61" t="n">
        <v>504020</v>
      </c>
      <c r="J641" s="63">
        <f>IF($A641="","",IFERROR(INDEX(부서매핑!$C$5:$C$504,MATCH($D641&amp;"",부서매핑!$A$5:$A$504,0)),"미매핑"))</f>
        <v/>
      </c>
      <c r="K641" s="63">
        <f>IF($A641="","",IFERROR(INDEX(계정매핑!$C$5:$C$504,MATCH($F641&amp;"",계정매핑!$A$5:$A$504,0)),"미매핑"))</f>
        <v/>
      </c>
      <c r="L641" s="4">
        <f>IF($A641="","",VALUE($A641&amp;""))</f>
        <v/>
      </c>
      <c r="M641" s="4">
        <f>IF($A641="","",VALUE($B641&amp;""))</f>
        <v/>
      </c>
      <c r="N641" s="64">
        <f>IF($A641="","",$H641*설정!$C$15)</f>
        <v/>
      </c>
      <c r="O641" s="4">
        <f>IF($A641="","",J641&amp;"|"&amp;K641)</f>
        <v/>
      </c>
      <c r="P641" s="63">
        <f>IF($A641="","",IF(COUNTIFS(예산_원본!$T$5:$T$3004,O641,예산_원본!$B$5:$B$3004,설정!$C$8,예산_원본!$U$5:$U$3004,L641)&gt;0,"Y","N"))</f>
        <v/>
      </c>
      <c r="Q641" s="63">
        <f>IF($A641="","",IF(COUNTIF(집계!$E$7:$E$506,O641)&gt;0,"Y","N"))</f>
        <v/>
      </c>
    </row>
    <row r="642">
      <c r="A642" s="60" t="n">
        <v>2025</v>
      </c>
      <c r="B642" s="60" t="n">
        <v>9</v>
      </c>
      <c r="C642" s="60" t="inlineStr">
        <is>
          <t>1000</t>
        </is>
      </c>
      <c r="D642" s="60" t="n">
        <v>1201</v>
      </c>
      <c r="E642" s="60" t="inlineStr">
        <is>
          <t>재무회계</t>
        </is>
      </c>
      <c r="F642" s="60" t="n">
        <v>62901000</v>
      </c>
      <c r="G642" s="60" t="inlineStr">
        <is>
          <t>지급수수료-컨설팅</t>
        </is>
      </c>
      <c r="H642" s="61" t="n">
        <v>23119500</v>
      </c>
      <c r="J642" s="63">
        <f>IF($A642="","",IFERROR(INDEX(부서매핑!$C$5:$C$504,MATCH($D642&amp;"",부서매핑!$A$5:$A$504,0)),"미매핑"))</f>
        <v/>
      </c>
      <c r="K642" s="63">
        <f>IF($A642="","",IFERROR(INDEX(계정매핑!$C$5:$C$504,MATCH($F642&amp;"",계정매핑!$A$5:$A$504,0)),"미매핑"))</f>
        <v/>
      </c>
      <c r="L642" s="4">
        <f>IF($A642="","",VALUE($A642&amp;""))</f>
        <v/>
      </c>
      <c r="M642" s="4">
        <f>IF($A642="","",VALUE($B642&amp;""))</f>
        <v/>
      </c>
      <c r="N642" s="64">
        <f>IF($A642="","",$H642*설정!$C$15)</f>
        <v/>
      </c>
      <c r="O642" s="4">
        <f>IF($A642="","",J642&amp;"|"&amp;K642)</f>
        <v/>
      </c>
      <c r="P642" s="63">
        <f>IF($A642="","",IF(COUNTIFS(예산_원본!$T$5:$T$3004,O642,예산_원본!$B$5:$B$3004,설정!$C$8,예산_원본!$U$5:$U$3004,L642)&gt;0,"Y","N"))</f>
        <v/>
      </c>
      <c r="Q642" s="63">
        <f>IF($A642="","",IF(COUNTIF(집계!$E$7:$E$506,O642)&gt;0,"Y","N"))</f>
        <v/>
      </c>
    </row>
    <row r="643">
      <c r="A643" s="60" t="n">
        <v>2025</v>
      </c>
      <c r="B643" s="60" t="n">
        <v>9</v>
      </c>
      <c r="C643" s="60" t="inlineStr">
        <is>
          <t>1000</t>
        </is>
      </c>
      <c r="D643" s="60" t="n">
        <v>1201</v>
      </c>
      <c r="E643" s="60" t="inlineStr">
        <is>
          <t>재무회계</t>
        </is>
      </c>
      <c r="F643" s="60" t="n">
        <v>62902000</v>
      </c>
      <c r="G643" s="60" t="inlineStr">
        <is>
          <t>지급수수료-기타</t>
        </is>
      </c>
      <c r="H643" s="61" t="n">
        <v>8418060</v>
      </c>
      <c r="J643" s="63">
        <f>IF($A643="","",IFERROR(INDEX(부서매핑!$C$5:$C$504,MATCH($D643&amp;"",부서매핑!$A$5:$A$504,0)),"미매핑"))</f>
        <v/>
      </c>
      <c r="K643" s="63">
        <f>IF($A643="","",IFERROR(INDEX(계정매핑!$C$5:$C$504,MATCH($F643&amp;"",계정매핑!$A$5:$A$504,0)),"미매핑"))</f>
        <v/>
      </c>
      <c r="L643" s="4">
        <f>IF($A643="","",VALUE($A643&amp;""))</f>
        <v/>
      </c>
      <c r="M643" s="4">
        <f>IF($A643="","",VALUE($B643&amp;""))</f>
        <v/>
      </c>
      <c r="N643" s="64">
        <f>IF($A643="","",$H643*설정!$C$15)</f>
        <v/>
      </c>
      <c r="O643" s="4">
        <f>IF($A643="","",J643&amp;"|"&amp;K643)</f>
        <v/>
      </c>
      <c r="P643" s="63">
        <f>IF($A643="","",IF(COUNTIFS(예산_원본!$T$5:$T$3004,O643,예산_원본!$B$5:$B$3004,설정!$C$8,예산_원본!$U$5:$U$3004,L643)&gt;0,"Y","N"))</f>
        <v/>
      </c>
      <c r="Q643" s="63">
        <f>IF($A643="","",IF(COUNTIF(집계!$E$7:$E$506,O643)&gt;0,"Y","N"))</f>
        <v/>
      </c>
    </row>
    <row r="644">
      <c r="A644" s="60" t="n">
        <v>2025</v>
      </c>
      <c r="B644" s="60" t="n">
        <v>9</v>
      </c>
      <c r="C644" s="60" t="inlineStr">
        <is>
          <t>1000</t>
        </is>
      </c>
      <c r="D644" s="60" t="n">
        <v>1301</v>
      </c>
      <c r="E644" s="60" t="inlineStr">
        <is>
          <t>인사</t>
        </is>
      </c>
      <c r="F644" s="60" t="n">
        <v>62101000</v>
      </c>
      <c r="G644" s="60" t="inlineStr">
        <is>
          <t>여비교통비-국내</t>
        </is>
      </c>
      <c r="H644" s="61" t="n">
        <v>1645990</v>
      </c>
      <c r="J644" s="63">
        <f>IF($A644="","",IFERROR(INDEX(부서매핑!$C$5:$C$504,MATCH($D644&amp;"",부서매핑!$A$5:$A$504,0)),"미매핑"))</f>
        <v/>
      </c>
      <c r="K644" s="63">
        <f>IF($A644="","",IFERROR(INDEX(계정매핑!$C$5:$C$504,MATCH($F644&amp;"",계정매핑!$A$5:$A$504,0)),"미매핑"))</f>
        <v/>
      </c>
      <c r="L644" s="4">
        <f>IF($A644="","",VALUE($A644&amp;""))</f>
        <v/>
      </c>
      <c r="M644" s="4">
        <f>IF($A644="","",VALUE($B644&amp;""))</f>
        <v/>
      </c>
      <c r="N644" s="64">
        <f>IF($A644="","",$H644*설정!$C$15)</f>
        <v/>
      </c>
      <c r="O644" s="4">
        <f>IF($A644="","",J644&amp;"|"&amp;K644)</f>
        <v/>
      </c>
      <c r="P644" s="63">
        <f>IF($A644="","",IF(COUNTIFS(예산_원본!$T$5:$T$3004,O644,예산_원본!$B$5:$B$3004,설정!$C$8,예산_원본!$U$5:$U$3004,L644)&gt;0,"Y","N"))</f>
        <v/>
      </c>
      <c r="Q644" s="63">
        <f>IF($A644="","",IF(COUNTIF(집계!$E$7:$E$506,O644)&gt;0,"Y","N"))</f>
        <v/>
      </c>
    </row>
    <row r="645">
      <c r="A645" s="60" t="n">
        <v>2025</v>
      </c>
      <c r="B645" s="60" t="n">
        <v>9</v>
      </c>
      <c r="C645" s="60" t="inlineStr">
        <is>
          <t>1000</t>
        </is>
      </c>
      <c r="D645" s="60" t="n">
        <v>1301</v>
      </c>
      <c r="E645" s="60" t="inlineStr">
        <is>
          <t>인사</t>
        </is>
      </c>
      <c r="F645" s="60" t="n">
        <v>62102000</v>
      </c>
      <c r="G645" s="60" t="inlineStr">
        <is>
          <t>여비교통비-해외</t>
        </is>
      </c>
      <c r="H645" s="61" t="n">
        <v>314620</v>
      </c>
      <c r="J645" s="63">
        <f>IF($A645="","",IFERROR(INDEX(부서매핑!$C$5:$C$504,MATCH($D645&amp;"",부서매핑!$A$5:$A$504,0)),"미매핑"))</f>
        <v/>
      </c>
      <c r="K645" s="63">
        <f>IF($A645="","",IFERROR(INDEX(계정매핑!$C$5:$C$504,MATCH($F645&amp;"",계정매핑!$A$5:$A$504,0)),"미매핑"))</f>
        <v/>
      </c>
      <c r="L645" s="4">
        <f>IF($A645="","",VALUE($A645&amp;""))</f>
        <v/>
      </c>
      <c r="M645" s="4">
        <f>IF($A645="","",VALUE($B645&amp;""))</f>
        <v/>
      </c>
      <c r="N645" s="64">
        <f>IF($A645="","",$H645*설정!$C$15)</f>
        <v/>
      </c>
      <c r="O645" s="4">
        <f>IF($A645="","",J645&amp;"|"&amp;K645)</f>
        <v/>
      </c>
      <c r="P645" s="63">
        <f>IF($A645="","",IF(COUNTIFS(예산_원본!$T$5:$T$3004,O645,예산_원본!$B$5:$B$3004,설정!$C$8,예산_원본!$U$5:$U$3004,L645)&gt;0,"Y","N"))</f>
        <v/>
      </c>
      <c r="Q645" s="63">
        <f>IF($A645="","",IF(COUNTIF(집계!$E$7:$E$506,O645)&gt;0,"Y","N"))</f>
        <v/>
      </c>
    </row>
    <row r="646">
      <c r="A646" s="60" t="n">
        <v>2025</v>
      </c>
      <c r="B646" s="60" t="n">
        <v>9</v>
      </c>
      <c r="C646" s="60" t="inlineStr">
        <is>
          <t>1000</t>
        </is>
      </c>
      <c r="D646" s="60" t="n">
        <v>1301</v>
      </c>
      <c r="E646" s="60" t="inlineStr">
        <is>
          <t>인사</t>
        </is>
      </c>
      <c r="F646" s="60" t="n">
        <v>62201000</v>
      </c>
      <c r="G646" s="60" t="inlineStr">
        <is>
          <t>통신비</t>
        </is>
      </c>
      <c r="H646" s="61" t="n">
        <v>542860</v>
      </c>
      <c r="J646" s="63">
        <f>IF($A646="","",IFERROR(INDEX(부서매핑!$C$5:$C$504,MATCH($D646&amp;"",부서매핑!$A$5:$A$504,0)),"미매핑"))</f>
        <v/>
      </c>
      <c r="K646" s="63">
        <f>IF($A646="","",IFERROR(INDEX(계정매핑!$C$5:$C$504,MATCH($F646&amp;"",계정매핑!$A$5:$A$504,0)),"미매핑"))</f>
        <v/>
      </c>
      <c r="L646" s="4">
        <f>IF($A646="","",VALUE($A646&amp;""))</f>
        <v/>
      </c>
      <c r="M646" s="4">
        <f>IF($A646="","",VALUE($B646&amp;""))</f>
        <v/>
      </c>
      <c r="N646" s="64">
        <f>IF($A646="","",$H646*설정!$C$15)</f>
        <v/>
      </c>
      <c r="O646" s="4">
        <f>IF($A646="","",J646&amp;"|"&amp;K646)</f>
        <v/>
      </c>
      <c r="P646" s="63">
        <f>IF($A646="","",IF(COUNTIFS(예산_원본!$T$5:$T$3004,O646,예산_원본!$B$5:$B$3004,설정!$C$8,예산_원본!$U$5:$U$3004,L646)&gt;0,"Y","N"))</f>
        <v/>
      </c>
      <c r="Q646" s="63">
        <f>IF($A646="","",IF(COUNTIF(집계!$E$7:$E$506,O646)&gt;0,"Y","N"))</f>
        <v/>
      </c>
    </row>
    <row r="647">
      <c r="A647" s="60" t="n">
        <v>2025</v>
      </c>
      <c r="B647" s="60" t="n">
        <v>9</v>
      </c>
      <c r="C647" s="60" t="inlineStr">
        <is>
          <t>1000</t>
        </is>
      </c>
      <c r="D647" s="60" t="n">
        <v>1301</v>
      </c>
      <c r="E647" s="60" t="inlineStr">
        <is>
          <t>인사</t>
        </is>
      </c>
      <c r="F647" s="60" t="n">
        <v>62301000</v>
      </c>
      <c r="G647" s="60" t="inlineStr">
        <is>
          <t>소모품비</t>
        </is>
      </c>
      <c r="H647" s="61" t="n">
        <v>720700</v>
      </c>
      <c r="J647" s="63">
        <f>IF($A647="","",IFERROR(INDEX(부서매핑!$C$5:$C$504,MATCH($D647&amp;"",부서매핑!$A$5:$A$504,0)),"미매핑"))</f>
        <v/>
      </c>
      <c r="K647" s="63">
        <f>IF($A647="","",IFERROR(INDEX(계정매핑!$C$5:$C$504,MATCH($F647&amp;"",계정매핑!$A$5:$A$504,0)),"미매핑"))</f>
        <v/>
      </c>
      <c r="L647" s="4">
        <f>IF($A647="","",VALUE($A647&amp;""))</f>
        <v/>
      </c>
      <c r="M647" s="4">
        <f>IF($A647="","",VALUE($B647&amp;""))</f>
        <v/>
      </c>
      <c r="N647" s="64">
        <f>IF($A647="","",$H647*설정!$C$15)</f>
        <v/>
      </c>
      <c r="O647" s="4">
        <f>IF($A647="","",J647&amp;"|"&amp;K647)</f>
        <v/>
      </c>
      <c r="P647" s="63">
        <f>IF($A647="","",IF(COUNTIFS(예산_원본!$T$5:$T$3004,O647,예산_원본!$B$5:$B$3004,설정!$C$8,예산_원본!$U$5:$U$3004,L647)&gt;0,"Y","N"))</f>
        <v/>
      </c>
      <c r="Q647" s="63">
        <f>IF($A647="","",IF(COUNTIF(집계!$E$7:$E$506,O647)&gt;0,"Y","N"))</f>
        <v/>
      </c>
    </row>
    <row r="648">
      <c r="A648" s="60" t="n">
        <v>2025</v>
      </c>
      <c r="B648" s="60" t="n">
        <v>9</v>
      </c>
      <c r="C648" s="60" t="inlineStr">
        <is>
          <t>1000</t>
        </is>
      </c>
      <c r="D648" s="60" t="n">
        <v>1301</v>
      </c>
      <c r="E648" s="60" t="inlineStr">
        <is>
          <t>인사</t>
        </is>
      </c>
      <c r="F648" s="60" t="n">
        <v>62501000</v>
      </c>
      <c r="G648" s="60" t="inlineStr">
        <is>
          <t>회의비</t>
        </is>
      </c>
      <c r="H648" s="61" t="n">
        <v>619320</v>
      </c>
      <c r="J648" s="63">
        <f>IF($A648="","",IFERROR(INDEX(부서매핑!$C$5:$C$504,MATCH($D648&amp;"",부서매핑!$A$5:$A$504,0)),"미매핑"))</f>
        <v/>
      </c>
      <c r="K648" s="63">
        <f>IF($A648="","",IFERROR(INDEX(계정매핑!$C$5:$C$504,MATCH($F648&amp;"",계정매핑!$A$5:$A$504,0)),"미매핑"))</f>
        <v/>
      </c>
      <c r="L648" s="4">
        <f>IF($A648="","",VALUE($A648&amp;""))</f>
        <v/>
      </c>
      <c r="M648" s="4">
        <f>IF($A648="","",VALUE($B648&amp;""))</f>
        <v/>
      </c>
      <c r="N648" s="64">
        <f>IF($A648="","",$H648*설정!$C$15)</f>
        <v/>
      </c>
      <c r="O648" s="4">
        <f>IF($A648="","",J648&amp;"|"&amp;K648)</f>
        <v/>
      </c>
      <c r="P648" s="63">
        <f>IF($A648="","",IF(COUNTIFS(예산_원본!$T$5:$T$3004,O648,예산_원본!$B$5:$B$3004,설정!$C$8,예산_원본!$U$5:$U$3004,L648)&gt;0,"Y","N"))</f>
        <v/>
      </c>
      <c r="Q648" s="63">
        <f>IF($A648="","",IF(COUNTIF(집계!$E$7:$E$506,O648)&gt;0,"Y","N"))</f>
        <v/>
      </c>
    </row>
    <row r="649">
      <c r="A649" s="60" t="n">
        <v>2025</v>
      </c>
      <c r="B649" s="60" t="n">
        <v>9</v>
      </c>
      <c r="C649" s="60" t="inlineStr">
        <is>
          <t>1000</t>
        </is>
      </c>
      <c r="D649" s="60" t="n">
        <v>1301</v>
      </c>
      <c r="E649" s="60" t="inlineStr">
        <is>
          <t>인사</t>
        </is>
      </c>
      <c r="F649" s="60" t="n">
        <v>62601000</v>
      </c>
      <c r="G649" s="60" t="inlineStr">
        <is>
          <t>업무추진비</t>
        </is>
      </c>
      <c r="H649" s="61" t="n">
        <v>2251110</v>
      </c>
      <c r="J649" s="63">
        <f>IF($A649="","",IFERROR(INDEX(부서매핑!$C$5:$C$504,MATCH($D649&amp;"",부서매핑!$A$5:$A$504,0)),"미매핑"))</f>
        <v/>
      </c>
      <c r="K649" s="63">
        <f>IF($A649="","",IFERROR(INDEX(계정매핑!$C$5:$C$504,MATCH($F649&amp;"",계정매핑!$A$5:$A$504,0)),"미매핑"))</f>
        <v/>
      </c>
      <c r="L649" s="4">
        <f>IF($A649="","",VALUE($A649&amp;""))</f>
        <v/>
      </c>
      <c r="M649" s="4">
        <f>IF($A649="","",VALUE($B649&amp;""))</f>
        <v/>
      </c>
      <c r="N649" s="64">
        <f>IF($A649="","",$H649*설정!$C$15)</f>
        <v/>
      </c>
      <c r="O649" s="4">
        <f>IF($A649="","",J649&amp;"|"&amp;K649)</f>
        <v/>
      </c>
      <c r="P649" s="63">
        <f>IF($A649="","",IF(COUNTIFS(예산_원본!$T$5:$T$3004,O649,예산_원본!$B$5:$B$3004,설정!$C$8,예산_원본!$U$5:$U$3004,L649)&gt;0,"Y","N"))</f>
        <v/>
      </c>
      <c r="Q649" s="63">
        <f>IF($A649="","",IF(COUNTIF(집계!$E$7:$E$506,O649)&gt;0,"Y","N"))</f>
        <v/>
      </c>
    </row>
    <row r="650">
      <c r="A650" s="60" t="n">
        <v>2025</v>
      </c>
      <c r="B650" s="60" t="n">
        <v>9</v>
      </c>
      <c r="C650" s="60" t="inlineStr">
        <is>
          <t>1000</t>
        </is>
      </c>
      <c r="D650" s="60" t="n">
        <v>1301</v>
      </c>
      <c r="E650" s="60" t="inlineStr">
        <is>
          <t>인사</t>
        </is>
      </c>
      <c r="F650" s="60" t="n">
        <v>62801000</v>
      </c>
      <c r="G650" s="60" t="inlineStr">
        <is>
          <t>교육훈련비-사내</t>
        </is>
      </c>
      <c r="H650" s="61" t="n">
        <v>17163230</v>
      </c>
      <c r="J650" s="63">
        <f>IF($A650="","",IFERROR(INDEX(부서매핑!$C$5:$C$504,MATCH($D650&amp;"",부서매핑!$A$5:$A$504,0)),"미매핑"))</f>
        <v/>
      </c>
      <c r="K650" s="63">
        <f>IF($A650="","",IFERROR(INDEX(계정매핑!$C$5:$C$504,MATCH($F650&amp;"",계정매핑!$A$5:$A$504,0)),"미매핑"))</f>
        <v/>
      </c>
      <c r="L650" s="4">
        <f>IF($A650="","",VALUE($A650&amp;""))</f>
        <v/>
      </c>
      <c r="M650" s="4">
        <f>IF($A650="","",VALUE($B650&amp;""))</f>
        <v/>
      </c>
      <c r="N650" s="64">
        <f>IF($A650="","",$H650*설정!$C$15)</f>
        <v/>
      </c>
      <c r="O650" s="4">
        <f>IF($A650="","",J650&amp;"|"&amp;K650)</f>
        <v/>
      </c>
      <c r="P650" s="63">
        <f>IF($A650="","",IF(COUNTIFS(예산_원본!$T$5:$T$3004,O650,예산_원본!$B$5:$B$3004,설정!$C$8,예산_원본!$U$5:$U$3004,L650)&gt;0,"Y","N"))</f>
        <v/>
      </c>
      <c r="Q650" s="63">
        <f>IF($A650="","",IF(COUNTIF(집계!$E$7:$E$506,O650)&gt;0,"Y","N"))</f>
        <v/>
      </c>
    </row>
    <row r="651">
      <c r="A651" s="60" t="n">
        <v>2025</v>
      </c>
      <c r="B651" s="60" t="n">
        <v>9</v>
      </c>
      <c r="C651" s="60" t="inlineStr">
        <is>
          <t>1000</t>
        </is>
      </c>
      <c r="D651" s="60" t="n">
        <v>1301</v>
      </c>
      <c r="E651" s="60" t="inlineStr">
        <is>
          <t>인사</t>
        </is>
      </c>
      <c r="F651" s="60" t="n">
        <v>62802000</v>
      </c>
      <c r="G651" s="60" t="inlineStr">
        <is>
          <t>교육훈련비-외부위탁</t>
        </is>
      </c>
      <c r="H651" s="61" t="n">
        <v>23096290</v>
      </c>
      <c r="J651" s="63">
        <f>IF($A651="","",IFERROR(INDEX(부서매핑!$C$5:$C$504,MATCH($D651&amp;"",부서매핑!$A$5:$A$504,0)),"미매핑"))</f>
        <v/>
      </c>
      <c r="K651" s="63">
        <f>IF($A651="","",IFERROR(INDEX(계정매핑!$C$5:$C$504,MATCH($F651&amp;"",계정매핑!$A$5:$A$504,0)),"미매핑"))</f>
        <v/>
      </c>
      <c r="L651" s="4">
        <f>IF($A651="","",VALUE($A651&amp;""))</f>
        <v/>
      </c>
      <c r="M651" s="4">
        <f>IF($A651="","",VALUE($B651&amp;""))</f>
        <v/>
      </c>
      <c r="N651" s="64">
        <f>IF($A651="","",$H651*설정!$C$15)</f>
        <v/>
      </c>
      <c r="O651" s="4">
        <f>IF($A651="","",J651&amp;"|"&amp;K651)</f>
        <v/>
      </c>
      <c r="P651" s="63">
        <f>IF($A651="","",IF(COUNTIFS(예산_원본!$T$5:$T$3004,O651,예산_원본!$B$5:$B$3004,설정!$C$8,예산_원본!$U$5:$U$3004,L651)&gt;0,"Y","N"))</f>
        <v/>
      </c>
      <c r="Q651" s="63">
        <f>IF($A651="","",IF(COUNTIF(집계!$E$7:$E$506,O651)&gt;0,"Y","N"))</f>
        <v/>
      </c>
    </row>
    <row r="652">
      <c r="A652" s="60" t="n">
        <v>2025</v>
      </c>
      <c r="B652" s="60" t="n">
        <v>9</v>
      </c>
      <c r="C652" s="60" t="inlineStr">
        <is>
          <t>1000</t>
        </is>
      </c>
      <c r="D652" s="60" t="n">
        <v>1401</v>
      </c>
      <c r="E652" s="60" t="inlineStr">
        <is>
          <t>상품개발</t>
        </is>
      </c>
      <c r="F652" s="60" t="n">
        <v>62101000</v>
      </c>
      <c r="G652" s="60" t="inlineStr">
        <is>
          <t>여비교통비-국내</t>
        </is>
      </c>
      <c r="H652" s="61" t="n">
        <v>1789430</v>
      </c>
      <c r="J652" s="63">
        <f>IF($A652="","",IFERROR(INDEX(부서매핑!$C$5:$C$504,MATCH($D652&amp;"",부서매핑!$A$5:$A$504,0)),"미매핑"))</f>
        <v/>
      </c>
      <c r="K652" s="63">
        <f>IF($A652="","",IFERROR(INDEX(계정매핑!$C$5:$C$504,MATCH($F652&amp;"",계정매핑!$A$5:$A$504,0)),"미매핑"))</f>
        <v/>
      </c>
      <c r="L652" s="4">
        <f>IF($A652="","",VALUE($A652&amp;""))</f>
        <v/>
      </c>
      <c r="M652" s="4">
        <f>IF($A652="","",VALUE($B652&amp;""))</f>
        <v/>
      </c>
      <c r="N652" s="64">
        <f>IF($A652="","",$H652*설정!$C$15)</f>
        <v/>
      </c>
      <c r="O652" s="4">
        <f>IF($A652="","",J652&amp;"|"&amp;K652)</f>
        <v/>
      </c>
      <c r="P652" s="63">
        <f>IF($A652="","",IF(COUNTIFS(예산_원본!$T$5:$T$3004,O652,예산_원본!$B$5:$B$3004,설정!$C$8,예산_원본!$U$5:$U$3004,L652)&gt;0,"Y","N"))</f>
        <v/>
      </c>
      <c r="Q652" s="63">
        <f>IF($A652="","",IF(COUNTIF(집계!$E$7:$E$506,O652)&gt;0,"Y","N"))</f>
        <v/>
      </c>
    </row>
    <row r="653">
      <c r="A653" s="60" t="n">
        <v>2025</v>
      </c>
      <c r="B653" s="60" t="n">
        <v>9</v>
      </c>
      <c r="C653" s="60" t="inlineStr">
        <is>
          <t>1000</t>
        </is>
      </c>
      <c r="D653" s="60" t="n">
        <v>1401</v>
      </c>
      <c r="E653" s="60" t="inlineStr">
        <is>
          <t>상품개발</t>
        </is>
      </c>
      <c r="F653" s="60" t="n">
        <v>62102000</v>
      </c>
      <c r="G653" s="60" t="inlineStr">
        <is>
          <t>여비교통비-해외</t>
        </is>
      </c>
      <c r="H653" s="61" t="n">
        <v>302730</v>
      </c>
      <c r="J653" s="63">
        <f>IF($A653="","",IFERROR(INDEX(부서매핑!$C$5:$C$504,MATCH($D653&amp;"",부서매핑!$A$5:$A$504,0)),"미매핑"))</f>
        <v/>
      </c>
      <c r="K653" s="63">
        <f>IF($A653="","",IFERROR(INDEX(계정매핑!$C$5:$C$504,MATCH($F653&amp;"",계정매핑!$A$5:$A$504,0)),"미매핑"))</f>
        <v/>
      </c>
      <c r="L653" s="4">
        <f>IF($A653="","",VALUE($A653&amp;""))</f>
        <v/>
      </c>
      <c r="M653" s="4">
        <f>IF($A653="","",VALUE($B653&amp;""))</f>
        <v/>
      </c>
      <c r="N653" s="64">
        <f>IF($A653="","",$H653*설정!$C$15)</f>
        <v/>
      </c>
      <c r="O653" s="4">
        <f>IF($A653="","",J653&amp;"|"&amp;K653)</f>
        <v/>
      </c>
      <c r="P653" s="63">
        <f>IF($A653="","",IF(COUNTIFS(예산_원본!$T$5:$T$3004,O653,예산_원본!$B$5:$B$3004,설정!$C$8,예산_원본!$U$5:$U$3004,L653)&gt;0,"Y","N"))</f>
        <v/>
      </c>
      <c r="Q653" s="63">
        <f>IF($A653="","",IF(COUNTIF(집계!$E$7:$E$506,O653)&gt;0,"Y","N"))</f>
        <v/>
      </c>
    </row>
    <row r="654">
      <c r="A654" s="60" t="n">
        <v>2025</v>
      </c>
      <c r="B654" s="60" t="n">
        <v>9</v>
      </c>
      <c r="C654" s="60" t="inlineStr">
        <is>
          <t>1000</t>
        </is>
      </c>
      <c r="D654" s="60" t="n">
        <v>1401</v>
      </c>
      <c r="E654" s="60" t="inlineStr">
        <is>
          <t>상품개발</t>
        </is>
      </c>
      <c r="F654" s="60" t="n">
        <v>62201000</v>
      </c>
      <c r="G654" s="60" t="inlineStr">
        <is>
          <t>통신비</t>
        </is>
      </c>
      <c r="H654" s="61" t="n">
        <v>572990</v>
      </c>
      <c r="J654" s="63">
        <f>IF($A654="","",IFERROR(INDEX(부서매핑!$C$5:$C$504,MATCH($D654&amp;"",부서매핑!$A$5:$A$504,0)),"미매핑"))</f>
        <v/>
      </c>
      <c r="K654" s="63">
        <f>IF($A654="","",IFERROR(INDEX(계정매핑!$C$5:$C$504,MATCH($F654&amp;"",계정매핑!$A$5:$A$504,0)),"미매핑"))</f>
        <v/>
      </c>
      <c r="L654" s="4">
        <f>IF($A654="","",VALUE($A654&amp;""))</f>
        <v/>
      </c>
      <c r="M654" s="4">
        <f>IF($A654="","",VALUE($B654&amp;""))</f>
        <v/>
      </c>
      <c r="N654" s="64">
        <f>IF($A654="","",$H654*설정!$C$15)</f>
        <v/>
      </c>
      <c r="O654" s="4">
        <f>IF($A654="","",J654&amp;"|"&amp;K654)</f>
        <v/>
      </c>
      <c r="P654" s="63">
        <f>IF($A654="","",IF(COUNTIFS(예산_원본!$T$5:$T$3004,O654,예산_원본!$B$5:$B$3004,설정!$C$8,예산_원본!$U$5:$U$3004,L654)&gt;0,"Y","N"))</f>
        <v/>
      </c>
      <c r="Q654" s="63">
        <f>IF($A654="","",IF(COUNTIF(집계!$E$7:$E$506,O654)&gt;0,"Y","N"))</f>
        <v/>
      </c>
    </row>
    <row r="655">
      <c r="A655" s="60" t="n">
        <v>2025</v>
      </c>
      <c r="B655" s="60" t="n">
        <v>9</v>
      </c>
      <c r="C655" s="60" t="inlineStr">
        <is>
          <t>1000</t>
        </is>
      </c>
      <c r="D655" s="60" t="n">
        <v>1401</v>
      </c>
      <c r="E655" s="60" t="inlineStr">
        <is>
          <t>상품개발</t>
        </is>
      </c>
      <c r="F655" s="60" t="n">
        <v>62301000</v>
      </c>
      <c r="G655" s="60" t="inlineStr">
        <is>
          <t>소모품비</t>
        </is>
      </c>
      <c r="H655" s="61" t="n">
        <v>351620</v>
      </c>
      <c r="J655" s="63">
        <f>IF($A655="","",IFERROR(INDEX(부서매핑!$C$5:$C$504,MATCH($D655&amp;"",부서매핑!$A$5:$A$504,0)),"미매핑"))</f>
        <v/>
      </c>
      <c r="K655" s="63">
        <f>IF($A655="","",IFERROR(INDEX(계정매핑!$C$5:$C$504,MATCH($F655&amp;"",계정매핑!$A$5:$A$504,0)),"미매핑"))</f>
        <v/>
      </c>
      <c r="L655" s="4">
        <f>IF($A655="","",VALUE($A655&amp;""))</f>
        <v/>
      </c>
      <c r="M655" s="4">
        <f>IF($A655="","",VALUE($B655&amp;""))</f>
        <v/>
      </c>
      <c r="N655" s="64">
        <f>IF($A655="","",$H655*설정!$C$15)</f>
        <v/>
      </c>
      <c r="O655" s="4">
        <f>IF($A655="","",J655&amp;"|"&amp;K655)</f>
        <v/>
      </c>
      <c r="P655" s="63">
        <f>IF($A655="","",IF(COUNTIFS(예산_원본!$T$5:$T$3004,O655,예산_원본!$B$5:$B$3004,설정!$C$8,예산_원본!$U$5:$U$3004,L655)&gt;0,"Y","N"))</f>
        <v/>
      </c>
      <c r="Q655" s="63">
        <f>IF($A655="","",IF(COUNTIF(집계!$E$7:$E$506,O655)&gt;0,"Y","N"))</f>
        <v/>
      </c>
    </row>
    <row r="656">
      <c r="A656" s="60" t="n">
        <v>2025</v>
      </c>
      <c r="B656" s="60" t="n">
        <v>9</v>
      </c>
      <c r="C656" s="60" t="inlineStr">
        <is>
          <t>1000</t>
        </is>
      </c>
      <c r="D656" s="60" t="n">
        <v>1401</v>
      </c>
      <c r="E656" s="60" t="inlineStr">
        <is>
          <t>상품개발</t>
        </is>
      </c>
      <c r="F656" s="60" t="n">
        <v>62401000</v>
      </c>
      <c r="G656" s="60" t="inlineStr">
        <is>
          <t>도서인쇄비</t>
        </is>
      </c>
      <c r="H656" s="61" t="n">
        <v>1007530</v>
      </c>
      <c r="J656" s="63">
        <f>IF($A656="","",IFERROR(INDEX(부서매핑!$C$5:$C$504,MATCH($D656&amp;"",부서매핑!$A$5:$A$504,0)),"미매핑"))</f>
        <v/>
      </c>
      <c r="K656" s="63">
        <f>IF($A656="","",IFERROR(INDEX(계정매핑!$C$5:$C$504,MATCH($F656&amp;"",계정매핑!$A$5:$A$504,0)),"미매핑"))</f>
        <v/>
      </c>
      <c r="L656" s="4">
        <f>IF($A656="","",VALUE($A656&amp;""))</f>
        <v/>
      </c>
      <c r="M656" s="4">
        <f>IF($A656="","",VALUE($B656&amp;""))</f>
        <v/>
      </c>
      <c r="N656" s="64">
        <f>IF($A656="","",$H656*설정!$C$15)</f>
        <v/>
      </c>
      <c r="O656" s="4">
        <f>IF($A656="","",J656&amp;"|"&amp;K656)</f>
        <v/>
      </c>
      <c r="P656" s="63">
        <f>IF($A656="","",IF(COUNTIFS(예산_원본!$T$5:$T$3004,O656,예산_원본!$B$5:$B$3004,설정!$C$8,예산_원본!$U$5:$U$3004,L656)&gt;0,"Y","N"))</f>
        <v/>
      </c>
      <c r="Q656" s="63">
        <f>IF($A656="","",IF(COUNTIF(집계!$E$7:$E$506,O656)&gt;0,"Y","N"))</f>
        <v/>
      </c>
    </row>
    <row r="657">
      <c r="A657" s="60" t="n">
        <v>2025</v>
      </c>
      <c r="B657" s="60" t="n">
        <v>9</v>
      </c>
      <c r="C657" s="60" t="inlineStr">
        <is>
          <t>1000</t>
        </is>
      </c>
      <c r="D657" s="60" t="n">
        <v>1401</v>
      </c>
      <c r="E657" s="60" t="inlineStr">
        <is>
          <t>상품개발</t>
        </is>
      </c>
      <c r="F657" s="60" t="n">
        <v>62501000</v>
      </c>
      <c r="G657" s="60" t="inlineStr">
        <is>
          <t>회의비</t>
        </is>
      </c>
      <c r="H657" s="61" t="n">
        <v>429230</v>
      </c>
      <c r="J657" s="63">
        <f>IF($A657="","",IFERROR(INDEX(부서매핑!$C$5:$C$504,MATCH($D657&amp;"",부서매핑!$A$5:$A$504,0)),"미매핑"))</f>
        <v/>
      </c>
      <c r="K657" s="63">
        <f>IF($A657="","",IFERROR(INDEX(계정매핑!$C$5:$C$504,MATCH($F657&amp;"",계정매핑!$A$5:$A$504,0)),"미매핑"))</f>
        <v/>
      </c>
      <c r="L657" s="4">
        <f>IF($A657="","",VALUE($A657&amp;""))</f>
        <v/>
      </c>
      <c r="M657" s="4">
        <f>IF($A657="","",VALUE($B657&amp;""))</f>
        <v/>
      </c>
      <c r="N657" s="64">
        <f>IF($A657="","",$H657*설정!$C$15)</f>
        <v/>
      </c>
      <c r="O657" s="4">
        <f>IF($A657="","",J657&amp;"|"&amp;K657)</f>
        <v/>
      </c>
      <c r="P657" s="63">
        <f>IF($A657="","",IF(COUNTIFS(예산_원본!$T$5:$T$3004,O657,예산_원본!$B$5:$B$3004,설정!$C$8,예산_원본!$U$5:$U$3004,L657)&gt;0,"Y","N"))</f>
        <v/>
      </c>
      <c r="Q657" s="63">
        <f>IF($A657="","",IF(COUNTIF(집계!$E$7:$E$506,O657)&gt;0,"Y","N"))</f>
        <v/>
      </c>
    </row>
    <row r="658">
      <c r="A658" s="60" t="n">
        <v>2025</v>
      </c>
      <c r="B658" s="60" t="n">
        <v>9</v>
      </c>
      <c r="C658" s="60" t="inlineStr">
        <is>
          <t>1000</t>
        </is>
      </c>
      <c r="D658" s="60" t="n">
        <v>1401</v>
      </c>
      <c r="E658" s="60" t="inlineStr">
        <is>
          <t>상품개발</t>
        </is>
      </c>
      <c r="F658" s="60" t="n">
        <v>62901000</v>
      </c>
      <c r="G658" s="60" t="inlineStr">
        <is>
          <t>지급수수료-컨설팅</t>
        </is>
      </c>
      <c r="H658" s="61" t="n">
        <v>21256220</v>
      </c>
      <c r="J658" s="63">
        <f>IF($A658="","",IFERROR(INDEX(부서매핑!$C$5:$C$504,MATCH($D658&amp;"",부서매핑!$A$5:$A$504,0)),"미매핑"))</f>
        <v/>
      </c>
      <c r="K658" s="63">
        <f>IF($A658="","",IFERROR(INDEX(계정매핑!$C$5:$C$504,MATCH($F658&amp;"",계정매핑!$A$5:$A$504,0)),"미매핑"))</f>
        <v/>
      </c>
      <c r="L658" s="4">
        <f>IF($A658="","",VALUE($A658&amp;""))</f>
        <v/>
      </c>
      <c r="M658" s="4">
        <f>IF($A658="","",VALUE($B658&amp;""))</f>
        <v/>
      </c>
      <c r="N658" s="64">
        <f>IF($A658="","",$H658*설정!$C$15)</f>
        <v/>
      </c>
      <c r="O658" s="4">
        <f>IF($A658="","",J658&amp;"|"&amp;K658)</f>
        <v/>
      </c>
      <c r="P658" s="63">
        <f>IF($A658="","",IF(COUNTIFS(예산_원본!$T$5:$T$3004,O658,예산_원본!$B$5:$B$3004,설정!$C$8,예산_원본!$U$5:$U$3004,L658)&gt;0,"Y","N"))</f>
        <v/>
      </c>
      <c r="Q658" s="63">
        <f>IF($A658="","",IF(COUNTIF(집계!$E$7:$E$506,O658)&gt;0,"Y","N"))</f>
        <v/>
      </c>
    </row>
    <row r="659">
      <c r="A659" s="60" t="n">
        <v>2025</v>
      </c>
      <c r="B659" s="60" t="n">
        <v>9</v>
      </c>
      <c r="C659" s="60" t="inlineStr">
        <is>
          <t>1000</t>
        </is>
      </c>
      <c r="D659" s="60" t="n">
        <v>1401</v>
      </c>
      <c r="E659" s="60" t="inlineStr">
        <is>
          <t>상품개발</t>
        </is>
      </c>
      <c r="F659" s="60" t="n">
        <v>62902000</v>
      </c>
      <c r="G659" s="60" t="inlineStr">
        <is>
          <t>지급수수료-기타</t>
        </is>
      </c>
      <c r="H659" s="61" t="n">
        <v>8330750</v>
      </c>
      <c r="J659" s="63">
        <f>IF($A659="","",IFERROR(INDEX(부서매핑!$C$5:$C$504,MATCH($D659&amp;"",부서매핑!$A$5:$A$504,0)),"미매핑"))</f>
        <v/>
      </c>
      <c r="K659" s="63">
        <f>IF($A659="","",IFERROR(INDEX(계정매핑!$C$5:$C$504,MATCH($F659&amp;"",계정매핑!$A$5:$A$504,0)),"미매핑"))</f>
        <v/>
      </c>
      <c r="L659" s="4">
        <f>IF($A659="","",VALUE($A659&amp;""))</f>
        <v/>
      </c>
      <c r="M659" s="4">
        <f>IF($A659="","",VALUE($B659&amp;""))</f>
        <v/>
      </c>
      <c r="N659" s="64">
        <f>IF($A659="","",$H659*설정!$C$15)</f>
        <v/>
      </c>
      <c r="O659" s="4">
        <f>IF($A659="","",J659&amp;"|"&amp;K659)</f>
        <v/>
      </c>
      <c r="P659" s="63">
        <f>IF($A659="","",IF(COUNTIFS(예산_원본!$T$5:$T$3004,O659,예산_원본!$B$5:$B$3004,설정!$C$8,예산_원본!$U$5:$U$3004,L659)&gt;0,"Y","N"))</f>
        <v/>
      </c>
      <c r="Q659" s="63">
        <f>IF($A659="","",IF(COUNTIF(집계!$E$7:$E$506,O659)&gt;0,"Y","N"))</f>
        <v/>
      </c>
    </row>
    <row r="660">
      <c r="A660" s="60" t="n">
        <v>2025</v>
      </c>
      <c r="B660" s="60" t="n">
        <v>9</v>
      </c>
      <c r="C660" s="60" t="inlineStr">
        <is>
          <t>1000</t>
        </is>
      </c>
      <c r="D660" s="60" t="n">
        <v>1501</v>
      </c>
      <c r="E660" s="60" t="inlineStr">
        <is>
          <t>마케팅전략</t>
        </is>
      </c>
      <c r="F660" s="60" t="n">
        <v>62101000</v>
      </c>
      <c r="G660" s="60" t="inlineStr">
        <is>
          <t>여비교통비-국내</t>
        </is>
      </c>
      <c r="H660" s="61" t="n">
        <v>1411630</v>
      </c>
      <c r="J660" s="63">
        <f>IF($A660="","",IFERROR(INDEX(부서매핑!$C$5:$C$504,MATCH($D660&amp;"",부서매핑!$A$5:$A$504,0)),"미매핑"))</f>
        <v/>
      </c>
      <c r="K660" s="63">
        <f>IF($A660="","",IFERROR(INDEX(계정매핑!$C$5:$C$504,MATCH($F660&amp;"",계정매핑!$A$5:$A$504,0)),"미매핑"))</f>
        <v/>
      </c>
      <c r="L660" s="4">
        <f>IF($A660="","",VALUE($A660&amp;""))</f>
        <v/>
      </c>
      <c r="M660" s="4">
        <f>IF($A660="","",VALUE($B660&amp;""))</f>
        <v/>
      </c>
      <c r="N660" s="64">
        <f>IF($A660="","",$H660*설정!$C$15)</f>
        <v/>
      </c>
      <c r="O660" s="4">
        <f>IF($A660="","",J660&amp;"|"&amp;K660)</f>
        <v/>
      </c>
      <c r="P660" s="63">
        <f>IF($A660="","",IF(COUNTIFS(예산_원본!$T$5:$T$3004,O660,예산_원본!$B$5:$B$3004,설정!$C$8,예산_원본!$U$5:$U$3004,L660)&gt;0,"Y","N"))</f>
        <v/>
      </c>
      <c r="Q660" s="63">
        <f>IF($A660="","",IF(COUNTIF(집계!$E$7:$E$506,O660)&gt;0,"Y","N"))</f>
        <v/>
      </c>
    </row>
    <row r="661">
      <c r="A661" s="60" t="n">
        <v>2025</v>
      </c>
      <c r="B661" s="60" t="n">
        <v>9</v>
      </c>
      <c r="C661" s="60" t="inlineStr">
        <is>
          <t>1000</t>
        </is>
      </c>
      <c r="D661" s="60" t="n">
        <v>1501</v>
      </c>
      <c r="E661" s="60" t="inlineStr">
        <is>
          <t>마케팅전략</t>
        </is>
      </c>
      <c r="F661" s="60" t="n">
        <v>62102000</v>
      </c>
      <c r="G661" s="60" t="inlineStr">
        <is>
          <t>여비교통비-해외</t>
        </is>
      </c>
      <c r="H661" s="61" t="n">
        <v>282350</v>
      </c>
      <c r="J661" s="63">
        <f>IF($A661="","",IFERROR(INDEX(부서매핑!$C$5:$C$504,MATCH($D661&amp;"",부서매핑!$A$5:$A$504,0)),"미매핑"))</f>
        <v/>
      </c>
      <c r="K661" s="63">
        <f>IF($A661="","",IFERROR(INDEX(계정매핑!$C$5:$C$504,MATCH($F661&amp;"",계정매핑!$A$5:$A$504,0)),"미매핑"))</f>
        <v/>
      </c>
      <c r="L661" s="4">
        <f>IF($A661="","",VALUE($A661&amp;""))</f>
        <v/>
      </c>
      <c r="M661" s="4">
        <f>IF($A661="","",VALUE($B661&amp;""))</f>
        <v/>
      </c>
      <c r="N661" s="64">
        <f>IF($A661="","",$H661*설정!$C$15)</f>
        <v/>
      </c>
      <c r="O661" s="4">
        <f>IF($A661="","",J661&amp;"|"&amp;K661)</f>
        <v/>
      </c>
      <c r="P661" s="63">
        <f>IF($A661="","",IF(COUNTIFS(예산_원본!$T$5:$T$3004,O661,예산_원본!$B$5:$B$3004,설정!$C$8,예산_원본!$U$5:$U$3004,L661)&gt;0,"Y","N"))</f>
        <v/>
      </c>
      <c r="Q661" s="63">
        <f>IF($A661="","",IF(COUNTIF(집계!$E$7:$E$506,O661)&gt;0,"Y","N"))</f>
        <v/>
      </c>
    </row>
    <row r="662">
      <c r="A662" s="60" t="n">
        <v>2025</v>
      </c>
      <c r="B662" s="60" t="n">
        <v>9</v>
      </c>
      <c r="C662" s="60" t="inlineStr">
        <is>
          <t>1000</t>
        </is>
      </c>
      <c r="D662" s="60" t="n">
        <v>1501</v>
      </c>
      <c r="E662" s="60" t="inlineStr">
        <is>
          <t>마케팅전략</t>
        </is>
      </c>
      <c r="F662" s="60" t="n">
        <v>62201000</v>
      </c>
      <c r="G662" s="60" t="inlineStr">
        <is>
          <t>통신비</t>
        </is>
      </c>
      <c r="H662" s="61" t="n">
        <v>596920</v>
      </c>
      <c r="J662" s="63">
        <f>IF($A662="","",IFERROR(INDEX(부서매핑!$C$5:$C$504,MATCH($D662&amp;"",부서매핑!$A$5:$A$504,0)),"미매핑"))</f>
        <v/>
      </c>
      <c r="K662" s="63">
        <f>IF($A662="","",IFERROR(INDEX(계정매핑!$C$5:$C$504,MATCH($F662&amp;"",계정매핑!$A$5:$A$504,0)),"미매핑"))</f>
        <v/>
      </c>
      <c r="L662" s="4">
        <f>IF($A662="","",VALUE($A662&amp;""))</f>
        <v/>
      </c>
      <c r="M662" s="4">
        <f>IF($A662="","",VALUE($B662&amp;""))</f>
        <v/>
      </c>
      <c r="N662" s="64">
        <f>IF($A662="","",$H662*설정!$C$15)</f>
        <v/>
      </c>
      <c r="O662" s="4">
        <f>IF($A662="","",J662&amp;"|"&amp;K662)</f>
        <v/>
      </c>
      <c r="P662" s="63">
        <f>IF($A662="","",IF(COUNTIFS(예산_원본!$T$5:$T$3004,O662,예산_원본!$B$5:$B$3004,설정!$C$8,예산_원본!$U$5:$U$3004,L662)&gt;0,"Y","N"))</f>
        <v/>
      </c>
      <c r="Q662" s="63">
        <f>IF($A662="","",IF(COUNTIF(집계!$E$7:$E$506,O662)&gt;0,"Y","N"))</f>
        <v/>
      </c>
    </row>
    <row r="663">
      <c r="A663" s="60" t="n">
        <v>2025</v>
      </c>
      <c r="B663" s="60" t="n">
        <v>9</v>
      </c>
      <c r="C663" s="60" t="inlineStr">
        <is>
          <t>1000</t>
        </is>
      </c>
      <c r="D663" s="60" t="n">
        <v>1501</v>
      </c>
      <c r="E663" s="60" t="inlineStr">
        <is>
          <t>마케팅전략</t>
        </is>
      </c>
      <c r="F663" s="60" t="n">
        <v>62301000</v>
      </c>
      <c r="G663" s="60" t="inlineStr">
        <is>
          <t>소모품비</t>
        </is>
      </c>
      <c r="H663" s="61" t="n">
        <v>462880</v>
      </c>
      <c r="J663" s="63">
        <f>IF($A663="","",IFERROR(INDEX(부서매핑!$C$5:$C$504,MATCH($D663&amp;"",부서매핑!$A$5:$A$504,0)),"미매핑"))</f>
        <v/>
      </c>
      <c r="K663" s="63">
        <f>IF($A663="","",IFERROR(INDEX(계정매핑!$C$5:$C$504,MATCH($F663&amp;"",계정매핑!$A$5:$A$504,0)),"미매핑"))</f>
        <v/>
      </c>
      <c r="L663" s="4">
        <f>IF($A663="","",VALUE($A663&amp;""))</f>
        <v/>
      </c>
      <c r="M663" s="4">
        <f>IF($A663="","",VALUE($B663&amp;""))</f>
        <v/>
      </c>
      <c r="N663" s="64">
        <f>IF($A663="","",$H663*설정!$C$15)</f>
        <v/>
      </c>
      <c r="O663" s="4">
        <f>IF($A663="","",J663&amp;"|"&amp;K663)</f>
        <v/>
      </c>
      <c r="P663" s="63">
        <f>IF($A663="","",IF(COUNTIFS(예산_원본!$T$5:$T$3004,O663,예산_원본!$B$5:$B$3004,설정!$C$8,예산_원본!$U$5:$U$3004,L663)&gt;0,"Y","N"))</f>
        <v/>
      </c>
      <c r="Q663" s="63">
        <f>IF($A663="","",IF(COUNTIF(집계!$E$7:$E$506,O663)&gt;0,"Y","N"))</f>
        <v/>
      </c>
    </row>
    <row r="664">
      <c r="A664" s="60" t="n">
        <v>2025</v>
      </c>
      <c r="B664" s="60" t="n">
        <v>9</v>
      </c>
      <c r="C664" s="60" t="inlineStr">
        <is>
          <t>1000</t>
        </is>
      </c>
      <c r="D664" s="60" t="n">
        <v>1501</v>
      </c>
      <c r="E664" s="60" t="inlineStr">
        <is>
          <t>마케팅전략</t>
        </is>
      </c>
      <c r="F664" s="60" t="n">
        <v>62401000</v>
      </c>
      <c r="G664" s="60" t="inlineStr">
        <is>
          <t>도서인쇄비</t>
        </is>
      </c>
      <c r="H664" s="61" t="n">
        <v>3947720</v>
      </c>
      <c r="J664" s="63">
        <f>IF($A664="","",IFERROR(INDEX(부서매핑!$C$5:$C$504,MATCH($D664&amp;"",부서매핑!$A$5:$A$504,0)),"미매핑"))</f>
        <v/>
      </c>
      <c r="K664" s="63">
        <f>IF($A664="","",IFERROR(INDEX(계정매핑!$C$5:$C$504,MATCH($F664&amp;"",계정매핑!$A$5:$A$504,0)),"미매핑"))</f>
        <v/>
      </c>
      <c r="L664" s="4">
        <f>IF($A664="","",VALUE($A664&amp;""))</f>
        <v/>
      </c>
      <c r="M664" s="4">
        <f>IF($A664="","",VALUE($B664&amp;""))</f>
        <v/>
      </c>
      <c r="N664" s="64">
        <f>IF($A664="","",$H664*설정!$C$15)</f>
        <v/>
      </c>
      <c r="O664" s="4">
        <f>IF($A664="","",J664&amp;"|"&amp;K664)</f>
        <v/>
      </c>
      <c r="P664" s="63">
        <f>IF($A664="","",IF(COUNTIFS(예산_원본!$T$5:$T$3004,O664,예산_원본!$B$5:$B$3004,설정!$C$8,예산_원본!$U$5:$U$3004,L664)&gt;0,"Y","N"))</f>
        <v/>
      </c>
      <c r="Q664" s="63">
        <f>IF($A664="","",IF(COUNTIF(집계!$E$7:$E$506,O664)&gt;0,"Y","N"))</f>
        <v/>
      </c>
    </row>
    <row r="665">
      <c r="A665" s="60" t="n">
        <v>2025</v>
      </c>
      <c r="B665" s="60" t="n">
        <v>9</v>
      </c>
      <c r="C665" s="60" t="inlineStr">
        <is>
          <t>1000</t>
        </is>
      </c>
      <c r="D665" s="60" t="n">
        <v>1501</v>
      </c>
      <c r="E665" s="60" t="inlineStr">
        <is>
          <t>마케팅전략</t>
        </is>
      </c>
      <c r="F665" s="60" t="n">
        <v>62501000</v>
      </c>
      <c r="G665" s="60" t="inlineStr">
        <is>
          <t>회의비</t>
        </is>
      </c>
      <c r="H665" s="61" t="n">
        <v>652490</v>
      </c>
      <c r="J665" s="63">
        <f>IF($A665="","",IFERROR(INDEX(부서매핑!$C$5:$C$504,MATCH($D665&amp;"",부서매핑!$A$5:$A$504,0)),"미매핑"))</f>
        <v/>
      </c>
      <c r="K665" s="63">
        <f>IF($A665="","",IFERROR(INDEX(계정매핑!$C$5:$C$504,MATCH($F665&amp;"",계정매핑!$A$5:$A$504,0)),"미매핑"))</f>
        <v/>
      </c>
      <c r="L665" s="4">
        <f>IF($A665="","",VALUE($A665&amp;""))</f>
        <v/>
      </c>
      <c r="M665" s="4">
        <f>IF($A665="","",VALUE($B665&amp;""))</f>
        <v/>
      </c>
      <c r="N665" s="64">
        <f>IF($A665="","",$H665*설정!$C$15)</f>
        <v/>
      </c>
      <c r="O665" s="4">
        <f>IF($A665="","",J665&amp;"|"&amp;K665)</f>
        <v/>
      </c>
      <c r="P665" s="63">
        <f>IF($A665="","",IF(COUNTIFS(예산_원본!$T$5:$T$3004,O665,예산_원본!$B$5:$B$3004,설정!$C$8,예산_원본!$U$5:$U$3004,L665)&gt;0,"Y","N"))</f>
        <v/>
      </c>
      <c r="Q665" s="63">
        <f>IF($A665="","",IF(COUNTIF(집계!$E$7:$E$506,O665)&gt;0,"Y","N"))</f>
        <v/>
      </c>
    </row>
    <row r="666">
      <c r="A666" s="60" t="n">
        <v>2025</v>
      </c>
      <c r="B666" s="60" t="n">
        <v>9</v>
      </c>
      <c r="C666" s="60" t="inlineStr">
        <is>
          <t>1000</t>
        </is>
      </c>
      <c r="D666" s="60" t="n">
        <v>1501</v>
      </c>
      <c r="E666" s="60" t="inlineStr">
        <is>
          <t>마케팅전략</t>
        </is>
      </c>
      <c r="F666" s="60" t="n">
        <v>62601000</v>
      </c>
      <c r="G666" s="60" t="inlineStr">
        <is>
          <t>업무추진비</t>
        </is>
      </c>
      <c r="H666" s="61" t="n">
        <v>1684000</v>
      </c>
      <c r="J666" s="63">
        <f>IF($A666="","",IFERROR(INDEX(부서매핑!$C$5:$C$504,MATCH($D666&amp;"",부서매핑!$A$5:$A$504,0)),"미매핑"))</f>
        <v/>
      </c>
      <c r="K666" s="63">
        <f>IF($A666="","",IFERROR(INDEX(계정매핑!$C$5:$C$504,MATCH($F666&amp;"",계정매핑!$A$5:$A$504,0)),"미매핑"))</f>
        <v/>
      </c>
      <c r="L666" s="4">
        <f>IF($A666="","",VALUE($A666&amp;""))</f>
        <v/>
      </c>
      <c r="M666" s="4">
        <f>IF($A666="","",VALUE($B666&amp;""))</f>
        <v/>
      </c>
      <c r="N666" s="64">
        <f>IF($A666="","",$H666*설정!$C$15)</f>
        <v/>
      </c>
      <c r="O666" s="4">
        <f>IF($A666="","",J666&amp;"|"&amp;K666)</f>
        <v/>
      </c>
      <c r="P666" s="63">
        <f>IF($A666="","",IF(COUNTIFS(예산_원본!$T$5:$T$3004,O666,예산_원본!$B$5:$B$3004,설정!$C$8,예산_원본!$U$5:$U$3004,L666)&gt;0,"Y","N"))</f>
        <v/>
      </c>
      <c r="Q666" s="63">
        <f>IF($A666="","",IF(COUNTIF(집계!$E$7:$E$506,O666)&gt;0,"Y","N"))</f>
        <v/>
      </c>
    </row>
    <row r="667">
      <c r="A667" s="60" t="n">
        <v>2025</v>
      </c>
      <c r="B667" s="60" t="n">
        <v>9</v>
      </c>
      <c r="C667" s="60" t="inlineStr">
        <is>
          <t>1000</t>
        </is>
      </c>
      <c r="D667" s="60" t="n">
        <v>1501</v>
      </c>
      <c r="E667" s="60" t="inlineStr">
        <is>
          <t>마케팅전략</t>
        </is>
      </c>
      <c r="F667" s="60" t="n">
        <v>62701000</v>
      </c>
      <c r="G667" s="60" t="inlineStr">
        <is>
          <t>광고선전비</t>
        </is>
      </c>
      <c r="H667" s="61" t="n">
        <v>107839120</v>
      </c>
      <c r="J667" s="63">
        <f>IF($A667="","",IFERROR(INDEX(부서매핑!$C$5:$C$504,MATCH($D667&amp;"",부서매핑!$A$5:$A$504,0)),"미매핑"))</f>
        <v/>
      </c>
      <c r="K667" s="63">
        <f>IF($A667="","",IFERROR(INDEX(계정매핑!$C$5:$C$504,MATCH($F667&amp;"",계정매핑!$A$5:$A$504,0)),"미매핑"))</f>
        <v/>
      </c>
      <c r="L667" s="4">
        <f>IF($A667="","",VALUE($A667&amp;""))</f>
        <v/>
      </c>
      <c r="M667" s="4">
        <f>IF($A667="","",VALUE($B667&amp;""))</f>
        <v/>
      </c>
      <c r="N667" s="64">
        <f>IF($A667="","",$H667*설정!$C$15)</f>
        <v/>
      </c>
      <c r="O667" s="4">
        <f>IF($A667="","",J667&amp;"|"&amp;K667)</f>
        <v/>
      </c>
      <c r="P667" s="63">
        <f>IF($A667="","",IF(COUNTIFS(예산_원본!$T$5:$T$3004,O667,예산_원본!$B$5:$B$3004,설정!$C$8,예산_원본!$U$5:$U$3004,L667)&gt;0,"Y","N"))</f>
        <v/>
      </c>
      <c r="Q667" s="63">
        <f>IF($A667="","",IF(COUNTIF(집계!$E$7:$E$506,O667)&gt;0,"Y","N"))</f>
        <v/>
      </c>
    </row>
    <row r="668">
      <c r="A668" s="60" t="n">
        <v>2025</v>
      </c>
      <c r="B668" s="60" t="n">
        <v>9</v>
      </c>
      <c r="C668" s="60" t="inlineStr">
        <is>
          <t>1000</t>
        </is>
      </c>
      <c r="D668" s="60" t="n">
        <v>1502</v>
      </c>
      <c r="E668" s="60" t="inlineStr">
        <is>
          <t>디지털마케팅</t>
        </is>
      </c>
      <c r="F668" s="60" t="n">
        <v>62101000</v>
      </c>
      <c r="G668" s="60" t="inlineStr">
        <is>
          <t>여비교통비-국내</t>
        </is>
      </c>
      <c r="H668" s="61" t="n">
        <v>976790</v>
      </c>
      <c r="J668" s="63">
        <f>IF($A668="","",IFERROR(INDEX(부서매핑!$C$5:$C$504,MATCH($D668&amp;"",부서매핑!$A$5:$A$504,0)),"미매핑"))</f>
        <v/>
      </c>
      <c r="K668" s="63">
        <f>IF($A668="","",IFERROR(INDEX(계정매핑!$C$5:$C$504,MATCH($F668&amp;"",계정매핑!$A$5:$A$504,0)),"미매핑"))</f>
        <v/>
      </c>
      <c r="L668" s="4">
        <f>IF($A668="","",VALUE($A668&amp;""))</f>
        <v/>
      </c>
      <c r="M668" s="4">
        <f>IF($A668="","",VALUE($B668&amp;""))</f>
        <v/>
      </c>
      <c r="N668" s="64">
        <f>IF($A668="","",$H668*설정!$C$15)</f>
        <v/>
      </c>
      <c r="O668" s="4">
        <f>IF($A668="","",J668&amp;"|"&amp;K668)</f>
        <v/>
      </c>
      <c r="P668" s="63">
        <f>IF($A668="","",IF(COUNTIFS(예산_원본!$T$5:$T$3004,O668,예산_원본!$B$5:$B$3004,설정!$C$8,예산_원본!$U$5:$U$3004,L668)&gt;0,"Y","N"))</f>
        <v/>
      </c>
      <c r="Q668" s="63">
        <f>IF($A668="","",IF(COUNTIF(집계!$E$7:$E$506,O668)&gt;0,"Y","N"))</f>
        <v/>
      </c>
    </row>
    <row r="669">
      <c r="A669" s="60" t="n">
        <v>2025</v>
      </c>
      <c r="B669" s="60" t="n">
        <v>9</v>
      </c>
      <c r="C669" s="60" t="inlineStr">
        <is>
          <t>1000</t>
        </is>
      </c>
      <c r="D669" s="60" t="n">
        <v>1502</v>
      </c>
      <c r="E669" s="60" t="inlineStr">
        <is>
          <t>디지털마케팅</t>
        </is>
      </c>
      <c r="F669" s="60" t="n">
        <v>62102000</v>
      </c>
      <c r="G669" s="60" t="inlineStr">
        <is>
          <t>여비교통비-해외</t>
        </is>
      </c>
      <c r="H669" s="61" t="n">
        <v>184350</v>
      </c>
      <c r="J669" s="63">
        <f>IF($A669="","",IFERROR(INDEX(부서매핑!$C$5:$C$504,MATCH($D669&amp;"",부서매핑!$A$5:$A$504,0)),"미매핑"))</f>
        <v/>
      </c>
      <c r="K669" s="63">
        <f>IF($A669="","",IFERROR(INDEX(계정매핑!$C$5:$C$504,MATCH($F669&amp;"",계정매핑!$A$5:$A$504,0)),"미매핑"))</f>
        <v/>
      </c>
      <c r="L669" s="4">
        <f>IF($A669="","",VALUE($A669&amp;""))</f>
        <v/>
      </c>
      <c r="M669" s="4">
        <f>IF($A669="","",VALUE($B669&amp;""))</f>
        <v/>
      </c>
      <c r="N669" s="64">
        <f>IF($A669="","",$H669*설정!$C$15)</f>
        <v/>
      </c>
      <c r="O669" s="4">
        <f>IF($A669="","",J669&amp;"|"&amp;K669)</f>
        <v/>
      </c>
      <c r="P669" s="63">
        <f>IF($A669="","",IF(COUNTIFS(예산_원본!$T$5:$T$3004,O669,예산_원본!$B$5:$B$3004,설정!$C$8,예산_원본!$U$5:$U$3004,L669)&gt;0,"Y","N"))</f>
        <v/>
      </c>
      <c r="Q669" s="63">
        <f>IF($A669="","",IF(COUNTIF(집계!$E$7:$E$506,O669)&gt;0,"Y","N"))</f>
        <v/>
      </c>
    </row>
    <row r="670">
      <c r="A670" s="60" t="n">
        <v>2025</v>
      </c>
      <c r="B670" s="60" t="n">
        <v>9</v>
      </c>
      <c r="C670" s="60" t="inlineStr">
        <is>
          <t>1000</t>
        </is>
      </c>
      <c r="D670" s="60" t="n">
        <v>1502</v>
      </c>
      <c r="E670" s="60" t="inlineStr">
        <is>
          <t>디지털마케팅</t>
        </is>
      </c>
      <c r="F670" s="60" t="n">
        <v>62201000</v>
      </c>
      <c r="G670" s="60" t="inlineStr">
        <is>
          <t>통신비</t>
        </is>
      </c>
      <c r="H670" s="61" t="n">
        <v>422390</v>
      </c>
      <c r="J670" s="63">
        <f>IF($A670="","",IFERROR(INDEX(부서매핑!$C$5:$C$504,MATCH($D670&amp;"",부서매핑!$A$5:$A$504,0)),"미매핑"))</f>
        <v/>
      </c>
      <c r="K670" s="63">
        <f>IF($A670="","",IFERROR(INDEX(계정매핑!$C$5:$C$504,MATCH($F670&amp;"",계정매핑!$A$5:$A$504,0)),"미매핑"))</f>
        <v/>
      </c>
      <c r="L670" s="4">
        <f>IF($A670="","",VALUE($A670&amp;""))</f>
        <v/>
      </c>
      <c r="M670" s="4">
        <f>IF($A670="","",VALUE($B670&amp;""))</f>
        <v/>
      </c>
      <c r="N670" s="64">
        <f>IF($A670="","",$H670*설정!$C$15)</f>
        <v/>
      </c>
      <c r="O670" s="4">
        <f>IF($A670="","",J670&amp;"|"&amp;K670)</f>
        <v/>
      </c>
      <c r="P670" s="63">
        <f>IF($A670="","",IF(COUNTIFS(예산_원본!$T$5:$T$3004,O670,예산_원본!$B$5:$B$3004,설정!$C$8,예산_원본!$U$5:$U$3004,L670)&gt;0,"Y","N"))</f>
        <v/>
      </c>
      <c r="Q670" s="63">
        <f>IF($A670="","",IF(COUNTIF(집계!$E$7:$E$506,O670)&gt;0,"Y","N"))</f>
        <v/>
      </c>
    </row>
    <row r="671">
      <c r="A671" s="60" t="n">
        <v>2025</v>
      </c>
      <c r="B671" s="60" t="n">
        <v>9</v>
      </c>
      <c r="C671" s="60" t="inlineStr">
        <is>
          <t>1000</t>
        </is>
      </c>
      <c r="D671" s="60" t="n">
        <v>1502</v>
      </c>
      <c r="E671" s="60" t="inlineStr">
        <is>
          <t>디지털마케팅</t>
        </is>
      </c>
      <c r="F671" s="60" t="n">
        <v>62301000</v>
      </c>
      <c r="G671" s="60" t="inlineStr">
        <is>
          <t>소모품비</t>
        </is>
      </c>
      <c r="H671" s="61" t="n">
        <v>296460</v>
      </c>
      <c r="J671" s="63">
        <f>IF($A671="","",IFERROR(INDEX(부서매핑!$C$5:$C$504,MATCH($D671&amp;"",부서매핑!$A$5:$A$504,0)),"미매핑"))</f>
        <v/>
      </c>
      <c r="K671" s="63">
        <f>IF($A671="","",IFERROR(INDEX(계정매핑!$C$5:$C$504,MATCH($F671&amp;"",계정매핑!$A$5:$A$504,0)),"미매핑"))</f>
        <v/>
      </c>
      <c r="L671" s="4">
        <f>IF($A671="","",VALUE($A671&amp;""))</f>
        <v/>
      </c>
      <c r="M671" s="4">
        <f>IF($A671="","",VALUE($B671&amp;""))</f>
        <v/>
      </c>
      <c r="N671" s="64">
        <f>IF($A671="","",$H671*설정!$C$15)</f>
        <v/>
      </c>
      <c r="O671" s="4">
        <f>IF($A671="","",J671&amp;"|"&amp;K671)</f>
        <v/>
      </c>
      <c r="P671" s="63">
        <f>IF($A671="","",IF(COUNTIFS(예산_원본!$T$5:$T$3004,O671,예산_원본!$B$5:$B$3004,설정!$C$8,예산_원본!$U$5:$U$3004,L671)&gt;0,"Y","N"))</f>
        <v/>
      </c>
      <c r="Q671" s="63">
        <f>IF($A671="","",IF(COUNTIF(집계!$E$7:$E$506,O671)&gt;0,"Y","N"))</f>
        <v/>
      </c>
    </row>
    <row r="672">
      <c r="A672" s="60" t="n">
        <v>2025</v>
      </c>
      <c r="B672" s="60" t="n">
        <v>9</v>
      </c>
      <c r="C672" s="60" t="inlineStr">
        <is>
          <t>1000</t>
        </is>
      </c>
      <c r="D672" s="60" t="n">
        <v>1502</v>
      </c>
      <c r="E672" s="60" t="inlineStr">
        <is>
          <t>디지털마케팅</t>
        </is>
      </c>
      <c r="F672" s="60" t="n">
        <v>62401000</v>
      </c>
      <c r="G672" s="60" t="inlineStr">
        <is>
          <t>도서인쇄비</t>
        </is>
      </c>
      <c r="H672" s="61" t="n">
        <v>2595800</v>
      </c>
      <c r="J672" s="63">
        <f>IF($A672="","",IFERROR(INDEX(부서매핑!$C$5:$C$504,MATCH($D672&amp;"",부서매핑!$A$5:$A$504,0)),"미매핑"))</f>
        <v/>
      </c>
      <c r="K672" s="63">
        <f>IF($A672="","",IFERROR(INDEX(계정매핑!$C$5:$C$504,MATCH($F672&amp;"",계정매핑!$A$5:$A$504,0)),"미매핑"))</f>
        <v/>
      </c>
      <c r="L672" s="4">
        <f>IF($A672="","",VALUE($A672&amp;""))</f>
        <v/>
      </c>
      <c r="M672" s="4">
        <f>IF($A672="","",VALUE($B672&amp;""))</f>
        <v/>
      </c>
      <c r="N672" s="64">
        <f>IF($A672="","",$H672*설정!$C$15)</f>
        <v/>
      </c>
      <c r="O672" s="4">
        <f>IF($A672="","",J672&amp;"|"&amp;K672)</f>
        <v/>
      </c>
      <c r="P672" s="63">
        <f>IF($A672="","",IF(COUNTIFS(예산_원본!$T$5:$T$3004,O672,예산_원본!$B$5:$B$3004,설정!$C$8,예산_원본!$U$5:$U$3004,L672)&gt;0,"Y","N"))</f>
        <v/>
      </c>
      <c r="Q672" s="63">
        <f>IF($A672="","",IF(COUNTIF(집계!$E$7:$E$506,O672)&gt;0,"Y","N"))</f>
        <v/>
      </c>
    </row>
    <row r="673">
      <c r="A673" s="60" t="n">
        <v>2025</v>
      </c>
      <c r="B673" s="60" t="n">
        <v>9</v>
      </c>
      <c r="C673" s="60" t="inlineStr">
        <is>
          <t>1000</t>
        </is>
      </c>
      <c r="D673" s="60" t="n">
        <v>1502</v>
      </c>
      <c r="E673" s="60" t="inlineStr">
        <is>
          <t>디지털마케팅</t>
        </is>
      </c>
      <c r="F673" s="60" t="n">
        <v>62501000</v>
      </c>
      <c r="G673" s="60" t="inlineStr">
        <is>
          <t>회의비</t>
        </is>
      </c>
      <c r="H673" s="61" t="n">
        <v>397610</v>
      </c>
      <c r="J673" s="63">
        <f>IF($A673="","",IFERROR(INDEX(부서매핑!$C$5:$C$504,MATCH($D673&amp;"",부서매핑!$A$5:$A$504,0)),"미매핑"))</f>
        <v/>
      </c>
      <c r="K673" s="63">
        <f>IF($A673="","",IFERROR(INDEX(계정매핑!$C$5:$C$504,MATCH($F673&amp;"",계정매핑!$A$5:$A$504,0)),"미매핑"))</f>
        <v/>
      </c>
      <c r="L673" s="4">
        <f>IF($A673="","",VALUE($A673&amp;""))</f>
        <v/>
      </c>
      <c r="M673" s="4">
        <f>IF($A673="","",VALUE($B673&amp;""))</f>
        <v/>
      </c>
      <c r="N673" s="64">
        <f>IF($A673="","",$H673*설정!$C$15)</f>
        <v/>
      </c>
      <c r="O673" s="4">
        <f>IF($A673="","",J673&amp;"|"&amp;K673)</f>
        <v/>
      </c>
      <c r="P673" s="63">
        <f>IF($A673="","",IF(COUNTIFS(예산_원본!$T$5:$T$3004,O673,예산_원본!$B$5:$B$3004,설정!$C$8,예산_원본!$U$5:$U$3004,L673)&gt;0,"Y","N"))</f>
        <v/>
      </c>
      <c r="Q673" s="63">
        <f>IF($A673="","",IF(COUNTIF(집계!$E$7:$E$506,O673)&gt;0,"Y","N"))</f>
        <v/>
      </c>
    </row>
    <row r="674">
      <c r="A674" s="60" t="n">
        <v>2025</v>
      </c>
      <c r="B674" s="60" t="n">
        <v>9</v>
      </c>
      <c r="C674" s="60" t="inlineStr">
        <is>
          <t>1000</t>
        </is>
      </c>
      <c r="D674" s="60" t="n">
        <v>1502</v>
      </c>
      <c r="E674" s="60" t="inlineStr">
        <is>
          <t>디지털마케팅</t>
        </is>
      </c>
      <c r="F674" s="60" t="n">
        <v>62601000</v>
      </c>
      <c r="G674" s="60" t="inlineStr">
        <is>
          <t>업무추진비</t>
        </is>
      </c>
      <c r="H674" s="61" t="n">
        <v>1055230</v>
      </c>
      <c r="J674" s="63">
        <f>IF($A674="","",IFERROR(INDEX(부서매핑!$C$5:$C$504,MATCH($D674&amp;"",부서매핑!$A$5:$A$504,0)),"미매핑"))</f>
        <v/>
      </c>
      <c r="K674" s="63">
        <f>IF($A674="","",IFERROR(INDEX(계정매핑!$C$5:$C$504,MATCH($F674&amp;"",계정매핑!$A$5:$A$504,0)),"미매핑"))</f>
        <v/>
      </c>
      <c r="L674" s="4">
        <f>IF($A674="","",VALUE($A674&amp;""))</f>
        <v/>
      </c>
      <c r="M674" s="4">
        <f>IF($A674="","",VALUE($B674&amp;""))</f>
        <v/>
      </c>
      <c r="N674" s="64">
        <f>IF($A674="","",$H674*설정!$C$15)</f>
        <v/>
      </c>
      <c r="O674" s="4">
        <f>IF($A674="","",J674&amp;"|"&amp;K674)</f>
        <v/>
      </c>
      <c r="P674" s="63">
        <f>IF($A674="","",IF(COUNTIFS(예산_원본!$T$5:$T$3004,O674,예산_원본!$B$5:$B$3004,설정!$C$8,예산_원본!$U$5:$U$3004,L674)&gt;0,"Y","N"))</f>
        <v/>
      </c>
      <c r="Q674" s="63">
        <f>IF($A674="","",IF(COUNTIF(집계!$E$7:$E$506,O674)&gt;0,"Y","N"))</f>
        <v/>
      </c>
    </row>
    <row r="675">
      <c r="A675" s="60" t="n">
        <v>2025</v>
      </c>
      <c r="B675" s="60" t="n">
        <v>9</v>
      </c>
      <c r="C675" s="60" t="inlineStr">
        <is>
          <t>1000</t>
        </is>
      </c>
      <c r="D675" s="60" t="n">
        <v>1502</v>
      </c>
      <c r="E675" s="60" t="inlineStr">
        <is>
          <t>디지털마케팅</t>
        </is>
      </c>
      <c r="F675" s="60" t="n">
        <v>62701000</v>
      </c>
      <c r="G675" s="60" t="inlineStr">
        <is>
          <t>광고선전비</t>
        </is>
      </c>
      <c r="H675" s="61" t="n">
        <v>69962760</v>
      </c>
      <c r="J675" s="63">
        <f>IF($A675="","",IFERROR(INDEX(부서매핑!$C$5:$C$504,MATCH($D675&amp;"",부서매핑!$A$5:$A$504,0)),"미매핑"))</f>
        <v/>
      </c>
      <c r="K675" s="63">
        <f>IF($A675="","",IFERROR(INDEX(계정매핑!$C$5:$C$504,MATCH($F675&amp;"",계정매핑!$A$5:$A$504,0)),"미매핑"))</f>
        <v/>
      </c>
      <c r="L675" s="4">
        <f>IF($A675="","",VALUE($A675&amp;""))</f>
        <v/>
      </c>
      <c r="M675" s="4">
        <f>IF($A675="","",VALUE($B675&amp;""))</f>
        <v/>
      </c>
      <c r="N675" s="64">
        <f>IF($A675="","",$H675*설정!$C$15)</f>
        <v/>
      </c>
      <c r="O675" s="4">
        <f>IF($A675="","",J675&amp;"|"&amp;K675)</f>
        <v/>
      </c>
      <c r="P675" s="63">
        <f>IF($A675="","",IF(COUNTIFS(예산_원본!$T$5:$T$3004,O675,예산_원본!$B$5:$B$3004,설정!$C$8,예산_원본!$U$5:$U$3004,L675)&gt;0,"Y","N"))</f>
        <v/>
      </c>
      <c r="Q675" s="63">
        <f>IF($A675="","",IF(COUNTIF(집계!$E$7:$E$506,O675)&gt;0,"Y","N"))</f>
        <v/>
      </c>
    </row>
    <row r="676">
      <c r="A676" s="60" t="n">
        <v>2025</v>
      </c>
      <c r="B676" s="60" t="n">
        <v>9</v>
      </c>
      <c r="C676" s="60" t="inlineStr">
        <is>
          <t>1000</t>
        </is>
      </c>
      <c r="D676" s="60" t="n">
        <v>1601</v>
      </c>
      <c r="E676" s="60" t="inlineStr">
        <is>
          <t>영업지원-본사</t>
        </is>
      </c>
      <c r="F676" s="60" t="n">
        <v>62101000</v>
      </c>
      <c r="G676" s="60" t="inlineStr">
        <is>
          <t>여비교통비-국내</t>
        </is>
      </c>
      <c r="H676" s="61" t="n">
        <v>3200970</v>
      </c>
      <c r="J676" s="63">
        <f>IF($A676="","",IFERROR(INDEX(부서매핑!$C$5:$C$504,MATCH($D676&amp;"",부서매핑!$A$5:$A$504,0)),"미매핑"))</f>
        <v/>
      </c>
      <c r="K676" s="63">
        <f>IF($A676="","",IFERROR(INDEX(계정매핑!$C$5:$C$504,MATCH($F676&amp;"",계정매핑!$A$5:$A$504,0)),"미매핑"))</f>
        <v/>
      </c>
      <c r="L676" s="4">
        <f>IF($A676="","",VALUE($A676&amp;""))</f>
        <v/>
      </c>
      <c r="M676" s="4">
        <f>IF($A676="","",VALUE($B676&amp;""))</f>
        <v/>
      </c>
      <c r="N676" s="64">
        <f>IF($A676="","",$H676*설정!$C$15)</f>
        <v/>
      </c>
      <c r="O676" s="4">
        <f>IF($A676="","",J676&amp;"|"&amp;K676)</f>
        <v/>
      </c>
      <c r="P676" s="63">
        <f>IF($A676="","",IF(COUNTIFS(예산_원본!$T$5:$T$3004,O676,예산_원본!$B$5:$B$3004,설정!$C$8,예산_원본!$U$5:$U$3004,L676)&gt;0,"Y","N"))</f>
        <v/>
      </c>
      <c r="Q676" s="63">
        <f>IF($A676="","",IF(COUNTIF(집계!$E$7:$E$506,O676)&gt;0,"Y","N"))</f>
        <v/>
      </c>
    </row>
    <row r="677">
      <c r="A677" s="60" t="n">
        <v>2025</v>
      </c>
      <c r="B677" s="60" t="n">
        <v>9</v>
      </c>
      <c r="C677" s="60" t="inlineStr">
        <is>
          <t>1000</t>
        </is>
      </c>
      <c r="D677" s="60" t="n">
        <v>1601</v>
      </c>
      <c r="E677" s="60" t="inlineStr">
        <is>
          <t>영업지원-본사</t>
        </is>
      </c>
      <c r="F677" s="60" t="n">
        <v>62102000</v>
      </c>
      <c r="G677" s="60" t="inlineStr">
        <is>
          <t>여비교통비-해외</t>
        </is>
      </c>
      <c r="H677" s="61" t="n">
        <v>578100</v>
      </c>
      <c r="J677" s="63">
        <f>IF($A677="","",IFERROR(INDEX(부서매핑!$C$5:$C$504,MATCH($D677&amp;"",부서매핑!$A$5:$A$504,0)),"미매핑"))</f>
        <v/>
      </c>
      <c r="K677" s="63">
        <f>IF($A677="","",IFERROR(INDEX(계정매핑!$C$5:$C$504,MATCH($F677&amp;"",계정매핑!$A$5:$A$504,0)),"미매핑"))</f>
        <v/>
      </c>
      <c r="L677" s="4">
        <f>IF($A677="","",VALUE($A677&amp;""))</f>
        <v/>
      </c>
      <c r="M677" s="4">
        <f>IF($A677="","",VALUE($B677&amp;""))</f>
        <v/>
      </c>
      <c r="N677" s="64">
        <f>IF($A677="","",$H677*설정!$C$15)</f>
        <v/>
      </c>
      <c r="O677" s="4">
        <f>IF($A677="","",J677&amp;"|"&amp;K677)</f>
        <v/>
      </c>
      <c r="P677" s="63">
        <f>IF($A677="","",IF(COUNTIFS(예산_원본!$T$5:$T$3004,O677,예산_원본!$B$5:$B$3004,설정!$C$8,예산_원본!$U$5:$U$3004,L677)&gt;0,"Y","N"))</f>
        <v/>
      </c>
      <c r="Q677" s="63">
        <f>IF($A677="","",IF(COUNTIF(집계!$E$7:$E$506,O677)&gt;0,"Y","N"))</f>
        <v/>
      </c>
    </row>
    <row r="678">
      <c r="A678" s="60" t="n">
        <v>2025</v>
      </c>
      <c r="B678" s="60" t="n">
        <v>9</v>
      </c>
      <c r="C678" s="60" t="inlineStr">
        <is>
          <t>1000</t>
        </is>
      </c>
      <c r="D678" s="60" t="n">
        <v>1601</v>
      </c>
      <c r="E678" s="60" t="inlineStr">
        <is>
          <t>영업지원-본사</t>
        </is>
      </c>
      <c r="F678" s="60" t="n">
        <v>62201000</v>
      </c>
      <c r="G678" s="60" t="inlineStr">
        <is>
          <t>통신비</t>
        </is>
      </c>
      <c r="H678" s="61" t="n">
        <v>930860</v>
      </c>
      <c r="J678" s="63">
        <f>IF($A678="","",IFERROR(INDEX(부서매핑!$C$5:$C$504,MATCH($D678&amp;"",부서매핑!$A$5:$A$504,0)),"미매핑"))</f>
        <v/>
      </c>
      <c r="K678" s="63">
        <f>IF($A678="","",IFERROR(INDEX(계정매핑!$C$5:$C$504,MATCH($F678&amp;"",계정매핑!$A$5:$A$504,0)),"미매핑"))</f>
        <v/>
      </c>
      <c r="L678" s="4">
        <f>IF($A678="","",VALUE($A678&amp;""))</f>
        <v/>
      </c>
      <c r="M678" s="4">
        <f>IF($A678="","",VALUE($B678&amp;""))</f>
        <v/>
      </c>
      <c r="N678" s="64">
        <f>IF($A678="","",$H678*설정!$C$15)</f>
        <v/>
      </c>
      <c r="O678" s="4">
        <f>IF($A678="","",J678&amp;"|"&amp;K678)</f>
        <v/>
      </c>
      <c r="P678" s="63">
        <f>IF($A678="","",IF(COUNTIFS(예산_원본!$T$5:$T$3004,O678,예산_원본!$B$5:$B$3004,설정!$C$8,예산_원본!$U$5:$U$3004,L678)&gt;0,"Y","N"))</f>
        <v/>
      </c>
      <c r="Q678" s="63">
        <f>IF($A678="","",IF(COUNTIF(집계!$E$7:$E$506,O678)&gt;0,"Y","N"))</f>
        <v/>
      </c>
    </row>
    <row r="679">
      <c r="A679" s="60" t="n">
        <v>2025</v>
      </c>
      <c r="B679" s="60" t="n">
        <v>9</v>
      </c>
      <c r="C679" s="60" t="inlineStr">
        <is>
          <t>1000</t>
        </is>
      </c>
      <c r="D679" s="60" t="n">
        <v>1601</v>
      </c>
      <c r="E679" s="60" t="inlineStr">
        <is>
          <t>영업지원-본사</t>
        </is>
      </c>
      <c r="F679" s="60" t="n">
        <v>62301000</v>
      </c>
      <c r="G679" s="60" t="inlineStr">
        <is>
          <t>소모품비</t>
        </is>
      </c>
      <c r="H679" s="61" t="n">
        <v>549310</v>
      </c>
      <c r="J679" s="63">
        <f>IF($A679="","",IFERROR(INDEX(부서매핑!$C$5:$C$504,MATCH($D679&amp;"",부서매핑!$A$5:$A$504,0)),"미매핑"))</f>
        <v/>
      </c>
      <c r="K679" s="63">
        <f>IF($A679="","",IFERROR(INDEX(계정매핑!$C$5:$C$504,MATCH($F679&amp;"",계정매핑!$A$5:$A$504,0)),"미매핑"))</f>
        <v/>
      </c>
      <c r="L679" s="4">
        <f>IF($A679="","",VALUE($A679&amp;""))</f>
        <v/>
      </c>
      <c r="M679" s="4">
        <f>IF($A679="","",VALUE($B679&amp;""))</f>
        <v/>
      </c>
      <c r="N679" s="64">
        <f>IF($A679="","",$H679*설정!$C$15)</f>
        <v/>
      </c>
      <c r="O679" s="4">
        <f>IF($A679="","",J679&amp;"|"&amp;K679)</f>
        <v/>
      </c>
      <c r="P679" s="63">
        <f>IF($A679="","",IF(COUNTIFS(예산_원본!$T$5:$T$3004,O679,예산_원본!$B$5:$B$3004,설정!$C$8,예산_원본!$U$5:$U$3004,L679)&gt;0,"Y","N"))</f>
        <v/>
      </c>
      <c r="Q679" s="63">
        <f>IF($A679="","",IF(COUNTIF(집계!$E$7:$E$506,O679)&gt;0,"Y","N"))</f>
        <v/>
      </c>
    </row>
    <row r="680">
      <c r="A680" s="60" t="n">
        <v>2025</v>
      </c>
      <c r="B680" s="60" t="n">
        <v>9</v>
      </c>
      <c r="C680" s="60" t="inlineStr">
        <is>
          <t>1000</t>
        </is>
      </c>
      <c r="D680" s="60" t="n">
        <v>1601</v>
      </c>
      <c r="E680" s="60" t="inlineStr">
        <is>
          <t>영업지원-본사</t>
        </is>
      </c>
      <c r="F680" s="60" t="n">
        <v>62501000</v>
      </c>
      <c r="G680" s="60" t="inlineStr">
        <is>
          <t>회의비</t>
        </is>
      </c>
      <c r="H680" s="61" t="n">
        <v>830690</v>
      </c>
      <c r="J680" s="63">
        <f>IF($A680="","",IFERROR(INDEX(부서매핑!$C$5:$C$504,MATCH($D680&amp;"",부서매핑!$A$5:$A$504,0)),"미매핑"))</f>
        <v/>
      </c>
      <c r="K680" s="63">
        <f>IF($A680="","",IFERROR(INDEX(계정매핑!$C$5:$C$504,MATCH($F680&amp;"",계정매핑!$A$5:$A$504,0)),"미매핑"))</f>
        <v/>
      </c>
      <c r="L680" s="4">
        <f>IF($A680="","",VALUE($A680&amp;""))</f>
        <v/>
      </c>
      <c r="M680" s="4">
        <f>IF($A680="","",VALUE($B680&amp;""))</f>
        <v/>
      </c>
      <c r="N680" s="64">
        <f>IF($A680="","",$H680*설정!$C$15)</f>
        <v/>
      </c>
      <c r="O680" s="4">
        <f>IF($A680="","",J680&amp;"|"&amp;K680)</f>
        <v/>
      </c>
      <c r="P680" s="63">
        <f>IF($A680="","",IF(COUNTIFS(예산_원본!$T$5:$T$3004,O680,예산_원본!$B$5:$B$3004,설정!$C$8,예산_원본!$U$5:$U$3004,L680)&gt;0,"Y","N"))</f>
        <v/>
      </c>
      <c r="Q680" s="63">
        <f>IF($A680="","",IF(COUNTIF(집계!$E$7:$E$506,O680)&gt;0,"Y","N"))</f>
        <v/>
      </c>
    </row>
    <row r="681">
      <c r="A681" s="60" t="n">
        <v>2025</v>
      </c>
      <c r="B681" s="60" t="n">
        <v>9</v>
      </c>
      <c r="C681" s="60" t="inlineStr">
        <is>
          <t>1000</t>
        </is>
      </c>
      <c r="D681" s="60" t="n">
        <v>1601</v>
      </c>
      <c r="E681" s="60" t="inlineStr">
        <is>
          <t>영업지원-본사</t>
        </is>
      </c>
      <c r="F681" s="60" t="n">
        <v>62601000</v>
      </c>
      <c r="G681" s="60" t="inlineStr">
        <is>
          <t>업무추진비</t>
        </is>
      </c>
      <c r="H681" s="61" t="n">
        <v>2208660</v>
      </c>
      <c r="J681" s="63">
        <f>IF($A681="","",IFERROR(INDEX(부서매핑!$C$5:$C$504,MATCH($D681&amp;"",부서매핑!$A$5:$A$504,0)),"미매핑"))</f>
        <v/>
      </c>
      <c r="K681" s="63">
        <f>IF($A681="","",IFERROR(INDEX(계정매핑!$C$5:$C$504,MATCH($F681&amp;"",계정매핑!$A$5:$A$504,0)),"미매핑"))</f>
        <v/>
      </c>
      <c r="L681" s="4">
        <f>IF($A681="","",VALUE($A681&amp;""))</f>
        <v/>
      </c>
      <c r="M681" s="4">
        <f>IF($A681="","",VALUE($B681&amp;""))</f>
        <v/>
      </c>
      <c r="N681" s="64">
        <f>IF($A681="","",$H681*설정!$C$15)</f>
        <v/>
      </c>
      <c r="O681" s="4">
        <f>IF($A681="","",J681&amp;"|"&amp;K681)</f>
        <v/>
      </c>
      <c r="P681" s="63">
        <f>IF($A681="","",IF(COUNTIFS(예산_원본!$T$5:$T$3004,O681,예산_원본!$B$5:$B$3004,설정!$C$8,예산_원본!$U$5:$U$3004,L681)&gt;0,"Y","N"))</f>
        <v/>
      </c>
      <c r="Q681" s="63">
        <f>IF($A681="","",IF(COUNTIF(집계!$E$7:$E$506,O681)&gt;0,"Y","N"))</f>
        <v/>
      </c>
    </row>
    <row r="682">
      <c r="A682" s="60" t="n">
        <v>2025</v>
      </c>
      <c r="B682" s="60" t="n">
        <v>9</v>
      </c>
      <c r="C682" s="60" t="inlineStr">
        <is>
          <t>1000</t>
        </is>
      </c>
      <c r="D682" s="60" t="n">
        <v>1601</v>
      </c>
      <c r="E682" s="60" t="inlineStr">
        <is>
          <t>영업지원-본사</t>
        </is>
      </c>
      <c r="F682" s="60" t="n">
        <v>63101000</v>
      </c>
      <c r="G682" s="60" t="inlineStr">
        <is>
          <t>임차료</t>
        </is>
      </c>
      <c r="H682" s="61" t="n">
        <v>9184950</v>
      </c>
      <c r="J682" s="63">
        <f>IF($A682="","",IFERROR(INDEX(부서매핑!$C$5:$C$504,MATCH($D682&amp;"",부서매핑!$A$5:$A$504,0)),"미매핑"))</f>
        <v/>
      </c>
      <c r="K682" s="63">
        <f>IF($A682="","",IFERROR(INDEX(계정매핑!$C$5:$C$504,MATCH($F682&amp;"",계정매핑!$A$5:$A$504,0)),"미매핑"))</f>
        <v/>
      </c>
      <c r="L682" s="4">
        <f>IF($A682="","",VALUE($A682&amp;""))</f>
        <v/>
      </c>
      <c r="M682" s="4">
        <f>IF($A682="","",VALUE($B682&amp;""))</f>
        <v/>
      </c>
      <c r="N682" s="64">
        <f>IF($A682="","",$H682*설정!$C$15)</f>
        <v/>
      </c>
      <c r="O682" s="4">
        <f>IF($A682="","",J682&amp;"|"&amp;K682)</f>
        <v/>
      </c>
      <c r="P682" s="63">
        <f>IF($A682="","",IF(COUNTIFS(예산_원본!$T$5:$T$3004,O682,예산_원본!$B$5:$B$3004,설정!$C$8,예산_원본!$U$5:$U$3004,L682)&gt;0,"Y","N"))</f>
        <v/>
      </c>
      <c r="Q682" s="63">
        <f>IF($A682="","",IF(COUNTIF(집계!$E$7:$E$506,O682)&gt;0,"Y","N"))</f>
        <v/>
      </c>
    </row>
    <row r="683">
      <c r="A683" s="60" t="n">
        <v>2025</v>
      </c>
      <c r="B683" s="60" t="n">
        <v>9</v>
      </c>
      <c r="C683" s="60" t="inlineStr">
        <is>
          <t>1000</t>
        </is>
      </c>
      <c r="D683" s="60" t="n">
        <v>1601</v>
      </c>
      <c r="E683" s="60" t="inlineStr">
        <is>
          <t>영업지원-본사</t>
        </is>
      </c>
      <c r="F683" s="60" t="n">
        <v>63201000</v>
      </c>
      <c r="G683" s="60" t="inlineStr">
        <is>
          <t>차량유지비</t>
        </is>
      </c>
      <c r="H683" s="61" t="n">
        <v>3827220</v>
      </c>
      <c r="J683" s="63">
        <f>IF($A683="","",IFERROR(INDEX(부서매핑!$C$5:$C$504,MATCH($D683&amp;"",부서매핑!$A$5:$A$504,0)),"미매핑"))</f>
        <v/>
      </c>
      <c r="K683" s="63">
        <f>IF($A683="","",IFERROR(INDEX(계정매핑!$C$5:$C$504,MATCH($F683&amp;"",계정매핑!$A$5:$A$504,0)),"미매핑"))</f>
        <v/>
      </c>
      <c r="L683" s="4">
        <f>IF($A683="","",VALUE($A683&amp;""))</f>
        <v/>
      </c>
      <c r="M683" s="4">
        <f>IF($A683="","",VALUE($B683&amp;""))</f>
        <v/>
      </c>
      <c r="N683" s="64">
        <f>IF($A683="","",$H683*설정!$C$15)</f>
        <v/>
      </c>
      <c r="O683" s="4">
        <f>IF($A683="","",J683&amp;"|"&amp;K683)</f>
        <v/>
      </c>
      <c r="P683" s="63">
        <f>IF($A683="","",IF(COUNTIFS(예산_원본!$T$5:$T$3004,O683,예산_원본!$B$5:$B$3004,설정!$C$8,예산_원본!$U$5:$U$3004,L683)&gt;0,"Y","N"))</f>
        <v/>
      </c>
      <c r="Q683" s="63">
        <f>IF($A683="","",IF(COUNTIF(집계!$E$7:$E$506,O683)&gt;0,"Y","N"))</f>
        <v/>
      </c>
    </row>
    <row r="684">
      <c r="A684" s="60" t="n">
        <v>2025</v>
      </c>
      <c r="B684" s="60" t="n">
        <v>9</v>
      </c>
      <c r="C684" s="60" t="inlineStr">
        <is>
          <t>1000</t>
        </is>
      </c>
      <c r="D684" s="60" t="n">
        <v>1602</v>
      </c>
      <c r="E684" s="60" t="inlineStr">
        <is>
          <t>영업지원-지역본부</t>
        </is>
      </c>
      <c r="F684" s="60" t="n">
        <v>62101000</v>
      </c>
      <c r="G684" s="60" t="inlineStr">
        <is>
          <t>여비교통비-국내</t>
        </is>
      </c>
      <c r="H684" s="61" t="n">
        <v>2483560</v>
      </c>
      <c r="J684" s="63">
        <f>IF($A684="","",IFERROR(INDEX(부서매핑!$C$5:$C$504,MATCH($D684&amp;"",부서매핑!$A$5:$A$504,0)),"미매핑"))</f>
        <v/>
      </c>
      <c r="K684" s="63">
        <f>IF($A684="","",IFERROR(INDEX(계정매핑!$C$5:$C$504,MATCH($F684&amp;"",계정매핑!$A$5:$A$504,0)),"미매핑"))</f>
        <v/>
      </c>
      <c r="L684" s="4">
        <f>IF($A684="","",VALUE($A684&amp;""))</f>
        <v/>
      </c>
      <c r="M684" s="4">
        <f>IF($A684="","",VALUE($B684&amp;""))</f>
        <v/>
      </c>
      <c r="N684" s="64">
        <f>IF($A684="","",$H684*설정!$C$15)</f>
        <v/>
      </c>
      <c r="O684" s="4">
        <f>IF($A684="","",J684&amp;"|"&amp;K684)</f>
        <v/>
      </c>
      <c r="P684" s="63">
        <f>IF($A684="","",IF(COUNTIFS(예산_원본!$T$5:$T$3004,O684,예산_원본!$B$5:$B$3004,설정!$C$8,예산_원본!$U$5:$U$3004,L684)&gt;0,"Y","N"))</f>
        <v/>
      </c>
      <c r="Q684" s="63">
        <f>IF($A684="","",IF(COUNTIF(집계!$E$7:$E$506,O684)&gt;0,"Y","N"))</f>
        <v/>
      </c>
    </row>
    <row r="685">
      <c r="A685" s="60" t="n">
        <v>2025</v>
      </c>
      <c r="B685" s="60" t="n">
        <v>9</v>
      </c>
      <c r="C685" s="60" t="inlineStr">
        <is>
          <t>1000</t>
        </is>
      </c>
      <c r="D685" s="60" t="n">
        <v>1602</v>
      </c>
      <c r="E685" s="60" t="inlineStr">
        <is>
          <t>영업지원-지역본부</t>
        </is>
      </c>
      <c r="F685" s="60" t="n">
        <v>62102000</v>
      </c>
      <c r="G685" s="60" t="inlineStr">
        <is>
          <t>여비교통비-해외</t>
        </is>
      </c>
      <c r="H685" s="61" t="n">
        <v>428430</v>
      </c>
      <c r="J685" s="63">
        <f>IF($A685="","",IFERROR(INDEX(부서매핑!$C$5:$C$504,MATCH($D685&amp;"",부서매핑!$A$5:$A$504,0)),"미매핑"))</f>
        <v/>
      </c>
      <c r="K685" s="63">
        <f>IF($A685="","",IFERROR(INDEX(계정매핑!$C$5:$C$504,MATCH($F685&amp;"",계정매핑!$A$5:$A$504,0)),"미매핑"))</f>
        <v/>
      </c>
      <c r="L685" s="4">
        <f>IF($A685="","",VALUE($A685&amp;""))</f>
        <v/>
      </c>
      <c r="M685" s="4">
        <f>IF($A685="","",VALUE($B685&amp;""))</f>
        <v/>
      </c>
      <c r="N685" s="64">
        <f>IF($A685="","",$H685*설정!$C$15)</f>
        <v/>
      </c>
      <c r="O685" s="4">
        <f>IF($A685="","",J685&amp;"|"&amp;K685)</f>
        <v/>
      </c>
      <c r="P685" s="63">
        <f>IF($A685="","",IF(COUNTIFS(예산_원본!$T$5:$T$3004,O685,예산_원본!$B$5:$B$3004,설정!$C$8,예산_원본!$U$5:$U$3004,L685)&gt;0,"Y","N"))</f>
        <v/>
      </c>
      <c r="Q685" s="63">
        <f>IF($A685="","",IF(COUNTIF(집계!$E$7:$E$506,O685)&gt;0,"Y","N"))</f>
        <v/>
      </c>
    </row>
    <row r="686">
      <c r="A686" s="60" t="n">
        <v>2025</v>
      </c>
      <c r="B686" s="60" t="n">
        <v>9</v>
      </c>
      <c r="C686" s="60" t="inlineStr">
        <is>
          <t>1000</t>
        </is>
      </c>
      <c r="D686" s="60" t="n">
        <v>1602</v>
      </c>
      <c r="E686" s="60" t="inlineStr">
        <is>
          <t>영업지원-지역본부</t>
        </is>
      </c>
      <c r="F686" s="60" t="n">
        <v>62201000</v>
      </c>
      <c r="G686" s="60" t="inlineStr">
        <is>
          <t>통신비</t>
        </is>
      </c>
      <c r="H686" s="61" t="n">
        <v>707690</v>
      </c>
      <c r="J686" s="63">
        <f>IF($A686="","",IFERROR(INDEX(부서매핑!$C$5:$C$504,MATCH($D686&amp;"",부서매핑!$A$5:$A$504,0)),"미매핑"))</f>
        <v/>
      </c>
      <c r="K686" s="63">
        <f>IF($A686="","",IFERROR(INDEX(계정매핑!$C$5:$C$504,MATCH($F686&amp;"",계정매핑!$A$5:$A$504,0)),"미매핑"))</f>
        <v/>
      </c>
      <c r="L686" s="4">
        <f>IF($A686="","",VALUE($A686&amp;""))</f>
        <v/>
      </c>
      <c r="M686" s="4">
        <f>IF($A686="","",VALUE($B686&amp;""))</f>
        <v/>
      </c>
      <c r="N686" s="64">
        <f>IF($A686="","",$H686*설정!$C$15)</f>
        <v/>
      </c>
      <c r="O686" s="4">
        <f>IF($A686="","",J686&amp;"|"&amp;K686)</f>
        <v/>
      </c>
      <c r="P686" s="63">
        <f>IF($A686="","",IF(COUNTIFS(예산_원본!$T$5:$T$3004,O686,예산_원본!$B$5:$B$3004,설정!$C$8,예산_원본!$U$5:$U$3004,L686)&gt;0,"Y","N"))</f>
        <v/>
      </c>
      <c r="Q686" s="63">
        <f>IF($A686="","",IF(COUNTIF(집계!$E$7:$E$506,O686)&gt;0,"Y","N"))</f>
        <v/>
      </c>
    </row>
    <row r="687">
      <c r="A687" s="60" t="n">
        <v>2025</v>
      </c>
      <c r="B687" s="60" t="n">
        <v>9</v>
      </c>
      <c r="C687" s="60" t="inlineStr">
        <is>
          <t>1000</t>
        </is>
      </c>
      <c r="D687" s="60" t="n">
        <v>1602</v>
      </c>
      <c r="E687" s="60" t="inlineStr">
        <is>
          <t>영업지원-지역본부</t>
        </is>
      </c>
      <c r="F687" s="60" t="n">
        <v>62301000</v>
      </c>
      <c r="G687" s="60" t="inlineStr">
        <is>
          <t>소모품비</t>
        </is>
      </c>
      <c r="H687" s="61" t="n">
        <v>450230</v>
      </c>
      <c r="J687" s="63">
        <f>IF($A687="","",IFERROR(INDEX(부서매핑!$C$5:$C$504,MATCH($D687&amp;"",부서매핑!$A$5:$A$504,0)),"미매핑"))</f>
        <v/>
      </c>
      <c r="K687" s="63">
        <f>IF($A687="","",IFERROR(INDEX(계정매핑!$C$5:$C$504,MATCH($F687&amp;"",계정매핑!$A$5:$A$504,0)),"미매핑"))</f>
        <v/>
      </c>
      <c r="L687" s="4">
        <f>IF($A687="","",VALUE($A687&amp;""))</f>
        <v/>
      </c>
      <c r="M687" s="4">
        <f>IF($A687="","",VALUE($B687&amp;""))</f>
        <v/>
      </c>
      <c r="N687" s="64">
        <f>IF($A687="","",$H687*설정!$C$15)</f>
        <v/>
      </c>
      <c r="O687" s="4">
        <f>IF($A687="","",J687&amp;"|"&amp;K687)</f>
        <v/>
      </c>
      <c r="P687" s="63">
        <f>IF($A687="","",IF(COUNTIFS(예산_원본!$T$5:$T$3004,O687,예산_원본!$B$5:$B$3004,설정!$C$8,예산_원본!$U$5:$U$3004,L687)&gt;0,"Y","N"))</f>
        <v/>
      </c>
      <c r="Q687" s="63">
        <f>IF($A687="","",IF(COUNTIF(집계!$E$7:$E$506,O687)&gt;0,"Y","N"))</f>
        <v/>
      </c>
    </row>
    <row r="688">
      <c r="A688" s="60" t="n">
        <v>2025</v>
      </c>
      <c r="B688" s="60" t="n">
        <v>9</v>
      </c>
      <c r="C688" s="60" t="inlineStr">
        <is>
          <t>1000</t>
        </is>
      </c>
      <c r="D688" s="60" t="n">
        <v>1602</v>
      </c>
      <c r="E688" s="60" t="inlineStr">
        <is>
          <t>영업지원-지역본부</t>
        </is>
      </c>
      <c r="F688" s="60" t="n">
        <v>62501000</v>
      </c>
      <c r="G688" s="60" t="inlineStr">
        <is>
          <t>회의비</t>
        </is>
      </c>
      <c r="H688" s="61" t="n">
        <v>703970</v>
      </c>
      <c r="J688" s="63">
        <f>IF($A688="","",IFERROR(INDEX(부서매핑!$C$5:$C$504,MATCH($D688&amp;"",부서매핑!$A$5:$A$504,0)),"미매핑"))</f>
        <v/>
      </c>
      <c r="K688" s="63">
        <f>IF($A688="","",IFERROR(INDEX(계정매핑!$C$5:$C$504,MATCH($F688&amp;"",계정매핑!$A$5:$A$504,0)),"미매핑"))</f>
        <v/>
      </c>
      <c r="L688" s="4">
        <f>IF($A688="","",VALUE($A688&amp;""))</f>
        <v/>
      </c>
      <c r="M688" s="4">
        <f>IF($A688="","",VALUE($B688&amp;""))</f>
        <v/>
      </c>
      <c r="N688" s="64">
        <f>IF($A688="","",$H688*설정!$C$15)</f>
        <v/>
      </c>
      <c r="O688" s="4">
        <f>IF($A688="","",J688&amp;"|"&amp;K688)</f>
        <v/>
      </c>
      <c r="P688" s="63">
        <f>IF($A688="","",IF(COUNTIFS(예산_원본!$T$5:$T$3004,O688,예산_원본!$B$5:$B$3004,설정!$C$8,예산_원본!$U$5:$U$3004,L688)&gt;0,"Y","N"))</f>
        <v/>
      </c>
      <c r="Q688" s="63">
        <f>IF($A688="","",IF(COUNTIF(집계!$E$7:$E$506,O688)&gt;0,"Y","N"))</f>
        <v/>
      </c>
    </row>
    <row r="689">
      <c r="A689" s="60" t="n">
        <v>2025</v>
      </c>
      <c r="B689" s="60" t="n">
        <v>9</v>
      </c>
      <c r="C689" s="60" t="inlineStr">
        <is>
          <t>1000</t>
        </is>
      </c>
      <c r="D689" s="60" t="n">
        <v>1602</v>
      </c>
      <c r="E689" s="60" t="inlineStr">
        <is>
          <t>영업지원-지역본부</t>
        </is>
      </c>
      <c r="F689" s="60" t="n">
        <v>62601000</v>
      </c>
      <c r="G689" s="60" t="inlineStr">
        <is>
          <t>업무추진비</t>
        </is>
      </c>
      <c r="H689" s="61" t="n">
        <v>1676290</v>
      </c>
      <c r="J689" s="63">
        <f>IF($A689="","",IFERROR(INDEX(부서매핑!$C$5:$C$504,MATCH($D689&amp;"",부서매핑!$A$5:$A$504,0)),"미매핑"))</f>
        <v/>
      </c>
      <c r="K689" s="63">
        <f>IF($A689="","",IFERROR(INDEX(계정매핑!$C$5:$C$504,MATCH($F689&amp;"",계정매핑!$A$5:$A$504,0)),"미매핑"))</f>
        <v/>
      </c>
      <c r="L689" s="4">
        <f>IF($A689="","",VALUE($A689&amp;""))</f>
        <v/>
      </c>
      <c r="M689" s="4">
        <f>IF($A689="","",VALUE($B689&amp;""))</f>
        <v/>
      </c>
      <c r="N689" s="64">
        <f>IF($A689="","",$H689*설정!$C$15)</f>
        <v/>
      </c>
      <c r="O689" s="4">
        <f>IF($A689="","",J689&amp;"|"&amp;K689)</f>
        <v/>
      </c>
      <c r="P689" s="63">
        <f>IF($A689="","",IF(COUNTIFS(예산_원본!$T$5:$T$3004,O689,예산_원본!$B$5:$B$3004,설정!$C$8,예산_원본!$U$5:$U$3004,L689)&gt;0,"Y","N"))</f>
        <v/>
      </c>
      <c r="Q689" s="63">
        <f>IF($A689="","",IF(COUNTIF(집계!$E$7:$E$506,O689)&gt;0,"Y","N"))</f>
        <v/>
      </c>
    </row>
    <row r="690">
      <c r="A690" s="60" t="n">
        <v>2025</v>
      </c>
      <c r="B690" s="60" t="n">
        <v>9</v>
      </c>
      <c r="C690" s="60" t="inlineStr">
        <is>
          <t>1000</t>
        </is>
      </c>
      <c r="D690" s="60" t="n">
        <v>1602</v>
      </c>
      <c r="E690" s="60" t="inlineStr">
        <is>
          <t>영업지원-지역본부</t>
        </is>
      </c>
      <c r="F690" s="60" t="n">
        <v>63101000</v>
      </c>
      <c r="G690" s="60" t="inlineStr">
        <is>
          <t>임차료</t>
        </is>
      </c>
      <c r="H690" s="61" t="n">
        <v>7429220</v>
      </c>
      <c r="J690" s="63">
        <f>IF($A690="","",IFERROR(INDEX(부서매핑!$C$5:$C$504,MATCH($D690&amp;"",부서매핑!$A$5:$A$504,0)),"미매핑"))</f>
        <v/>
      </c>
      <c r="K690" s="63">
        <f>IF($A690="","",IFERROR(INDEX(계정매핑!$C$5:$C$504,MATCH($F690&amp;"",계정매핑!$A$5:$A$504,0)),"미매핑"))</f>
        <v/>
      </c>
      <c r="L690" s="4">
        <f>IF($A690="","",VALUE($A690&amp;""))</f>
        <v/>
      </c>
      <c r="M690" s="4">
        <f>IF($A690="","",VALUE($B690&amp;""))</f>
        <v/>
      </c>
      <c r="N690" s="64">
        <f>IF($A690="","",$H690*설정!$C$15)</f>
        <v/>
      </c>
      <c r="O690" s="4">
        <f>IF($A690="","",J690&amp;"|"&amp;K690)</f>
        <v/>
      </c>
      <c r="P690" s="63">
        <f>IF($A690="","",IF(COUNTIFS(예산_원본!$T$5:$T$3004,O690,예산_원본!$B$5:$B$3004,설정!$C$8,예산_원본!$U$5:$U$3004,L690)&gt;0,"Y","N"))</f>
        <v/>
      </c>
      <c r="Q690" s="63">
        <f>IF($A690="","",IF(COUNTIF(집계!$E$7:$E$506,O690)&gt;0,"Y","N"))</f>
        <v/>
      </c>
    </row>
    <row r="691">
      <c r="A691" s="60" t="n">
        <v>2025</v>
      </c>
      <c r="B691" s="60" t="n">
        <v>9</v>
      </c>
      <c r="C691" s="60" t="inlineStr">
        <is>
          <t>1000</t>
        </is>
      </c>
      <c r="D691" s="60" t="n">
        <v>1602</v>
      </c>
      <c r="E691" s="60" t="inlineStr">
        <is>
          <t>영업지원-지역본부</t>
        </is>
      </c>
      <c r="F691" s="60" t="n">
        <v>63201000</v>
      </c>
      <c r="G691" s="60" t="inlineStr">
        <is>
          <t>차량유지비</t>
        </is>
      </c>
      <c r="H691" s="61" t="n">
        <v>3516590</v>
      </c>
      <c r="J691" s="63">
        <f>IF($A691="","",IFERROR(INDEX(부서매핑!$C$5:$C$504,MATCH($D691&amp;"",부서매핑!$A$5:$A$504,0)),"미매핑"))</f>
        <v/>
      </c>
      <c r="K691" s="63">
        <f>IF($A691="","",IFERROR(INDEX(계정매핑!$C$5:$C$504,MATCH($F691&amp;"",계정매핑!$A$5:$A$504,0)),"미매핑"))</f>
        <v/>
      </c>
      <c r="L691" s="4">
        <f>IF($A691="","",VALUE($A691&amp;""))</f>
        <v/>
      </c>
      <c r="M691" s="4">
        <f>IF($A691="","",VALUE($B691&amp;""))</f>
        <v/>
      </c>
      <c r="N691" s="64">
        <f>IF($A691="","",$H691*설정!$C$15)</f>
        <v/>
      </c>
      <c r="O691" s="4">
        <f>IF($A691="","",J691&amp;"|"&amp;K691)</f>
        <v/>
      </c>
      <c r="P691" s="63">
        <f>IF($A691="","",IF(COUNTIFS(예산_원본!$T$5:$T$3004,O691,예산_원본!$B$5:$B$3004,설정!$C$8,예산_원본!$U$5:$U$3004,L691)&gt;0,"Y","N"))</f>
        <v/>
      </c>
      <c r="Q691" s="63">
        <f>IF($A691="","",IF(COUNTIF(집계!$E$7:$E$506,O691)&gt;0,"Y","N"))</f>
        <v/>
      </c>
    </row>
    <row r="692">
      <c r="A692" s="60" t="n">
        <v>2025</v>
      </c>
      <c r="B692" s="60" t="n">
        <v>9</v>
      </c>
      <c r="C692" s="60" t="inlineStr">
        <is>
          <t>1000</t>
        </is>
      </c>
      <c r="D692" s="60" t="n">
        <v>1701</v>
      </c>
      <c r="E692" s="60" t="inlineStr">
        <is>
          <t>IT운영</t>
        </is>
      </c>
      <c r="F692" s="60" t="n">
        <v>62101000</v>
      </c>
      <c r="G692" s="60" t="inlineStr">
        <is>
          <t>여비교통비-국내</t>
        </is>
      </c>
      <c r="H692" s="61" t="n">
        <v>837700</v>
      </c>
      <c r="J692" s="63">
        <f>IF($A692="","",IFERROR(INDEX(부서매핑!$C$5:$C$504,MATCH($D692&amp;"",부서매핑!$A$5:$A$504,0)),"미매핑"))</f>
        <v/>
      </c>
      <c r="K692" s="63">
        <f>IF($A692="","",IFERROR(INDEX(계정매핑!$C$5:$C$504,MATCH($F692&amp;"",계정매핑!$A$5:$A$504,0)),"미매핑"))</f>
        <v/>
      </c>
      <c r="L692" s="4">
        <f>IF($A692="","",VALUE($A692&amp;""))</f>
        <v/>
      </c>
      <c r="M692" s="4">
        <f>IF($A692="","",VALUE($B692&amp;""))</f>
        <v/>
      </c>
      <c r="N692" s="64">
        <f>IF($A692="","",$H692*설정!$C$15)</f>
        <v/>
      </c>
      <c r="O692" s="4">
        <f>IF($A692="","",J692&amp;"|"&amp;K692)</f>
        <v/>
      </c>
      <c r="P692" s="63">
        <f>IF($A692="","",IF(COUNTIFS(예산_원본!$T$5:$T$3004,O692,예산_원본!$B$5:$B$3004,설정!$C$8,예산_원본!$U$5:$U$3004,L692)&gt;0,"Y","N"))</f>
        <v/>
      </c>
      <c r="Q692" s="63">
        <f>IF($A692="","",IF(COUNTIF(집계!$E$7:$E$506,O692)&gt;0,"Y","N"))</f>
        <v/>
      </c>
    </row>
    <row r="693">
      <c r="A693" s="60" t="n">
        <v>2025</v>
      </c>
      <c r="B693" s="60" t="n">
        <v>9</v>
      </c>
      <c r="C693" s="60" t="inlineStr">
        <is>
          <t>1000</t>
        </is>
      </c>
      <c r="D693" s="60" t="n">
        <v>1701</v>
      </c>
      <c r="E693" s="60" t="inlineStr">
        <is>
          <t>IT운영</t>
        </is>
      </c>
      <c r="F693" s="60" t="n">
        <v>62102000</v>
      </c>
      <c r="G693" s="60" t="inlineStr">
        <is>
          <t>여비교통비-해외</t>
        </is>
      </c>
      <c r="H693" s="61" t="n">
        <v>158970</v>
      </c>
      <c r="J693" s="63">
        <f>IF($A693="","",IFERROR(INDEX(부서매핑!$C$5:$C$504,MATCH($D693&amp;"",부서매핑!$A$5:$A$504,0)),"미매핑"))</f>
        <v/>
      </c>
      <c r="K693" s="63">
        <f>IF($A693="","",IFERROR(INDEX(계정매핑!$C$5:$C$504,MATCH($F693&amp;"",계정매핑!$A$5:$A$504,0)),"미매핑"))</f>
        <v/>
      </c>
      <c r="L693" s="4">
        <f>IF($A693="","",VALUE($A693&amp;""))</f>
        <v/>
      </c>
      <c r="M693" s="4">
        <f>IF($A693="","",VALUE($B693&amp;""))</f>
        <v/>
      </c>
      <c r="N693" s="64">
        <f>IF($A693="","",$H693*설정!$C$15)</f>
        <v/>
      </c>
      <c r="O693" s="4">
        <f>IF($A693="","",J693&amp;"|"&amp;K693)</f>
        <v/>
      </c>
      <c r="P693" s="63">
        <f>IF($A693="","",IF(COUNTIFS(예산_원본!$T$5:$T$3004,O693,예산_원본!$B$5:$B$3004,설정!$C$8,예산_원본!$U$5:$U$3004,L693)&gt;0,"Y","N"))</f>
        <v/>
      </c>
      <c r="Q693" s="63">
        <f>IF($A693="","",IF(COUNTIF(집계!$E$7:$E$506,O693)&gt;0,"Y","N"))</f>
        <v/>
      </c>
    </row>
    <row r="694">
      <c r="A694" s="60" t="n">
        <v>2025</v>
      </c>
      <c r="B694" s="60" t="n">
        <v>9</v>
      </c>
      <c r="C694" s="60" t="inlineStr">
        <is>
          <t>1000</t>
        </is>
      </c>
      <c r="D694" s="60" t="n">
        <v>1701</v>
      </c>
      <c r="E694" s="60" t="inlineStr">
        <is>
          <t>IT운영</t>
        </is>
      </c>
      <c r="F694" s="60" t="n">
        <v>62201000</v>
      </c>
      <c r="G694" s="60" t="inlineStr">
        <is>
          <t>통신비</t>
        </is>
      </c>
      <c r="H694" s="61" t="n">
        <v>11552340</v>
      </c>
      <c r="J694" s="63">
        <f>IF($A694="","",IFERROR(INDEX(부서매핑!$C$5:$C$504,MATCH($D694&amp;"",부서매핑!$A$5:$A$504,0)),"미매핑"))</f>
        <v/>
      </c>
      <c r="K694" s="63">
        <f>IF($A694="","",IFERROR(INDEX(계정매핑!$C$5:$C$504,MATCH($F694&amp;"",계정매핑!$A$5:$A$504,0)),"미매핑"))</f>
        <v/>
      </c>
      <c r="L694" s="4">
        <f>IF($A694="","",VALUE($A694&amp;""))</f>
        <v/>
      </c>
      <c r="M694" s="4">
        <f>IF($A694="","",VALUE($B694&amp;""))</f>
        <v/>
      </c>
      <c r="N694" s="64">
        <f>IF($A694="","",$H694*설정!$C$15)</f>
        <v/>
      </c>
      <c r="O694" s="4">
        <f>IF($A694="","",J694&amp;"|"&amp;K694)</f>
        <v/>
      </c>
      <c r="P694" s="63">
        <f>IF($A694="","",IF(COUNTIFS(예산_원본!$T$5:$T$3004,O694,예산_원본!$B$5:$B$3004,설정!$C$8,예산_원본!$U$5:$U$3004,L694)&gt;0,"Y","N"))</f>
        <v/>
      </c>
      <c r="Q694" s="63">
        <f>IF($A694="","",IF(COUNTIF(집계!$E$7:$E$506,O694)&gt;0,"Y","N"))</f>
        <v/>
      </c>
    </row>
    <row r="695">
      <c r="A695" s="60" t="n">
        <v>2025</v>
      </c>
      <c r="B695" s="60" t="n">
        <v>9</v>
      </c>
      <c r="C695" s="60" t="inlineStr">
        <is>
          <t>1000</t>
        </is>
      </c>
      <c r="D695" s="60" t="n">
        <v>1701</v>
      </c>
      <c r="E695" s="60" t="inlineStr">
        <is>
          <t>IT운영</t>
        </is>
      </c>
      <c r="F695" s="60" t="n">
        <v>62301000</v>
      </c>
      <c r="G695" s="60" t="inlineStr">
        <is>
          <t>소모품비</t>
        </is>
      </c>
      <c r="H695" s="61" t="n">
        <v>978130</v>
      </c>
      <c r="J695" s="63">
        <f>IF($A695="","",IFERROR(INDEX(부서매핑!$C$5:$C$504,MATCH($D695&amp;"",부서매핑!$A$5:$A$504,0)),"미매핑"))</f>
        <v/>
      </c>
      <c r="K695" s="63">
        <f>IF($A695="","",IFERROR(INDEX(계정매핑!$C$5:$C$504,MATCH($F695&amp;"",계정매핑!$A$5:$A$504,0)),"미매핑"))</f>
        <v/>
      </c>
      <c r="L695" s="4">
        <f>IF($A695="","",VALUE($A695&amp;""))</f>
        <v/>
      </c>
      <c r="M695" s="4">
        <f>IF($A695="","",VALUE($B695&amp;""))</f>
        <v/>
      </c>
      <c r="N695" s="64">
        <f>IF($A695="","",$H695*설정!$C$15)</f>
        <v/>
      </c>
      <c r="O695" s="4">
        <f>IF($A695="","",J695&amp;"|"&amp;K695)</f>
        <v/>
      </c>
      <c r="P695" s="63">
        <f>IF($A695="","",IF(COUNTIFS(예산_원본!$T$5:$T$3004,O695,예산_원본!$B$5:$B$3004,설정!$C$8,예산_원본!$U$5:$U$3004,L695)&gt;0,"Y","N"))</f>
        <v/>
      </c>
      <c r="Q695" s="63">
        <f>IF($A695="","",IF(COUNTIF(집계!$E$7:$E$506,O695)&gt;0,"Y","N"))</f>
        <v/>
      </c>
    </row>
    <row r="696">
      <c r="A696" s="60" t="n">
        <v>2025</v>
      </c>
      <c r="B696" s="60" t="n">
        <v>9</v>
      </c>
      <c r="C696" s="60" t="inlineStr">
        <is>
          <t>1000</t>
        </is>
      </c>
      <c r="D696" s="60" t="n">
        <v>1701</v>
      </c>
      <c r="E696" s="60" t="inlineStr">
        <is>
          <t>IT운영</t>
        </is>
      </c>
      <c r="F696" s="60" t="n">
        <v>62501000</v>
      </c>
      <c r="G696" s="60" t="inlineStr">
        <is>
          <t>회의비</t>
        </is>
      </c>
      <c r="H696" s="61" t="n">
        <v>336100</v>
      </c>
      <c r="J696" s="63">
        <f>IF($A696="","",IFERROR(INDEX(부서매핑!$C$5:$C$504,MATCH($D696&amp;"",부서매핑!$A$5:$A$504,0)),"미매핑"))</f>
        <v/>
      </c>
      <c r="K696" s="63">
        <f>IF($A696="","",IFERROR(INDEX(계정매핑!$C$5:$C$504,MATCH($F696&amp;"",계정매핑!$A$5:$A$504,0)),"미매핑"))</f>
        <v/>
      </c>
      <c r="L696" s="4">
        <f>IF($A696="","",VALUE($A696&amp;""))</f>
        <v/>
      </c>
      <c r="M696" s="4">
        <f>IF($A696="","",VALUE($B696&amp;""))</f>
        <v/>
      </c>
      <c r="N696" s="64">
        <f>IF($A696="","",$H696*설정!$C$15)</f>
        <v/>
      </c>
      <c r="O696" s="4">
        <f>IF($A696="","",J696&amp;"|"&amp;K696)</f>
        <v/>
      </c>
      <c r="P696" s="63">
        <f>IF($A696="","",IF(COUNTIFS(예산_원본!$T$5:$T$3004,O696,예산_원본!$B$5:$B$3004,설정!$C$8,예산_원본!$U$5:$U$3004,L696)&gt;0,"Y","N"))</f>
        <v/>
      </c>
      <c r="Q696" s="63">
        <f>IF($A696="","",IF(COUNTIF(집계!$E$7:$E$506,O696)&gt;0,"Y","N"))</f>
        <v/>
      </c>
    </row>
    <row r="697">
      <c r="A697" s="60" t="n">
        <v>2025</v>
      </c>
      <c r="B697" s="60" t="n">
        <v>9</v>
      </c>
      <c r="C697" s="60" t="inlineStr">
        <is>
          <t>1000</t>
        </is>
      </c>
      <c r="D697" s="60" t="n">
        <v>1701</v>
      </c>
      <c r="E697" s="60" t="inlineStr">
        <is>
          <t>IT운영</t>
        </is>
      </c>
      <c r="F697" s="60" t="n">
        <v>63001000</v>
      </c>
      <c r="G697" s="60" t="inlineStr">
        <is>
          <t>전산운영비-SW유지보수</t>
        </is>
      </c>
      <c r="H697" s="61" t="n">
        <v>89121270</v>
      </c>
      <c r="J697" s="63">
        <f>IF($A697="","",IFERROR(INDEX(부서매핑!$C$5:$C$504,MATCH($D697&amp;"",부서매핑!$A$5:$A$504,0)),"미매핑"))</f>
        <v/>
      </c>
      <c r="K697" s="63">
        <f>IF($A697="","",IFERROR(INDEX(계정매핑!$C$5:$C$504,MATCH($F697&amp;"",계정매핑!$A$5:$A$504,0)),"미매핑"))</f>
        <v/>
      </c>
      <c r="L697" s="4">
        <f>IF($A697="","",VALUE($A697&amp;""))</f>
        <v/>
      </c>
      <c r="M697" s="4">
        <f>IF($A697="","",VALUE($B697&amp;""))</f>
        <v/>
      </c>
      <c r="N697" s="64">
        <f>IF($A697="","",$H697*설정!$C$15)</f>
        <v/>
      </c>
      <c r="O697" s="4">
        <f>IF($A697="","",J697&amp;"|"&amp;K697)</f>
        <v/>
      </c>
      <c r="P697" s="63">
        <f>IF($A697="","",IF(COUNTIFS(예산_원본!$T$5:$T$3004,O697,예산_원본!$B$5:$B$3004,설정!$C$8,예산_원본!$U$5:$U$3004,L697)&gt;0,"Y","N"))</f>
        <v/>
      </c>
      <c r="Q697" s="63">
        <f>IF($A697="","",IF(COUNTIF(집계!$E$7:$E$506,O697)&gt;0,"Y","N"))</f>
        <v/>
      </c>
    </row>
    <row r="698">
      <c r="A698" s="60" t="n">
        <v>2025</v>
      </c>
      <c r="B698" s="60" t="n">
        <v>9</v>
      </c>
      <c r="C698" s="60" t="inlineStr">
        <is>
          <t>1000</t>
        </is>
      </c>
      <c r="D698" s="60" t="n">
        <v>1701</v>
      </c>
      <c r="E698" s="60" t="inlineStr">
        <is>
          <t>IT운영</t>
        </is>
      </c>
      <c r="F698" s="60" t="n">
        <v>63002000</v>
      </c>
      <c r="G698" s="60" t="inlineStr">
        <is>
          <t>전산운영비-클라우드</t>
        </is>
      </c>
      <c r="H698" s="61" t="n">
        <v>62964470</v>
      </c>
      <c r="J698" s="63">
        <f>IF($A698="","",IFERROR(INDEX(부서매핑!$C$5:$C$504,MATCH($D698&amp;"",부서매핑!$A$5:$A$504,0)),"미매핑"))</f>
        <v/>
      </c>
      <c r="K698" s="63">
        <f>IF($A698="","",IFERROR(INDEX(계정매핑!$C$5:$C$504,MATCH($F698&amp;"",계정매핑!$A$5:$A$504,0)),"미매핑"))</f>
        <v/>
      </c>
      <c r="L698" s="4">
        <f>IF($A698="","",VALUE($A698&amp;""))</f>
        <v/>
      </c>
      <c r="M698" s="4">
        <f>IF($A698="","",VALUE($B698&amp;""))</f>
        <v/>
      </c>
      <c r="N698" s="64">
        <f>IF($A698="","",$H698*설정!$C$15)</f>
        <v/>
      </c>
      <c r="O698" s="4">
        <f>IF($A698="","",J698&amp;"|"&amp;K698)</f>
        <v/>
      </c>
      <c r="P698" s="63">
        <f>IF($A698="","",IF(COUNTIFS(예산_원본!$T$5:$T$3004,O698,예산_원본!$B$5:$B$3004,설정!$C$8,예산_원본!$U$5:$U$3004,L698)&gt;0,"Y","N"))</f>
        <v/>
      </c>
      <c r="Q698" s="63">
        <f>IF($A698="","",IF(COUNTIF(집계!$E$7:$E$506,O698)&gt;0,"Y","N"))</f>
        <v/>
      </c>
    </row>
    <row r="699">
      <c r="A699" s="60" t="n">
        <v>2025</v>
      </c>
      <c r="B699" s="60" t="n">
        <v>9</v>
      </c>
      <c r="C699" s="60" t="inlineStr">
        <is>
          <t>1000</t>
        </is>
      </c>
      <c r="D699" s="60" t="n">
        <v>1801</v>
      </c>
      <c r="E699" s="60" t="inlineStr">
        <is>
          <t>고객서비스</t>
        </is>
      </c>
      <c r="F699" s="60" t="n">
        <v>62101000</v>
      </c>
      <c r="G699" s="60" t="inlineStr">
        <is>
          <t>여비교통비-국내</t>
        </is>
      </c>
      <c r="H699" s="61" t="n">
        <v>693560</v>
      </c>
      <c r="J699" s="63">
        <f>IF($A699="","",IFERROR(INDEX(부서매핑!$C$5:$C$504,MATCH($D699&amp;"",부서매핑!$A$5:$A$504,0)),"미매핑"))</f>
        <v/>
      </c>
      <c r="K699" s="63">
        <f>IF($A699="","",IFERROR(INDEX(계정매핑!$C$5:$C$504,MATCH($F699&amp;"",계정매핑!$A$5:$A$504,0)),"미매핑"))</f>
        <v/>
      </c>
      <c r="L699" s="4">
        <f>IF($A699="","",VALUE($A699&amp;""))</f>
        <v/>
      </c>
      <c r="M699" s="4">
        <f>IF($A699="","",VALUE($B699&amp;""))</f>
        <v/>
      </c>
      <c r="N699" s="64">
        <f>IF($A699="","",$H699*설정!$C$15)</f>
        <v/>
      </c>
      <c r="O699" s="4">
        <f>IF($A699="","",J699&amp;"|"&amp;K699)</f>
        <v/>
      </c>
      <c r="P699" s="63">
        <f>IF($A699="","",IF(COUNTIFS(예산_원본!$T$5:$T$3004,O699,예산_원본!$B$5:$B$3004,설정!$C$8,예산_원본!$U$5:$U$3004,L699)&gt;0,"Y","N"))</f>
        <v/>
      </c>
      <c r="Q699" s="63">
        <f>IF($A699="","",IF(COUNTIF(집계!$E$7:$E$506,O699)&gt;0,"Y","N"))</f>
        <v/>
      </c>
    </row>
    <row r="700">
      <c r="A700" s="60" t="n">
        <v>2025</v>
      </c>
      <c r="B700" s="60" t="n">
        <v>9</v>
      </c>
      <c r="C700" s="60" t="inlineStr">
        <is>
          <t>1000</t>
        </is>
      </c>
      <c r="D700" s="60" t="n">
        <v>1801</v>
      </c>
      <c r="E700" s="60" t="inlineStr">
        <is>
          <t>고객서비스</t>
        </is>
      </c>
      <c r="F700" s="60" t="n">
        <v>62102000</v>
      </c>
      <c r="G700" s="60" t="inlineStr">
        <is>
          <t>여비교통비-해외</t>
        </is>
      </c>
      <c r="H700" s="61" t="n">
        <v>147130</v>
      </c>
      <c r="J700" s="63">
        <f>IF($A700="","",IFERROR(INDEX(부서매핑!$C$5:$C$504,MATCH($D700&amp;"",부서매핑!$A$5:$A$504,0)),"미매핑"))</f>
        <v/>
      </c>
      <c r="K700" s="63">
        <f>IF($A700="","",IFERROR(INDEX(계정매핑!$C$5:$C$504,MATCH($F700&amp;"",계정매핑!$A$5:$A$504,0)),"미매핑"))</f>
        <v/>
      </c>
      <c r="L700" s="4">
        <f>IF($A700="","",VALUE($A700&amp;""))</f>
        <v/>
      </c>
      <c r="M700" s="4">
        <f>IF($A700="","",VALUE($B700&amp;""))</f>
        <v/>
      </c>
      <c r="N700" s="64">
        <f>IF($A700="","",$H700*설정!$C$15)</f>
        <v/>
      </c>
      <c r="O700" s="4">
        <f>IF($A700="","",J700&amp;"|"&amp;K700)</f>
        <v/>
      </c>
      <c r="P700" s="63">
        <f>IF($A700="","",IF(COUNTIFS(예산_원본!$T$5:$T$3004,O700,예산_원본!$B$5:$B$3004,설정!$C$8,예산_원본!$U$5:$U$3004,L700)&gt;0,"Y","N"))</f>
        <v/>
      </c>
      <c r="Q700" s="63">
        <f>IF($A700="","",IF(COUNTIF(집계!$E$7:$E$506,O700)&gt;0,"Y","N"))</f>
        <v/>
      </c>
    </row>
    <row r="701">
      <c r="A701" s="60" t="n">
        <v>2025</v>
      </c>
      <c r="B701" s="60" t="n">
        <v>9</v>
      </c>
      <c r="C701" s="60" t="inlineStr">
        <is>
          <t>1000</t>
        </is>
      </c>
      <c r="D701" s="60" t="n">
        <v>1801</v>
      </c>
      <c r="E701" s="60" t="inlineStr">
        <is>
          <t>고객서비스</t>
        </is>
      </c>
      <c r="F701" s="60" t="n">
        <v>62201000</v>
      </c>
      <c r="G701" s="60" t="inlineStr">
        <is>
          <t>통신비</t>
        </is>
      </c>
      <c r="H701" s="61" t="n">
        <v>16341180</v>
      </c>
      <c r="J701" s="63">
        <f>IF($A701="","",IFERROR(INDEX(부서매핑!$C$5:$C$504,MATCH($D701&amp;"",부서매핑!$A$5:$A$504,0)),"미매핑"))</f>
        <v/>
      </c>
      <c r="K701" s="63">
        <f>IF($A701="","",IFERROR(INDEX(계정매핑!$C$5:$C$504,MATCH($F701&amp;"",계정매핑!$A$5:$A$504,0)),"미매핑"))</f>
        <v/>
      </c>
      <c r="L701" s="4">
        <f>IF($A701="","",VALUE($A701&amp;""))</f>
        <v/>
      </c>
      <c r="M701" s="4">
        <f>IF($A701="","",VALUE($B701&amp;""))</f>
        <v/>
      </c>
      <c r="N701" s="64">
        <f>IF($A701="","",$H701*설정!$C$15)</f>
        <v/>
      </c>
      <c r="O701" s="4">
        <f>IF($A701="","",J701&amp;"|"&amp;K701)</f>
        <v/>
      </c>
      <c r="P701" s="63">
        <f>IF($A701="","",IF(COUNTIFS(예산_원본!$T$5:$T$3004,O701,예산_원본!$B$5:$B$3004,설정!$C$8,예산_원본!$U$5:$U$3004,L701)&gt;0,"Y","N"))</f>
        <v/>
      </c>
      <c r="Q701" s="63">
        <f>IF($A701="","",IF(COUNTIF(집계!$E$7:$E$506,O701)&gt;0,"Y","N"))</f>
        <v/>
      </c>
    </row>
    <row r="702">
      <c r="A702" s="60" t="n">
        <v>2025</v>
      </c>
      <c r="B702" s="60" t="n">
        <v>9</v>
      </c>
      <c r="C702" s="60" t="inlineStr">
        <is>
          <t>1000</t>
        </is>
      </c>
      <c r="D702" s="60" t="n">
        <v>1801</v>
      </c>
      <c r="E702" s="60" t="inlineStr">
        <is>
          <t>고객서비스</t>
        </is>
      </c>
      <c r="F702" s="60" t="n">
        <v>62301000</v>
      </c>
      <c r="G702" s="60" t="inlineStr">
        <is>
          <t>소모품비</t>
        </is>
      </c>
      <c r="H702" s="61" t="n">
        <v>1437330</v>
      </c>
      <c r="J702" s="63">
        <f>IF($A702="","",IFERROR(INDEX(부서매핑!$C$5:$C$504,MATCH($D702&amp;"",부서매핑!$A$5:$A$504,0)),"미매핑"))</f>
        <v/>
      </c>
      <c r="K702" s="63">
        <f>IF($A702="","",IFERROR(INDEX(계정매핑!$C$5:$C$504,MATCH($F702&amp;"",계정매핑!$A$5:$A$504,0)),"미매핑"))</f>
        <v/>
      </c>
      <c r="L702" s="4">
        <f>IF($A702="","",VALUE($A702&amp;""))</f>
        <v/>
      </c>
      <c r="M702" s="4">
        <f>IF($A702="","",VALUE($B702&amp;""))</f>
        <v/>
      </c>
      <c r="N702" s="64">
        <f>IF($A702="","",$H702*설정!$C$15)</f>
        <v/>
      </c>
      <c r="O702" s="4">
        <f>IF($A702="","",J702&amp;"|"&amp;K702)</f>
        <v/>
      </c>
      <c r="P702" s="63">
        <f>IF($A702="","",IF(COUNTIFS(예산_원본!$T$5:$T$3004,O702,예산_원본!$B$5:$B$3004,설정!$C$8,예산_원본!$U$5:$U$3004,L702)&gt;0,"Y","N"))</f>
        <v/>
      </c>
      <c r="Q702" s="63">
        <f>IF($A702="","",IF(COUNTIF(집계!$E$7:$E$506,O702)&gt;0,"Y","N"))</f>
        <v/>
      </c>
    </row>
    <row r="703">
      <c r="A703" s="60" t="n">
        <v>2025</v>
      </c>
      <c r="B703" s="60" t="n">
        <v>9</v>
      </c>
      <c r="C703" s="60" t="inlineStr">
        <is>
          <t>1000</t>
        </is>
      </c>
      <c r="D703" s="60" t="n">
        <v>1801</v>
      </c>
      <c r="E703" s="60" t="inlineStr">
        <is>
          <t>고객서비스</t>
        </is>
      </c>
      <c r="F703" s="60" t="n">
        <v>62401000</v>
      </c>
      <c r="G703" s="60" t="inlineStr">
        <is>
          <t>도서인쇄비</t>
        </is>
      </c>
      <c r="H703" s="61" t="n">
        <v>6479240</v>
      </c>
      <c r="J703" s="63">
        <f>IF($A703="","",IFERROR(INDEX(부서매핑!$C$5:$C$504,MATCH($D703&amp;"",부서매핑!$A$5:$A$504,0)),"미매핑"))</f>
        <v/>
      </c>
      <c r="K703" s="63">
        <f>IF($A703="","",IFERROR(INDEX(계정매핑!$C$5:$C$504,MATCH($F703&amp;"",계정매핑!$A$5:$A$504,0)),"미매핑"))</f>
        <v/>
      </c>
      <c r="L703" s="4">
        <f>IF($A703="","",VALUE($A703&amp;""))</f>
        <v/>
      </c>
      <c r="M703" s="4">
        <f>IF($A703="","",VALUE($B703&amp;""))</f>
        <v/>
      </c>
      <c r="N703" s="64">
        <f>IF($A703="","",$H703*설정!$C$15)</f>
        <v/>
      </c>
      <c r="O703" s="4">
        <f>IF($A703="","",J703&amp;"|"&amp;K703)</f>
        <v/>
      </c>
      <c r="P703" s="63">
        <f>IF($A703="","",IF(COUNTIFS(예산_원본!$T$5:$T$3004,O703,예산_원본!$B$5:$B$3004,설정!$C$8,예산_원본!$U$5:$U$3004,L703)&gt;0,"Y","N"))</f>
        <v/>
      </c>
      <c r="Q703" s="63">
        <f>IF($A703="","",IF(COUNTIF(집계!$E$7:$E$506,O703)&gt;0,"Y","N"))</f>
        <v/>
      </c>
    </row>
    <row r="704">
      <c r="A704" s="60" t="n">
        <v>2025</v>
      </c>
      <c r="B704" s="60" t="n">
        <v>9</v>
      </c>
      <c r="C704" s="60" t="inlineStr">
        <is>
          <t>1000</t>
        </is>
      </c>
      <c r="D704" s="60" t="n">
        <v>1801</v>
      </c>
      <c r="E704" s="60" t="inlineStr">
        <is>
          <t>고객서비스</t>
        </is>
      </c>
      <c r="F704" s="60" t="n">
        <v>62501000</v>
      </c>
      <c r="G704" s="60" t="inlineStr">
        <is>
          <t>회의비</t>
        </is>
      </c>
      <c r="H704" s="61" t="n">
        <v>480600</v>
      </c>
      <c r="J704" s="63">
        <f>IF($A704="","",IFERROR(INDEX(부서매핑!$C$5:$C$504,MATCH($D704&amp;"",부서매핑!$A$5:$A$504,0)),"미매핑"))</f>
        <v/>
      </c>
      <c r="K704" s="63">
        <f>IF($A704="","",IFERROR(INDEX(계정매핑!$C$5:$C$504,MATCH($F704&amp;"",계정매핑!$A$5:$A$504,0)),"미매핑"))</f>
        <v/>
      </c>
      <c r="L704" s="4">
        <f>IF($A704="","",VALUE($A704&amp;""))</f>
        <v/>
      </c>
      <c r="M704" s="4">
        <f>IF($A704="","",VALUE($B704&amp;""))</f>
        <v/>
      </c>
      <c r="N704" s="64">
        <f>IF($A704="","",$H704*설정!$C$15)</f>
        <v/>
      </c>
      <c r="O704" s="4">
        <f>IF($A704="","",J704&amp;"|"&amp;K704)</f>
        <v/>
      </c>
      <c r="P704" s="63">
        <f>IF($A704="","",IF(COUNTIFS(예산_원본!$T$5:$T$3004,O704,예산_원본!$B$5:$B$3004,설정!$C$8,예산_원본!$U$5:$U$3004,L704)&gt;0,"Y","N"))</f>
        <v/>
      </c>
      <c r="Q704" s="63">
        <f>IF($A704="","",IF(COUNTIF(집계!$E$7:$E$506,O704)&gt;0,"Y","N"))</f>
        <v/>
      </c>
    </row>
    <row r="705">
      <c r="A705" s="60" t="n">
        <v>2025</v>
      </c>
      <c r="B705" s="60" t="n">
        <v>9</v>
      </c>
      <c r="C705" s="60" t="inlineStr">
        <is>
          <t>1000</t>
        </is>
      </c>
      <c r="D705" s="60" t="n">
        <v>1801</v>
      </c>
      <c r="E705" s="60" t="inlineStr">
        <is>
          <t>고객서비스</t>
        </is>
      </c>
      <c r="F705" s="60" t="n">
        <v>62901000</v>
      </c>
      <c r="G705" s="60" t="inlineStr">
        <is>
          <t>지급수수료-컨설팅</t>
        </is>
      </c>
      <c r="H705" s="61" t="n">
        <v>38576770</v>
      </c>
      <c r="J705" s="63">
        <f>IF($A705="","",IFERROR(INDEX(부서매핑!$C$5:$C$504,MATCH($D705&amp;"",부서매핑!$A$5:$A$504,0)),"미매핑"))</f>
        <v/>
      </c>
      <c r="K705" s="63">
        <f>IF($A705="","",IFERROR(INDEX(계정매핑!$C$5:$C$504,MATCH($F705&amp;"",계정매핑!$A$5:$A$504,0)),"미매핑"))</f>
        <v/>
      </c>
      <c r="L705" s="4">
        <f>IF($A705="","",VALUE($A705&amp;""))</f>
        <v/>
      </c>
      <c r="M705" s="4">
        <f>IF($A705="","",VALUE($B705&amp;""))</f>
        <v/>
      </c>
      <c r="N705" s="64">
        <f>IF($A705="","",$H705*설정!$C$15)</f>
        <v/>
      </c>
      <c r="O705" s="4">
        <f>IF($A705="","",J705&amp;"|"&amp;K705)</f>
        <v/>
      </c>
      <c r="P705" s="63">
        <f>IF($A705="","",IF(COUNTIFS(예산_원본!$T$5:$T$3004,O705,예산_원본!$B$5:$B$3004,설정!$C$8,예산_원본!$U$5:$U$3004,L705)&gt;0,"Y","N"))</f>
        <v/>
      </c>
      <c r="Q705" s="63">
        <f>IF($A705="","",IF(COUNTIF(집계!$E$7:$E$506,O705)&gt;0,"Y","N"))</f>
        <v/>
      </c>
    </row>
    <row r="706">
      <c r="A706" s="60" t="n">
        <v>2025</v>
      </c>
      <c r="B706" s="60" t="n">
        <v>9</v>
      </c>
      <c r="C706" s="60" t="inlineStr">
        <is>
          <t>1000</t>
        </is>
      </c>
      <c r="D706" s="60" t="n">
        <v>1801</v>
      </c>
      <c r="E706" s="60" t="inlineStr">
        <is>
          <t>고객서비스</t>
        </is>
      </c>
      <c r="F706" s="60" t="n">
        <v>62902000</v>
      </c>
      <c r="G706" s="60" t="inlineStr">
        <is>
          <t>지급수수료-기타</t>
        </is>
      </c>
      <c r="H706" s="61" t="n">
        <v>13648860</v>
      </c>
      <c r="J706" s="63">
        <f>IF($A706="","",IFERROR(INDEX(부서매핑!$C$5:$C$504,MATCH($D706&amp;"",부서매핑!$A$5:$A$504,0)),"미매핑"))</f>
        <v/>
      </c>
      <c r="K706" s="63">
        <f>IF($A706="","",IFERROR(INDEX(계정매핑!$C$5:$C$504,MATCH($F706&amp;"",계정매핑!$A$5:$A$504,0)),"미매핑"))</f>
        <v/>
      </c>
      <c r="L706" s="4">
        <f>IF($A706="","",VALUE($A706&amp;""))</f>
        <v/>
      </c>
      <c r="M706" s="4">
        <f>IF($A706="","",VALUE($B706&amp;""))</f>
        <v/>
      </c>
      <c r="N706" s="64">
        <f>IF($A706="","",$H706*설정!$C$15)</f>
        <v/>
      </c>
      <c r="O706" s="4">
        <f>IF($A706="","",J706&amp;"|"&amp;K706)</f>
        <v/>
      </c>
      <c r="P706" s="63">
        <f>IF($A706="","",IF(COUNTIFS(예산_원본!$T$5:$T$3004,O706,예산_원본!$B$5:$B$3004,설정!$C$8,예산_원본!$U$5:$U$3004,L706)&gt;0,"Y","N"))</f>
        <v/>
      </c>
      <c r="Q706" s="63">
        <f>IF($A706="","",IF(COUNTIF(집계!$E$7:$E$506,O706)&gt;0,"Y","N"))</f>
        <v/>
      </c>
    </row>
    <row r="707">
      <c r="A707" s="60" t="n">
        <v>2025</v>
      </c>
      <c r="B707" s="60" t="n">
        <v>10</v>
      </c>
      <c r="C707" s="60" t="inlineStr">
        <is>
          <t>1000</t>
        </is>
      </c>
      <c r="D707" s="60" t="n">
        <v>1101</v>
      </c>
      <c r="E707" s="60" t="inlineStr">
        <is>
          <t>경영기획</t>
        </is>
      </c>
      <c r="F707" s="60" t="n">
        <v>62101000</v>
      </c>
      <c r="G707" s="60" t="inlineStr">
        <is>
          <t>여비교통비-국내</t>
        </is>
      </c>
      <c r="H707" s="61" t="n">
        <v>2343010</v>
      </c>
      <c r="J707" s="63">
        <f>IF($A707="","",IFERROR(INDEX(부서매핑!$C$5:$C$504,MATCH($D707&amp;"",부서매핑!$A$5:$A$504,0)),"미매핑"))</f>
        <v/>
      </c>
      <c r="K707" s="63">
        <f>IF($A707="","",IFERROR(INDEX(계정매핑!$C$5:$C$504,MATCH($F707&amp;"",계정매핑!$A$5:$A$504,0)),"미매핑"))</f>
        <v/>
      </c>
      <c r="L707" s="4">
        <f>IF($A707="","",VALUE($A707&amp;""))</f>
        <v/>
      </c>
      <c r="M707" s="4">
        <f>IF($A707="","",VALUE($B707&amp;""))</f>
        <v/>
      </c>
      <c r="N707" s="64">
        <f>IF($A707="","",$H707*설정!$C$15)</f>
        <v/>
      </c>
      <c r="O707" s="4">
        <f>IF($A707="","",J707&amp;"|"&amp;K707)</f>
        <v/>
      </c>
      <c r="P707" s="63">
        <f>IF($A707="","",IF(COUNTIFS(예산_원본!$T$5:$T$3004,O707,예산_원본!$B$5:$B$3004,설정!$C$8,예산_원본!$U$5:$U$3004,L707)&gt;0,"Y","N"))</f>
        <v/>
      </c>
      <c r="Q707" s="63">
        <f>IF($A707="","",IF(COUNTIF(집계!$E$7:$E$506,O707)&gt;0,"Y","N"))</f>
        <v/>
      </c>
    </row>
    <row r="708">
      <c r="A708" s="60" t="n">
        <v>2025</v>
      </c>
      <c r="B708" s="60" t="n">
        <v>10</v>
      </c>
      <c r="C708" s="60" t="inlineStr">
        <is>
          <t>1000</t>
        </is>
      </c>
      <c r="D708" s="60" t="n">
        <v>1101</v>
      </c>
      <c r="E708" s="60" t="inlineStr">
        <is>
          <t>경영기획</t>
        </is>
      </c>
      <c r="F708" s="60" t="n">
        <v>62102000</v>
      </c>
      <c r="G708" s="60" t="inlineStr">
        <is>
          <t>여비교통비-해외</t>
        </is>
      </c>
      <c r="H708" s="61" t="n">
        <v>392030</v>
      </c>
      <c r="J708" s="63">
        <f>IF($A708="","",IFERROR(INDEX(부서매핑!$C$5:$C$504,MATCH($D708&amp;"",부서매핑!$A$5:$A$504,0)),"미매핑"))</f>
        <v/>
      </c>
      <c r="K708" s="63">
        <f>IF($A708="","",IFERROR(INDEX(계정매핑!$C$5:$C$504,MATCH($F708&amp;"",계정매핑!$A$5:$A$504,0)),"미매핑"))</f>
        <v/>
      </c>
      <c r="L708" s="4">
        <f>IF($A708="","",VALUE($A708&amp;""))</f>
        <v/>
      </c>
      <c r="M708" s="4">
        <f>IF($A708="","",VALUE($B708&amp;""))</f>
        <v/>
      </c>
      <c r="N708" s="64">
        <f>IF($A708="","",$H708*설정!$C$15)</f>
        <v/>
      </c>
      <c r="O708" s="4">
        <f>IF($A708="","",J708&amp;"|"&amp;K708)</f>
        <v/>
      </c>
      <c r="P708" s="63">
        <f>IF($A708="","",IF(COUNTIFS(예산_원본!$T$5:$T$3004,O708,예산_원본!$B$5:$B$3004,설정!$C$8,예산_원본!$U$5:$U$3004,L708)&gt;0,"Y","N"))</f>
        <v/>
      </c>
      <c r="Q708" s="63">
        <f>IF($A708="","",IF(COUNTIF(집계!$E$7:$E$506,O708)&gt;0,"Y","N"))</f>
        <v/>
      </c>
    </row>
    <row r="709">
      <c r="A709" s="60" t="n">
        <v>2025</v>
      </c>
      <c r="B709" s="60" t="n">
        <v>10</v>
      </c>
      <c r="C709" s="60" t="inlineStr">
        <is>
          <t>1000</t>
        </is>
      </c>
      <c r="D709" s="60" t="n">
        <v>1101</v>
      </c>
      <c r="E709" s="60" t="inlineStr">
        <is>
          <t>경영기획</t>
        </is>
      </c>
      <c r="F709" s="60" t="n">
        <v>62201000</v>
      </c>
      <c r="G709" s="60" t="inlineStr">
        <is>
          <t>통신비</t>
        </is>
      </c>
      <c r="H709" s="61" t="n">
        <v>705940</v>
      </c>
      <c r="J709" s="63">
        <f>IF($A709="","",IFERROR(INDEX(부서매핑!$C$5:$C$504,MATCH($D709&amp;"",부서매핑!$A$5:$A$504,0)),"미매핑"))</f>
        <v/>
      </c>
      <c r="K709" s="63">
        <f>IF($A709="","",IFERROR(INDEX(계정매핑!$C$5:$C$504,MATCH($F709&amp;"",계정매핑!$A$5:$A$504,0)),"미매핑"))</f>
        <v/>
      </c>
      <c r="L709" s="4">
        <f>IF($A709="","",VALUE($A709&amp;""))</f>
        <v/>
      </c>
      <c r="M709" s="4">
        <f>IF($A709="","",VALUE($B709&amp;""))</f>
        <v/>
      </c>
      <c r="N709" s="64">
        <f>IF($A709="","",$H709*설정!$C$15)</f>
        <v/>
      </c>
      <c r="O709" s="4">
        <f>IF($A709="","",J709&amp;"|"&amp;K709)</f>
        <v/>
      </c>
      <c r="P709" s="63">
        <f>IF($A709="","",IF(COUNTIFS(예산_원본!$T$5:$T$3004,O709,예산_원본!$B$5:$B$3004,설정!$C$8,예산_원본!$U$5:$U$3004,L709)&gt;0,"Y","N"))</f>
        <v/>
      </c>
      <c r="Q709" s="63">
        <f>IF($A709="","",IF(COUNTIF(집계!$E$7:$E$506,O709)&gt;0,"Y","N"))</f>
        <v/>
      </c>
    </row>
    <row r="710">
      <c r="A710" s="60" t="n">
        <v>2025</v>
      </c>
      <c r="B710" s="60" t="n">
        <v>10</v>
      </c>
      <c r="C710" s="60" t="inlineStr">
        <is>
          <t>1000</t>
        </is>
      </c>
      <c r="D710" s="60" t="n">
        <v>1101</v>
      </c>
      <c r="E710" s="60" t="inlineStr">
        <is>
          <t>경영기획</t>
        </is>
      </c>
      <c r="F710" s="60" t="n">
        <v>62301000</v>
      </c>
      <c r="G710" s="60" t="inlineStr">
        <is>
          <t>소모품비</t>
        </is>
      </c>
      <c r="H710" s="61" t="n">
        <v>386880</v>
      </c>
      <c r="J710" s="63">
        <f>IF($A710="","",IFERROR(INDEX(부서매핑!$C$5:$C$504,MATCH($D710&amp;"",부서매핑!$A$5:$A$504,0)),"미매핑"))</f>
        <v/>
      </c>
      <c r="K710" s="63">
        <f>IF($A710="","",IFERROR(INDEX(계정매핑!$C$5:$C$504,MATCH($F710&amp;"",계정매핑!$A$5:$A$504,0)),"미매핑"))</f>
        <v/>
      </c>
      <c r="L710" s="4">
        <f>IF($A710="","",VALUE($A710&amp;""))</f>
        <v/>
      </c>
      <c r="M710" s="4">
        <f>IF($A710="","",VALUE($B710&amp;""))</f>
        <v/>
      </c>
      <c r="N710" s="64">
        <f>IF($A710="","",$H710*설정!$C$15)</f>
        <v/>
      </c>
      <c r="O710" s="4">
        <f>IF($A710="","",J710&amp;"|"&amp;K710)</f>
        <v/>
      </c>
      <c r="P710" s="63">
        <f>IF($A710="","",IF(COUNTIFS(예산_원본!$T$5:$T$3004,O710,예산_원본!$B$5:$B$3004,설정!$C$8,예산_원본!$U$5:$U$3004,L710)&gt;0,"Y","N"))</f>
        <v/>
      </c>
      <c r="Q710" s="63">
        <f>IF($A710="","",IF(COUNTIF(집계!$E$7:$E$506,O710)&gt;0,"Y","N"))</f>
        <v/>
      </c>
    </row>
    <row r="711">
      <c r="A711" s="60" t="n">
        <v>2025</v>
      </c>
      <c r="B711" s="60" t="n">
        <v>10</v>
      </c>
      <c r="C711" s="60" t="inlineStr">
        <is>
          <t>1000</t>
        </is>
      </c>
      <c r="D711" s="60" t="n">
        <v>1101</v>
      </c>
      <c r="E711" s="60" t="inlineStr">
        <is>
          <t>경영기획</t>
        </is>
      </c>
      <c r="F711" s="60" t="n">
        <v>62501000</v>
      </c>
      <c r="G711" s="60" t="inlineStr">
        <is>
          <t>회의비</t>
        </is>
      </c>
      <c r="H711" s="61" t="n">
        <v>1079160</v>
      </c>
      <c r="J711" s="63">
        <f>IF($A711="","",IFERROR(INDEX(부서매핑!$C$5:$C$504,MATCH($D711&amp;"",부서매핑!$A$5:$A$504,0)),"미매핑"))</f>
        <v/>
      </c>
      <c r="K711" s="63">
        <f>IF($A711="","",IFERROR(INDEX(계정매핑!$C$5:$C$504,MATCH($F711&amp;"",계정매핑!$A$5:$A$504,0)),"미매핑"))</f>
        <v/>
      </c>
      <c r="L711" s="4">
        <f>IF($A711="","",VALUE($A711&amp;""))</f>
        <v/>
      </c>
      <c r="M711" s="4">
        <f>IF($A711="","",VALUE($B711&amp;""))</f>
        <v/>
      </c>
      <c r="N711" s="64">
        <f>IF($A711="","",$H711*설정!$C$15)</f>
        <v/>
      </c>
      <c r="O711" s="4">
        <f>IF($A711="","",J711&amp;"|"&amp;K711)</f>
        <v/>
      </c>
      <c r="P711" s="63">
        <f>IF($A711="","",IF(COUNTIFS(예산_원본!$T$5:$T$3004,O711,예산_원본!$B$5:$B$3004,설정!$C$8,예산_원본!$U$5:$U$3004,L711)&gt;0,"Y","N"))</f>
        <v/>
      </c>
      <c r="Q711" s="63">
        <f>IF($A711="","",IF(COUNTIF(집계!$E$7:$E$506,O711)&gt;0,"Y","N"))</f>
        <v/>
      </c>
    </row>
    <row r="712">
      <c r="A712" s="60" t="n">
        <v>2025</v>
      </c>
      <c r="B712" s="60" t="n">
        <v>10</v>
      </c>
      <c r="C712" s="60" t="inlineStr">
        <is>
          <t>1000</t>
        </is>
      </c>
      <c r="D712" s="60" t="n">
        <v>1101</v>
      </c>
      <c r="E712" s="60" t="inlineStr">
        <is>
          <t>경영기획</t>
        </is>
      </c>
      <c r="F712" s="60" t="n">
        <v>62601000</v>
      </c>
      <c r="G712" s="60" t="inlineStr">
        <is>
          <t>업무추진비</t>
        </is>
      </c>
      <c r="H712" s="61" t="n">
        <v>3669850</v>
      </c>
      <c r="J712" s="63">
        <f>IF($A712="","",IFERROR(INDEX(부서매핑!$C$5:$C$504,MATCH($D712&amp;"",부서매핑!$A$5:$A$504,0)),"미매핑"))</f>
        <v/>
      </c>
      <c r="K712" s="63">
        <f>IF($A712="","",IFERROR(INDEX(계정매핑!$C$5:$C$504,MATCH($F712&amp;"",계정매핑!$A$5:$A$504,0)),"미매핑"))</f>
        <v/>
      </c>
      <c r="L712" s="4">
        <f>IF($A712="","",VALUE($A712&amp;""))</f>
        <v/>
      </c>
      <c r="M712" s="4">
        <f>IF($A712="","",VALUE($B712&amp;""))</f>
        <v/>
      </c>
      <c r="N712" s="64">
        <f>IF($A712="","",$H712*설정!$C$15)</f>
        <v/>
      </c>
      <c r="O712" s="4">
        <f>IF($A712="","",J712&amp;"|"&amp;K712)</f>
        <v/>
      </c>
      <c r="P712" s="63">
        <f>IF($A712="","",IF(COUNTIFS(예산_원본!$T$5:$T$3004,O712,예산_원본!$B$5:$B$3004,설정!$C$8,예산_원본!$U$5:$U$3004,L712)&gt;0,"Y","N"))</f>
        <v/>
      </c>
      <c r="Q712" s="63">
        <f>IF($A712="","",IF(COUNTIF(집계!$E$7:$E$506,O712)&gt;0,"Y","N"))</f>
        <v/>
      </c>
    </row>
    <row r="713">
      <c r="A713" s="60" t="n">
        <v>2025</v>
      </c>
      <c r="B713" s="60" t="n">
        <v>10</v>
      </c>
      <c r="C713" s="60" t="inlineStr">
        <is>
          <t>1000</t>
        </is>
      </c>
      <c r="D713" s="60" t="n">
        <v>1101</v>
      </c>
      <c r="E713" s="60" t="inlineStr">
        <is>
          <t>경영기획</t>
        </is>
      </c>
      <c r="F713" s="60" t="n">
        <v>62901000</v>
      </c>
      <c r="G713" s="60" t="inlineStr">
        <is>
          <t>지급수수료-컨설팅</t>
        </is>
      </c>
      <c r="H713" s="61" t="n">
        <v>13190030</v>
      </c>
      <c r="J713" s="63">
        <f>IF($A713="","",IFERROR(INDEX(부서매핑!$C$5:$C$504,MATCH($D713&amp;"",부서매핑!$A$5:$A$504,0)),"미매핑"))</f>
        <v/>
      </c>
      <c r="K713" s="63">
        <f>IF($A713="","",IFERROR(INDEX(계정매핑!$C$5:$C$504,MATCH($F713&amp;"",계정매핑!$A$5:$A$504,0)),"미매핑"))</f>
        <v/>
      </c>
      <c r="L713" s="4">
        <f>IF($A713="","",VALUE($A713&amp;""))</f>
        <v/>
      </c>
      <c r="M713" s="4">
        <f>IF($A713="","",VALUE($B713&amp;""))</f>
        <v/>
      </c>
      <c r="N713" s="64">
        <f>IF($A713="","",$H713*설정!$C$15)</f>
        <v/>
      </c>
      <c r="O713" s="4">
        <f>IF($A713="","",J713&amp;"|"&amp;K713)</f>
        <v/>
      </c>
      <c r="P713" s="63">
        <f>IF($A713="","",IF(COUNTIFS(예산_원본!$T$5:$T$3004,O713,예산_원본!$B$5:$B$3004,설정!$C$8,예산_원본!$U$5:$U$3004,L713)&gt;0,"Y","N"))</f>
        <v/>
      </c>
      <c r="Q713" s="63">
        <f>IF($A713="","",IF(COUNTIF(집계!$E$7:$E$506,O713)&gt;0,"Y","N"))</f>
        <v/>
      </c>
    </row>
    <row r="714">
      <c r="A714" s="60" t="n">
        <v>2025</v>
      </c>
      <c r="B714" s="60" t="n">
        <v>10</v>
      </c>
      <c r="C714" s="60" t="inlineStr">
        <is>
          <t>1000</t>
        </is>
      </c>
      <c r="D714" s="60" t="n">
        <v>1101</v>
      </c>
      <c r="E714" s="60" t="inlineStr">
        <is>
          <t>경영기획</t>
        </is>
      </c>
      <c r="F714" s="60" t="n">
        <v>62902000</v>
      </c>
      <c r="G714" s="60" t="inlineStr">
        <is>
          <t>지급수수료-기타</t>
        </is>
      </c>
      <c r="H714" s="61" t="n">
        <v>5713840</v>
      </c>
      <c r="J714" s="63">
        <f>IF($A714="","",IFERROR(INDEX(부서매핑!$C$5:$C$504,MATCH($D714&amp;"",부서매핑!$A$5:$A$504,0)),"미매핑"))</f>
        <v/>
      </c>
      <c r="K714" s="63">
        <f>IF($A714="","",IFERROR(INDEX(계정매핑!$C$5:$C$504,MATCH($F714&amp;"",계정매핑!$A$5:$A$504,0)),"미매핑"))</f>
        <v/>
      </c>
      <c r="L714" s="4">
        <f>IF($A714="","",VALUE($A714&amp;""))</f>
        <v/>
      </c>
      <c r="M714" s="4">
        <f>IF($A714="","",VALUE($B714&amp;""))</f>
        <v/>
      </c>
      <c r="N714" s="64">
        <f>IF($A714="","",$H714*설정!$C$15)</f>
        <v/>
      </c>
      <c r="O714" s="4">
        <f>IF($A714="","",J714&amp;"|"&amp;K714)</f>
        <v/>
      </c>
      <c r="P714" s="63">
        <f>IF($A714="","",IF(COUNTIFS(예산_원본!$T$5:$T$3004,O714,예산_원본!$B$5:$B$3004,설정!$C$8,예산_원본!$U$5:$U$3004,L714)&gt;0,"Y","N"))</f>
        <v/>
      </c>
      <c r="Q714" s="63">
        <f>IF($A714="","",IF(COUNTIF(집계!$E$7:$E$506,O714)&gt;0,"Y","N"))</f>
        <v/>
      </c>
    </row>
    <row r="715">
      <c r="A715" s="60" t="n">
        <v>2025</v>
      </c>
      <c r="B715" s="60" t="n">
        <v>10</v>
      </c>
      <c r="C715" s="60" t="inlineStr">
        <is>
          <t>1000</t>
        </is>
      </c>
      <c r="D715" s="60" t="n">
        <v>1201</v>
      </c>
      <c r="E715" s="60" t="inlineStr">
        <is>
          <t>재무회계</t>
        </is>
      </c>
      <c r="F715" s="60" t="n">
        <v>62101000</v>
      </c>
      <c r="G715" s="60" t="inlineStr">
        <is>
          <t>여비교통비-국내</t>
        </is>
      </c>
      <c r="H715" s="61" t="n">
        <v>1107730</v>
      </c>
      <c r="J715" s="63">
        <f>IF($A715="","",IFERROR(INDEX(부서매핑!$C$5:$C$504,MATCH($D715&amp;"",부서매핑!$A$5:$A$504,0)),"미매핑"))</f>
        <v/>
      </c>
      <c r="K715" s="63">
        <f>IF($A715="","",IFERROR(INDEX(계정매핑!$C$5:$C$504,MATCH($F715&amp;"",계정매핑!$A$5:$A$504,0)),"미매핑"))</f>
        <v/>
      </c>
      <c r="L715" s="4">
        <f>IF($A715="","",VALUE($A715&amp;""))</f>
        <v/>
      </c>
      <c r="M715" s="4">
        <f>IF($A715="","",VALUE($B715&amp;""))</f>
        <v/>
      </c>
      <c r="N715" s="64">
        <f>IF($A715="","",$H715*설정!$C$15)</f>
        <v/>
      </c>
      <c r="O715" s="4">
        <f>IF($A715="","",J715&amp;"|"&amp;K715)</f>
        <v/>
      </c>
      <c r="P715" s="63">
        <f>IF($A715="","",IF(COUNTIFS(예산_원본!$T$5:$T$3004,O715,예산_원본!$B$5:$B$3004,설정!$C$8,예산_원본!$U$5:$U$3004,L715)&gt;0,"Y","N"))</f>
        <v/>
      </c>
      <c r="Q715" s="63">
        <f>IF($A715="","",IF(COUNTIF(집계!$E$7:$E$506,O715)&gt;0,"Y","N"))</f>
        <v/>
      </c>
    </row>
    <row r="716">
      <c r="A716" s="60" t="n">
        <v>2025</v>
      </c>
      <c r="B716" s="60" t="n">
        <v>10</v>
      </c>
      <c r="C716" s="60" t="inlineStr">
        <is>
          <t>1000</t>
        </is>
      </c>
      <c r="D716" s="60" t="n">
        <v>1201</v>
      </c>
      <c r="E716" s="60" t="inlineStr">
        <is>
          <t>재무회계</t>
        </is>
      </c>
      <c r="F716" s="60" t="n">
        <v>62102000</v>
      </c>
      <c r="G716" s="60" t="inlineStr">
        <is>
          <t>여비교통비-해외</t>
        </is>
      </c>
      <c r="H716" s="61" t="n">
        <v>214910</v>
      </c>
      <c r="J716" s="63">
        <f>IF($A716="","",IFERROR(INDEX(부서매핑!$C$5:$C$504,MATCH($D716&amp;"",부서매핑!$A$5:$A$504,0)),"미매핑"))</f>
        <v/>
      </c>
      <c r="K716" s="63">
        <f>IF($A716="","",IFERROR(INDEX(계정매핑!$C$5:$C$504,MATCH($F716&amp;"",계정매핑!$A$5:$A$504,0)),"미매핑"))</f>
        <v/>
      </c>
      <c r="L716" s="4">
        <f>IF($A716="","",VALUE($A716&amp;""))</f>
        <v/>
      </c>
      <c r="M716" s="4">
        <f>IF($A716="","",VALUE($B716&amp;""))</f>
        <v/>
      </c>
      <c r="N716" s="64">
        <f>IF($A716="","",$H716*설정!$C$15)</f>
        <v/>
      </c>
      <c r="O716" s="4">
        <f>IF($A716="","",J716&amp;"|"&amp;K716)</f>
        <v/>
      </c>
      <c r="P716" s="63">
        <f>IF($A716="","",IF(COUNTIFS(예산_원본!$T$5:$T$3004,O716,예산_원본!$B$5:$B$3004,설정!$C$8,예산_원본!$U$5:$U$3004,L716)&gt;0,"Y","N"))</f>
        <v/>
      </c>
      <c r="Q716" s="63">
        <f>IF($A716="","",IF(COUNTIF(집계!$E$7:$E$506,O716)&gt;0,"Y","N"))</f>
        <v/>
      </c>
    </row>
    <row r="717">
      <c r="A717" s="60" t="n">
        <v>2025</v>
      </c>
      <c r="B717" s="60" t="n">
        <v>10</v>
      </c>
      <c r="C717" s="60" t="inlineStr">
        <is>
          <t>1000</t>
        </is>
      </c>
      <c r="D717" s="60" t="n">
        <v>1201</v>
      </c>
      <c r="E717" s="60" t="inlineStr">
        <is>
          <t>재무회계</t>
        </is>
      </c>
      <c r="F717" s="60" t="n">
        <v>62201000</v>
      </c>
      <c r="G717" s="60" t="inlineStr">
        <is>
          <t>통신비</t>
        </is>
      </c>
      <c r="H717" s="61" t="n">
        <v>615350</v>
      </c>
      <c r="J717" s="63">
        <f>IF($A717="","",IFERROR(INDEX(부서매핑!$C$5:$C$504,MATCH($D717&amp;"",부서매핑!$A$5:$A$504,0)),"미매핑"))</f>
        <v/>
      </c>
      <c r="K717" s="63">
        <f>IF($A717="","",IFERROR(INDEX(계정매핑!$C$5:$C$504,MATCH($F717&amp;"",계정매핑!$A$5:$A$504,0)),"미매핑"))</f>
        <v/>
      </c>
      <c r="L717" s="4">
        <f>IF($A717="","",VALUE($A717&amp;""))</f>
        <v/>
      </c>
      <c r="M717" s="4">
        <f>IF($A717="","",VALUE($B717&amp;""))</f>
        <v/>
      </c>
      <c r="N717" s="64">
        <f>IF($A717="","",$H717*설정!$C$15)</f>
        <v/>
      </c>
      <c r="O717" s="4">
        <f>IF($A717="","",J717&amp;"|"&amp;K717)</f>
        <v/>
      </c>
      <c r="P717" s="63">
        <f>IF($A717="","",IF(COUNTIFS(예산_원본!$T$5:$T$3004,O717,예산_원본!$B$5:$B$3004,설정!$C$8,예산_원본!$U$5:$U$3004,L717)&gt;0,"Y","N"))</f>
        <v/>
      </c>
      <c r="Q717" s="63">
        <f>IF($A717="","",IF(COUNTIF(집계!$E$7:$E$506,O717)&gt;0,"Y","N"))</f>
        <v/>
      </c>
    </row>
    <row r="718">
      <c r="A718" s="60" t="n">
        <v>2025</v>
      </c>
      <c r="B718" s="60" t="n">
        <v>10</v>
      </c>
      <c r="C718" s="60" t="inlineStr">
        <is>
          <t>1000</t>
        </is>
      </c>
      <c r="D718" s="60" t="n">
        <v>1201</v>
      </c>
      <c r="E718" s="60" t="inlineStr">
        <is>
          <t>재무회계</t>
        </is>
      </c>
      <c r="F718" s="60" t="n">
        <v>62301000</v>
      </c>
      <c r="G718" s="60" t="inlineStr">
        <is>
          <t>소모품비</t>
        </is>
      </c>
      <c r="H718" s="61" t="n">
        <v>559050</v>
      </c>
      <c r="J718" s="63">
        <f>IF($A718="","",IFERROR(INDEX(부서매핑!$C$5:$C$504,MATCH($D718&amp;"",부서매핑!$A$5:$A$504,0)),"미매핑"))</f>
        <v/>
      </c>
      <c r="K718" s="63">
        <f>IF($A718="","",IFERROR(INDEX(계정매핑!$C$5:$C$504,MATCH($F718&amp;"",계정매핑!$A$5:$A$504,0)),"미매핑"))</f>
        <v/>
      </c>
      <c r="L718" s="4">
        <f>IF($A718="","",VALUE($A718&amp;""))</f>
        <v/>
      </c>
      <c r="M718" s="4">
        <f>IF($A718="","",VALUE($B718&amp;""))</f>
        <v/>
      </c>
      <c r="N718" s="64">
        <f>IF($A718="","",$H718*설정!$C$15)</f>
        <v/>
      </c>
      <c r="O718" s="4">
        <f>IF($A718="","",J718&amp;"|"&amp;K718)</f>
        <v/>
      </c>
      <c r="P718" s="63">
        <f>IF($A718="","",IF(COUNTIFS(예산_원본!$T$5:$T$3004,O718,예산_원본!$B$5:$B$3004,설정!$C$8,예산_원본!$U$5:$U$3004,L718)&gt;0,"Y","N"))</f>
        <v/>
      </c>
      <c r="Q718" s="63">
        <f>IF($A718="","",IF(COUNTIF(집계!$E$7:$E$506,O718)&gt;0,"Y","N"))</f>
        <v/>
      </c>
    </row>
    <row r="719">
      <c r="A719" s="60" t="n">
        <v>2025</v>
      </c>
      <c r="B719" s="60" t="n">
        <v>10</v>
      </c>
      <c r="C719" s="60" t="inlineStr">
        <is>
          <t>1000</t>
        </is>
      </c>
      <c r="D719" s="60" t="n">
        <v>1201</v>
      </c>
      <c r="E719" s="60" t="inlineStr">
        <is>
          <t>재무회계</t>
        </is>
      </c>
      <c r="F719" s="60" t="n">
        <v>62501000</v>
      </c>
      <c r="G719" s="60" t="inlineStr">
        <is>
          <t>회의비</t>
        </is>
      </c>
      <c r="H719" s="61" t="n">
        <v>488850</v>
      </c>
      <c r="J719" s="63">
        <f>IF($A719="","",IFERROR(INDEX(부서매핑!$C$5:$C$504,MATCH($D719&amp;"",부서매핑!$A$5:$A$504,0)),"미매핑"))</f>
        <v/>
      </c>
      <c r="K719" s="63">
        <f>IF($A719="","",IFERROR(INDEX(계정매핑!$C$5:$C$504,MATCH($F719&amp;"",계정매핑!$A$5:$A$504,0)),"미매핑"))</f>
        <v/>
      </c>
      <c r="L719" s="4">
        <f>IF($A719="","",VALUE($A719&amp;""))</f>
        <v/>
      </c>
      <c r="M719" s="4">
        <f>IF($A719="","",VALUE($B719&amp;""))</f>
        <v/>
      </c>
      <c r="N719" s="64">
        <f>IF($A719="","",$H719*설정!$C$15)</f>
        <v/>
      </c>
      <c r="O719" s="4">
        <f>IF($A719="","",J719&amp;"|"&amp;K719)</f>
        <v/>
      </c>
      <c r="P719" s="63">
        <f>IF($A719="","",IF(COUNTIFS(예산_원본!$T$5:$T$3004,O719,예산_원본!$B$5:$B$3004,설정!$C$8,예산_원본!$U$5:$U$3004,L719)&gt;0,"Y","N"))</f>
        <v/>
      </c>
      <c r="Q719" s="63">
        <f>IF($A719="","",IF(COUNTIF(집계!$E$7:$E$506,O719)&gt;0,"Y","N"))</f>
        <v/>
      </c>
    </row>
    <row r="720">
      <c r="A720" s="60" t="n">
        <v>2025</v>
      </c>
      <c r="B720" s="60" t="n">
        <v>10</v>
      </c>
      <c r="C720" s="60" t="inlineStr">
        <is>
          <t>1000</t>
        </is>
      </c>
      <c r="D720" s="60" t="n">
        <v>1201</v>
      </c>
      <c r="E720" s="60" t="inlineStr">
        <is>
          <t>재무회계</t>
        </is>
      </c>
      <c r="F720" s="60" t="n">
        <v>62901000</v>
      </c>
      <c r="G720" s="60" t="inlineStr">
        <is>
          <t>지급수수료-컨설팅</t>
        </is>
      </c>
      <c r="H720" s="61" t="n">
        <v>23110250</v>
      </c>
      <c r="J720" s="63">
        <f>IF($A720="","",IFERROR(INDEX(부서매핑!$C$5:$C$504,MATCH($D720&amp;"",부서매핑!$A$5:$A$504,0)),"미매핑"))</f>
        <v/>
      </c>
      <c r="K720" s="63">
        <f>IF($A720="","",IFERROR(INDEX(계정매핑!$C$5:$C$504,MATCH($F720&amp;"",계정매핑!$A$5:$A$504,0)),"미매핑"))</f>
        <v/>
      </c>
      <c r="L720" s="4">
        <f>IF($A720="","",VALUE($A720&amp;""))</f>
        <v/>
      </c>
      <c r="M720" s="4">
        <f>IF($A720="","",VALUE($B720&amp;""))</f>
        <v/>
      </c>
      <c r="N720" s="64">
        <f>IF($A720="","",$H720*설정!$C$15)</f>
        <v/>
      </c>
      <c r="O720" s="4">
        <f>IF($A720="","",J720&amp;"|"&amp;K720)</f>
        <v/>
      </c>
      <c r="P720" s="63">
        <f>IF($A720="","",IF(COUNTIFS(예산_원본!$T$5:$T$3004,O720,예산_원본!$B$5:$B$3004,설정!$C$8,예산_원본!$U$5:$U$3004,L720)&gt;0,"Y","N"))</f>
        <v/>
      </c>
      <c r="Q720" s="63">
        <f>IF($A720="","",IF(COUNTIF(집계!$E$7:$E$506,O720)&gt;0,"Y","N"))</f>
        <v/>
      </c>
    </row>
    <row r="721">
      <c r="A721" s="60" t="n">
        <v>2025</v>
      </c>
      <c r="B721" s="60" t="n">
        <v>10</v>
      </c>
      <c r="C721" s="60" t="inlineStr">
        <is>
          <t>1000</t>
        </is>
      </c>
      <c r="D721" s="60" t="n">
        <v>1201</v>
      </c>
      <c r="E721" s="60" t="inlineStr">
        <is>
          <t>재무회계</t>
        </is>
      </c>
      <c r="F721" s="60" t="n">
        <v>62902000</v>
      </c>
      <c r="G721" s="60" t="inlineStr">
        <is>
          <t>지급수수료-기타</t>
        </is>
      </c>
      <c r="H721" s="61" t="n">
        <v>10652090</v>
      </c>
      <c r="J721" s="63">
        <f>IF($A721="","",IFERROR(INDEX(부서매핑!$C$5:$C$504,MATCH($D721&amp;"",부서매핑!$A$5:$A$504,0)),"미매핑"))</f>
        <v/>
      </c>
      <c r="K721" s="63">
        <f>IF($A721="","",IFERROR(INDEX(계정매핑!$C$5:$C$504,MATCH($F721&amp;"",계정매핑!$A$5:$A$504,0)),"미매핑"))</f>
        <v/>
      </c>
      <c r="L721" s="4">
        <f>IF($A721="","",VALUE($A721&amp;""))</f>
        <v/>
      </c>
      <c r="M721" s="4">
        <f>IF($A721="","",VALUE($B721&amp;""))</f>
        <v/>
      </c>
      <c r="N721" s="64">
        <f>IF($A721="","",$H721*설정!$C$15)</f>
        <v/>
      </c>
      <c r="O721" s="4">
        <f>IF($A721="","",J721&amp;"|"&amp;K721)</f>
        <v/>
      </c>
      <c r="P721" s="63">
        <f>IF($A721="","",IF(COUNTIFS(예산_원본!$T$5:$T$3004,O721,예산_원본!$B$5:$B$3004,설정!$C$8,예산_원본!$U$5:$U$3004,L721)&gt;0,"Y","N"))</f>
        <v/>
      </c>
      <c r="Q721" s="63">
        <f>IF($A721="","",IF(COUNTIF(집계!$E$7:$E$506,O721)&gt;0,"Y","N"))</f>
        <v/>
      </c>
    </row>
    <row r="722">
      <c r="A722" s="60" t="n">
        <v>2025</v>
      </c>
      <c r="B722" s="60" t="n">
        <v>10</v>
      </c>
      <c r="C722" s="60" t="inlineStr">
        <is>
          <t>1000</t>
        </is>
      </c>
      <c r="D722" s="60" t="n">
        <v>1301</v>
      </c>
      <c r="E722" s="60" t="inlineStr">
        <is>
          <t>인사</t>
        </is>
      </c>
      <c r="F722" s="60" t="n">
        <v>62101000</v>
      </c>
      <c r="G722" s="60" t="inlineStr">
        <is>
          <t>여비교통비-국내</t>
        </is>
      </c>
      <c r="H722" s="61" t="n">
        <v>1438680</v>
      </c>
      <c r="J722" s="63">
        <f>IF($A722="","",IFERROR(INDEX(부서매핑!$C$5:$C$504,MATCH($D722&amp;"",부서매핑!$A$5:$A$504,0)),"미매핑"))</f>
        <v/>
      </c>
      <c r="K722" s="63">
        <f>IF($A722="","",IFERROR(INDEX(계정매핑!$C$5:$C$504,MATCH($F722&amp;"",계정매핑!$A$5:$A$504,0)),"미매핑"))</f>
        <v/>
      </c>
      <c r="L722" s="4">
        <f>IF($A722="","",VALUE($A722&amp;""))</f>
        <v/>
      </c>
      <c r="M722" s="4">
        <f>IF($A722="","",VALUE($B722&amp;""))</f>
        <v/>
      </c>
      <c r="N722" s="64">
        <f>IF($A722="","",$H722*설정!$C$15)</f>
        <v/>
      </c>
      <c r="O722" s="4">
        <f>IF($A722="","",J722&amp;"|"&amp;K722)</f>
        <v/>
      </c>
      <c r="P722" s="63">
        <f>IF($A722="","",IF(COUNTIFS(예산_원본!$T$5:$T$3004,O722,예산_원본!$B$5:$B$3004,설정!$C$8,예산_원본!$U$5:$U$3004,L722)&gt;0,"Y","N"))</f>
        <v/>
      </c>
      <c r="Q722" s="63">
        <f>IF($A722="","",IF(COUNTIF(집계!$E$7:$E$506,O722)&gt;0,"Y","N"))</f>
        <v/>
      </c>
    </row>
    <row r="723">
      <c r="A723" s="60" t="n">
        <v>2025</v>
      </c>
      <c r="B723" s="60" t="n">
        <v>10</v>
      </c>
      <c r="C723" s="60" t="inlineStr">
        <is>
          <t>1000</t>
        </is>
      </c>
      <c r="D723" s="60" t="n">
        <v>1301</v>
      </c>
      <c r="E723" s="60" t="inlineStr">
        <is>
          <t>인사</t>
        </is>
      </c>
      <c r="F723" s="60" t="n">
        <v>62102000</v>
      </c>
      <c r="G723" s="60" t="inlineStr">
        <is>
          <t>여비교통비-해외</t>
        </is>
      </c>
      <c r="H723" s="61" t="n">
        <v>245700</v>
      </c>
      <c r="J723" s="63">
        <f>IF($A723="","",IFERROR(INDEX(부서매핑!$C$5:$C$504,MATCH($D723&amp;"",부서매핑!$A$5:$A$504,0)),"미매핑"))</f>
        <v/>
      </c>
      <c r="K723" s="63">
        <f>IF($A723="","",IFERROR(INDEX(계정매핑!$C$5:$C$504,MATCH($F723&amp;"",계정매핑!$A$5:$A$504,0)),"미매핑"))</f>
        <v/>
      </c>
      <c r="L723" s="4">
        <f>IF($A723="","",VALUE($A723&amp;""))</f>
        <v/>
      </c>
      <c r="M723" s="4">
        <f>IF($A723="","",VALUE($B723&amp;""))</f>
        <v/>
      </c>
      <c r="N723" s="64">
        <f>IF($A723="","",$H723*설정!$C$15)</f>
        <v/>
      </c>
      <c r="O723" s="4">
        <f>IF($A723="","",J723&amp;"|"&amp;K723)</f>
        <v/>
      </c>
      <c r="P723" s="63">
        <f>IF($A723="","",IF(COUNTIFS(예산_원본!$T$5:$T$3004,O723,예산_원본!$B$5:$B$3004,설정!$C$8,예산_원본!$U$5:$U$3004,L723)&gt;0,"Y","N"))</f>
        <v/>
      </c>
      <c r="Q723" s="63">
        <f>IF($A723="","",IF(COUNTIF(집계!$E$7:$E$506,O723)&gt;0,"Y","N"))</f>
        <v/>
      </c>
    </row>
    <row r="724">
      <c r="A724" s="60" t="n">
        <v>2025</v>
      </c>
      <c r="B724" s="60" t="n">
        <v>10</v>
      </c>
      <c r="C724" s="60" t="inlineStr">
        <is>
          <t>1000</t>
        </is>
      </c>
      <c r="D724" s="60" t="n">
        <v>1301</v>
      </c>
      <c r="E724" s="60" t="inlineStr">
        <is>
          <t>인사</t>
        </is>
      </c>
      <c r="F724" s="60" t="n">
        <v>62201000</v>
      </c>
      <c r="G724" s="60" t="inlineStr">
        <is>
          <t>통신비</t>
        </is>
      </c>
      <c r="H724" s="61" t="n">
        <v>573480</v>
      </c>
      <c r="J724" s="63">
        <f>IF($A724="","",IFERROR(INDEX(부서매핑!$C$5:$C$504,MATCH($D724&amp;"",부서매핑!$A$5:$A$504,0)),"미매핑"))</f>
        <v/>
      </c>
      <c r="K724" s="63">
        <f>IF($A724="","",IFERROR(INDEX(계정매핑!$C$5:$C$504,MATCH($F724&amp;"",계정매핑!$A$5:$A$504,0)),"미매핑"))</f>
        <v/>
      </c>
      <c r="L724" s="4">
        <f>IF($A724="","",VALUE($A724&amp;""))</f>
        <v/>
      </c>
      <c r="M724" s="4">
        <f>IF($A724="","",VALUE($B724&amp;""))</f>
        <v/>
      </c>
      <c r="N724" s="64">
        <f>IF($A724="","",$H724*설정!$C$15)</f>
        <v/>
      </c>
      <c r="O724" s="4">
        <f>IF($A724="","",J724&amp;"|"&amp;K724)</f>
        <v/>
      </c>
      <c r="P724" s="63">
        <f>IF($A724="","",IF(COUNTIFS(예산_원본!$T$5:$T$3004,O724,예산_원본!$B$5:$B$3004,설정!$C$8,예산_원본!$U$5:$U$3004,L724)&gt;0,"Y","N"))</f>
        <v/>
      </c>
      <c r="Q724" s="63">
        <f>IF($A724="","",IF(COUNTIF(집계!$E$7:$E$506,O724)&gt;0,"Y","N"))</f>
        <v/>
      </c>
    </row>
    <row r="725">
      <c r="A725" s="60" t="n">
        <v>2025</v>
      </c>
      <c r="B725" s="60" t="n">
        <v>10</v>
      </c>
      <c r="C725" s="60" t="inlineStr">
        <is>
          <t>1000</t>
        </is>
      </c>
      <c r="D725" s="60" t="n">
        <v>1301</v>
      </c>
      <c r="E725" s="60" t="inlineStr">
        <is>
          <t>인사</t>
        </is>
      </c>
      <c r="F725" s="60" t="n">
        <v>62301000</v>
      </c>
      <c r="G725" s="60" t="inlineStr">
        <is>
          <t>소모품비</t>
        </is>
      </c>
      <c r="H725" s="61" t="n">
        <v>801720</v>
      </c>
      <c r="J725" s="63">
        <f>IF($A725="","",IFERROR(INDEX(부서매핑!$C$5:$C$504,MATCH($D725&amp;"",부서매핑!$A$5:$A$504,0)),"미매핑"))</f>
        <v/>
      </c>
      <c r="K725" s="63">
        <f>IF($A725="","",IFERROR(INDEX(계정매핑!$C$5:$C$504,MATCH($F725&amp;"",계정매핑!$A$5:$A$504,0)),"미매핑"))</f>
        <v/>
      </c>
      <c r="L725" s="4">
        <f>IF($A725="","",VALUE($A725&amp;""))</f>
        <v/>
      </c>
      <c r="M725" s="4">
        <f>IF($A725="","",VALUE($B725&amp;""))</f>
        <v/>
      </c>
      <c r="N725" s="64">
        <f>IF($A725="","",$H725*설정!$C$15)</f>
        <v/>
      </c>
      <c r="O725" s="4">
        <f>IF($A725="","",J725&amp;"|"&amp;K725)</f>
        <v/>
      </c>
      <c r="P725" s="63">
        <f>IF($A725="","",IF(COUNTIFS(예산_원본!$T$5:$T$3004,O725,예산_원본!$B$5:$B$3004,설정!$C$8,예산_원본!$U$5:$U$3004,L725)&gt;0,"Y","N"))</f>
        <v/>
      </c>
      <c r="Q725" s="63">
        <f>IF($A725="","",IF(COUNTIF(집계!$E$7:$E$506,O725)&gt;0,"Y","N"))</f>
        <v/>
      </c>
    </row>
    <row r="726">
      <c r="A726" s="60" t="n">
        <v>2025</v>
      </c>
      <c r="B726" s="60" t="n">
        <v>10</v>
      </c>
      <c r="C726" s="60" t="inlineStr">
        <is>
          <t>1000</t>
        </is>
      </c>
      <c r="D726" s="60" t="n">
        <v>1301</v>
      </c>
      <c r="E726" s="60" t="inlineStr">
        <is>
          <t>인사</t>
        </is>
      </c>
      <c r="F726" s="60" t="n">
        <v>62501000</v>
      </c>
      <c r="G726" s="60" t="inlineStr">
        <is>
          <t>회의비</t>
        </is>
      </c>
      <c r="H726" s="61" t="n">
        <v>655210</v>
      </c>
      <c r="J726" s="63">
        <f>IF($A726="","",IFERROR(INDEX(부서매핑!$C$5:$C$504,MATCH($D726&amp;"",부서매핑!$A$5:$A$504,0)),"미매핑"))</f>
        <v/>
      </c>
      <c r="K726" s="63">
        <f>IF($A726="","",IFERROR(INDEX(계정매핑!$C$5:$C$504,MATCH($F726&amp;"",계정매핑!$A$5:$A$504,0)),"미매핑"))</f>
        <v/>
      </c>
      <c r="L726" s="4">
        <f>IF($A726="","",VALUE($A726&amp;""))</f>
        <v/>
      </c>
      <c r="M726" s="4">
        <f>IF($A726="","",VALUE($B726&amp;""))</f>
        <v/>
      </c>
      <c r="N726" s="64">
        <f>IF($A726="","",$H726*설정!$C$15)</f>
        <v/>
      </c>
      <c r="O726" s="4">
        <f>IF($A726="","",J726&amp;"|"&amp;K726)</f>
        <v/>
      </c>
      <c r="P726" s="63">
        <f>IF($A726="","",IF(COUNTIFS(예산_원본!$T$5:$T$3004,O726,예산_원본!$B$5:$B$3004,설정!$C$8,예산_원본!$U$5:$U$3004,L726)&gt;0,"Y","N"))</f>
        <v/>
      </c>
      <c r="Q726" s="63">
        <f>IF($A726="","",IF(COUNTIF(집계!$E$7:$E$506,O726)&gt;0,"Y","N"))</f>
        <v/>
      </c>
    </row>
    <row r="727">
      <c r="A727" s="60" t="n">
        <v>2025</v>
      </c>
      <c r="B727" s="60" t="n">
        <v>10</v>
      </c>
      <c r="C727" s="60" t="inlineStr">
        <is>
          <t>1000</t>
        </is>
      </c>
      <c r="D727" s="60" t="n">
        <v>1301</v>
      </c>
      <c r="E727" s="60" t="inlineStr">
        <is>
          <t>인사</t>
        </is>
      </c>
      <c r="F727" s="60" t="n">
        <v>62601000</v>
      </c>
      <c r="G727" s="60" t="inlineStr">
        <is>
          <t>업무추진비</t>
        </is>
      </c>
      <c r="H727" s="61" t="n">
        <v>2185550</v>
      </c>
      <c r="J727" s="63">
        <f>IF($A727="","",IFERROR(INDEX(부서매핑!$C$5:$C$504,MATCH($D727&amp;"",부서매핑!$A$5:$A$504,0)),"미매핑"))</f>
        <v/>
      </c>
      <c r="K727" s="63">
        <f>IF($A727="","",IFERROR(INDEX(계정매핑!$C$5:$C$504,MATCH($F727&amp;"",계정매핑!$A$5:$A$504,0)),"미매핑"))</f>
        <v/>
      </c>
      <c r="L727" s="4">
        <f>IF($A727="","",VALUE($A727&amp;""))</f>
        <v/>
      </c>
      <c r="M727" s="4">
        <f>IF($A727="","",VALUE($B727&amp;""))</f>
        <v/>
      </c>
      <c r="N727" s="64">
        <f>IF($A727="","",$H727*설정!$C$15)</f>
        <v/>
      </c>
      <c r="O727" s="4">
        <f>IF($A727="","",J727&amp;"|"&amp;K727)</f>
        <v/>
      </c>
      <c r="P727" s="63">
        <f>IF($A727="","",IF(COUNTIFS(예산_원본!$T$5:$T$3004,O727,예산_원본!$B$5:$B$3004,설정!$C$8,예산_원본!$U$5:$U$3004,L727)&gt;0,"Y","N"))</f>
        <v/>
      </c>
      <c r="Q727" s="63">
        <f>IF($A727="","",IF(COUNTIF(집계!$E$7:$E$506,O727)&gt;0,"Y","N"))</f>
        <v/>
      </c>
    </row>
    <row r="728">
      <c r="A728" s="60" t="n">
        <v>2025</v>
      </c>
      <c r="B728" s="60" t="n">
        <v>10</v>
      </c>
      <c r="C728" s="60" t="inlineStr">
        <is>
          <t>1000</t>
        </is>
      </c>
      <c r="D728" s="60" t="n">
        <v>1301</v>
      </c>
      <c r="E728" s="60" t="inlineStr">
        <is>
          <t>인사</t>
        </is>
      </c>
      <c r="F728" s="60" t="n">
        <v>62801000</v>
      </c>
      <c r="G728" s="60" t="inlineStr">
        <is>
          <t>교육훈련비-사내</t>
        </is>
      </c>
      <c r="H728" s="61" t="n">
        <v>16184930</v>
      </c>
      <c r="J728" s="63">
        <f>IF($A728="","",IFERROR(INDEX(부서매핑!$C$5:$C$504,MATCH($D728&amp;"",부서매핑!$A$5:$A$504,0)),"미매핑"))</f>
        <v/>
      </c>
      <c r="K728" s="63">
        <f>IF($A728="","",IFERROR(INDEX(계정매핑!$C$5:$C$504,MATCH($F728&amp;"",계정매핑!$A$5:$A$504,0)),"미매핑"))</f>
        <v/>
      </c>
      <c r="L728" s="4">
        <f>IF($A728="","",VALUE($A728&amp;""))</f>
        <v/>
      </c>
      <c r="M728" s="4">
        <f>IF($A728="","",VALUE($B728&amp;""))</f>
        <v/>
      </c>
      <c r="N728" s="64">
        <f>IF($A728="","",$H728*설정!$C$15)</f>
        <v/>
      </c>
      <c r="O728" s="4">
        <f>IF($A728="","",J728&amp;"|"&amp;K728)</f>
        <v/>
      </c>
      <c r="P728" s="63">
        <f>IF($A728="","",IF(COUNTIFS(예산_원본!$T$5:$T$3004,O728,예산_원본!$B$5:$B$3004,설정!$C$8,예산_원본!$U$5:$U$3004,L728)&gt;0,"Y","N"))</f>
        <v/>
      </c>
      <c r="Q728" s="63">
        <f>IF($A728="","",IF(COUNTIF(집계!$E$7:$E$506,O728)&gt;0,"Y","N"))</f>
        <v/>
      </c>
    </row>
    <row r="729">
      <c r="A729" s="60" t="n">
        <v>2025</v>
      </c>
      <c r="B729" s="60" t="n">
        <v>10</v>
      </c>
      <c r="C729" s="60" t="inlineStr">
        <is>
          <t>1000</t>
        </is>
      </c>
      <c r="D729" s="60" t="n">
        <v>1301</v>
      </c>
      <c r="E729" s="60" t="inlineStr">
        <is>
          <t>인사</t>
        </is>
      </c>
      <c r="F729" s="60" t="n">
        <v>62802000</v>
      </c>
      <c r="G729" s="60" t="inlineStr">
        <is>
          <t>교육훈련비-외부위탁</t>
        </is>
      </c>
      <c r="H729" s="61" t="n">
        <v>23806630</v>
      </c>
      <c r="J729" s="63">
        <f>IF($A729="","",IFERROR(INDEX(부서매핑!$C$5:$C$504,MATCH($D729&amp;"",부서매핑!$A$5:$A$504,0)),"미매핑"))</f>
        <v/>
      </c>
      <c r="K729" s="63">
        <f>IF($A729="","",IFERROR(INDEX(계정매핑!$C$5:$C$504,MATCH($F729&amp;"",계정매핑!$A$5:$A$504,0)),"미매핑"))</f>
        <v/>
      </c>
      <c r="L729" s="4">
        <f>IF($A729="","",VALUE($A729&amp;""))</f>
        <v/>
      </c>
      <c r="M729" s="4">
        <f>IF($A729="","",VALUE($B729&amp;""))</f>
        <v/>
      </c>
      <c r="N729" s="64">
        <f>IF($A729="","",$H729*설정!$C$15)</f>
        <v/>
      </c>
      <c r="O729" s="4">
        <f>IF($A729="","",J729&amp;"|"&amp;K729)</f>
        <v/>
      </c>
      <c r="P729" s="63">
        <f>IF($A729="","",IF(COUNTIFS(예산_원본!$T$5:$T$3004,O729,예산_원본!$B$5:$B$3004,설정!$C$8,예산_원본!$U$5:$U$3004,L729)&gt;0,"Y","N"))</f>
        <v/>
      </c>
      <c r="Q729" s="63">
        <f>IF($A729="","",IF(COUNTIF(집계!$E$7:$E$506,O729)&gt;0,"Y","N"))</f>
        <v/>
      </c>
    </row>
    <row r="730">
      <c r="A730" s="60" t="n">
        <v>2025</v>
      </c>
      <c r="B730" s="60" t="n">
        <v>10</v>
      </c>
      <c r="C730" s="60" t="inlineStr">
        <is>
          <t>1000</t>
        </is>
      </c>
      <c r="D730" s="60" t="n">
        <v>1401</v>
      </c>
      <c r="E730" s="60" t="inlineStr">
        <is>
          <t>상품개발</t>
        </is>
      </c>
      <c r="F730" s="60" t="n">
        <v>62101000</v>
      </c>
      <c r="G730" s="60" t="inlineStr">
        <is>
          <t>여비교통비-국내</t>
        </is>
      </c>
      <c r="H730" s="61" t="n">
        <v>1957260</v>
      </c>
      <c r="J730" s="63">
        <f>IF($A730="","",IFERROR(INDEX(부서매핑!$C$5:$C$504,MATCH($D730&amp;"",부서매핑!$A$5:$A$504,0)),"미매핑"))</f>
        <v/>
      </c>
      <c r="K730" s="63">
        <f>IF($A730="","",IFERROR(INDEX(계정매핑!$C$5:$C$504,MATCH($F730&amp;"",계정매핑!$A$5:$A$504,0)),"미매핑"))</f>
        <v/>
      </c>
      <c r="L730" s="4">
        <f>IF($A730="","",VALUE($A730&amp;""))</f>
        <v/>
      </c>
      <c r="M730" s="4">
        <f>IF($A730="","",VALUE($B730&amp;""))</f>
        <v/>
      </c>
      <c r="N730" s="64">
        <f>IF($A730="","",$H730*설정!$C$15)</f>
        <v/>
      </c>
      <c r="O730" s="4">
        <f>IF($A730="","",J730&amp;"|"&amp;K730)</f>
        <v/>
      </c>
      <c r="P730" s="63">
        <f>IF($A730="","",IF(COUNTIFS(예산_원본!$T$5:$T$3004,O730,예산_원본!$B$5:$B$3004,설정!$C$8,예산_원본!$U$5:$U$3004,L730)&gt;0,"Y","N"))</f>
        <v/>
      </c>
      <c r="Q730" s="63">
        <f>IF($A730="","",IF(COUNTIF(집계!$E$7:$E$506,O730)&gt;0,"Y","N"))</f>
        <v/>
      </c>
    </row>
    <row r="731">
      <c r="A731" s="60" t="n">
        <v>2025</v>
      </c>
      <c r="B731" s="60" t="n">
        <v>10</v>
      </c>
      <c r="C731" s="60" t="inlineStr">
        <is>
          <t>1000</t>
        </is>
      </c>
      <c r="D731" s="60" t="n">
        <v>1401</v>
      </c>
      <c r="E731" s="60" t="inlineStr">
        <is>
          <t>상품개발</t>
        </is>
      </c>
      <c r="F731" s="60" t="n">
        <v>62102000</v>
      </c>
      <c r="G731" s="60" t="inlineStr">
        <is>
          <t>여비교통비-해외</t>
        </is>
      </c>
      <c r="H731" s="61" t="n">
        <v>353920</v>
      </c>
      <c r="J731" s="63">
        <f>IF($A731="","",IFERROR(INDEX(부서매핑!$C$5:$C$504,MATCH($D731&amp;"",부서매핑!$A$5:$A$504,0)),"미매핑"))</f>
        <v/>
      </c>
      <c r="K731" s="63">
        <f>IF($A731="","",IFERROR(INDEX(계정매핑!$C$5:$C$504,MATCH($F731&amp;"",계정매핑!$A$5:$A$504,0)),"미매핑"))</f>
        <v/>
      </c>
      <c r="L731" s="4">
        <f>IF($A731="","",VALUE($A731&amp;""))</f>
        <v/>
      </c>
      <c r="M731" s="4">
        <f>IF($A731="","",VALUE($B731&amp;""))</f>
        <v/>
      </c>
      <c r="N731" s="64">
        <f>IF($A731="","",$H731*설정!$C$15)</f>
        <v/>
      </c>
      <c r="O731" s="4">
        <f>IF($A731="","",J731&amp;"|"&amp;K731)</f>
        <v/>
      </c>
      <c r="P731" s="63">
        <f>IF($A731="","",IF(COUNTIFS(예산_원본!$T$5:$T$3004,O731,예산_원본!$B$5:$B$3004,설정!$C$8,예산_원본!$U$5:$U$3004,L731)&gt;0,"Y","N"))</f>
        <v/>
      </c>
      <c r="Q731" s="63">
        <f>IF($A731="","",IF(COUNTIF(집계!$E$7:$E$506,O731)&gt;0,"Y","N"))</f>
        <v/>
      </c>
    </row>
    <row r="732">
      <c r="A732" s="60" t="n">
        <v>2025</v>
      </c>
      <c r="B732" s="60" t="n">
        <v>10</v>
      </c>
      <c r="C732" s="60" t="inlineStr">
        <is>
          <t>1000</t>
        </is>
      </c>
      <c r="D732" s="60" t="n">
        <v>1401</v>
      </c>
      <c r="E732" s="60" t="inlineStr">
        <is>
          <t>상품개발</t>
        </is>
      </c>
      <c r="F732" s="60" t="n">
        <v>62201000</v>
      </c>
      <c r="G732" s="60" t="inlineStr">
        <is>
          <t>통신비</t>
        </is>
      </c>
      <c r="H732" s="61" t="n">
        <v>603130</v>
      </c>
      <c r="J732" s="63">
        <f>IF($A732="","",IFERROR(INDEX(부서매핑!$C$5:$C$504,MATCH($D732&amp;"",부서매핑!$A$5:$A$504,0)),"미매핑"))</f>
        <v/>
      </c>
      <c r="K732" s="63">
        <f>IF($A732="","",IFERROR(INDEX(계정매핑!$C$5:$C$504,MATCH($F732&amp;"",계정매핑!$A$5:$A$504,0)),"미매핑"))</f>
        <v/>
      </c>
      <c r="L732" s="4">
        <f>IF($A732="","",VALUE($A732&amp;""))</f>
        <v/>
      </c>
      <c r="M732" s="4">
        <f>IF($A732="","",VALUE($B732&amp;""))</f>
        <v/>
      </c>
      <c r="N732" s="64">
        <f>IF($A732="","",$H732*설정!$C$15)</f>
        <v/>
      </c>
      <c r="O732" s="4">
        <f>IF($A732="","",J732&amp;"|"&amp;K732)</f>
        <v/>
      </c>
      <c r="P732" s="63">
        <f>IF($A732="","",IF(COUNTIFS(예산_원본!$T$5:$T$3004,O732,예산_원본!$B$5:$B$3004,설정!$C$8,예산_원본!$U$5:$U$3004,L732)&gt;0,"Y","N"))</f>
        <v/>
      </c>
      <c r="Q732" s="63">
        <f>IF($A732="","",IF(COUNTIF(집계!$E$7:$E$506,O732)&gt;0,"Y","N"))</f>
        <v/>
      </c>
    </row>
    <row r="733">
      <c r="A733" s="60" t="n">
        <v>2025</v>
      </c>
      <c r="B733" s="60" t="n">
        <v>10</v>
      </c>
      <c r="C733" s="60" t="inlineStr">
        <is>
          <t>1000</t>
        </is>
      </c>
      <c r="D733" s="60" t="n">
        <v>1401</v>
      </c>
      <c r="E733" s="60" t="inlineStr">
        <is>
          <t>상품개발</t>
        </is>
      </c>
      <c r="F733" s="60" t="n">
        <v>62301000</v>
      </c>
      <c r="G733" s="60" t="inlineStr">
        <is>
          <t>소모품비</t>
        </is>
      </c>
      <c r="H733" s="61" t="n">
        <v>442870</v>
      </c>
      <c r="J733" s="63">
        <f>IF($A733="","",IFERROR(INDEX(부서매핑!$C$5:$C$504,MATCH($D733&amp;"",부서매핑!$A$5:$A$504,0)),"미매핑"))</f>
        <v/>
      </c>
      <c r="K733" s="63">
        <f>IF($A733="","",IFERROR(INDEX(계정매핑!$C$5:$C$504,MATCH($F733&amp;"",계정매핑!$A$5:$A$504,0)),"미매핑"))</f>
        <v/>
      </c>
      <c r="L733" s="4">
        <f>IF($A733="","",VALUE($A733&amp;""))</f>
        <v/>
      </c>
      <c r="M733" s="4">
        <f>IF($A733="","",VALUE($B733&amp;""))</f>
        <v/>
      </c>
      <c r="N733" s="64">
        <f>IF($A733="","",$H733*설정!$C$15)</f>
        <v/>
      </c>
      <c r="O733" s="4">
        <f>IF($A733="","",J733&amp;"|"&amp;K733)</f>
        <v/>
      </c>
      <c r="P733" s="63">
        <f>IF($A733="","",IF(COUNTIFS(예산_원본!$T$5:$T$3004,O733,예산_원본!$B$5:$B$3004,설정!$C$8,예산_원본!$U$5:$U$3004,L733)&gt;0,"Y","N"))</f>
        <v/>
      </c>
      <c r="Q733" s="63">
        <f>IF($A733="","",IF(COUNTIF(집계!$E$7:$E$506,O733)&gt;0,"Y","N"))</f>
        <v/>
      </c>
    </row>
    <row r="734">
      <c r="A734" s="60" t="n">
        <v>2025</v>
      </c>
      <c r="B734" s="60" t="n">
        <v>10</v>
      </c>
      <c r="C734" s="60" t="inlineStr">
        <is>
          <t>1000</t>
        </is>
      </c>
      <c r="D734" s="60" t="n">
        <v>1401</v>
      </c>
      <c r="E734" s="60" t="inlineStr">
        <is>
          <t>상품개발</t>
        </is>
      </c>
      <c r="F734" s="60" t="n">
        <v>62401000</v>
      </c>
      <c r="G734" s="60" t="inlineStr">
        <is>
          <t>도서인쇄비</t>
        </is>
      </c>
      <c r="H734" s="61" t="n">
        <v>877700</v>
      </c>
      <c r="J734" s="63">
        <f>IF($A734="","",IFERROR(INDEX(부서매핑!$C$5:$C$504,MATCH($D734&amp;"",부서매핑!$A$5:$A$504,0)),"미매핑"))</f>
        <v/>
      </c>
      <c r="K734" s="63">
        <f>IF($A734="","",IFERROR(INDEX(계정매핑!$C$5:$C$504,MATCH($F734&amp;"",계정매핑!$A$5:$A$504,0)),"미매핑"))</f>
        <v/>
      </c>
      <c r="L734" s="4">
        <f>IF($A734="","",VALUE($A734&amp;""))</f>
        <v/>
      </c>
      <c r="M734" s="4">
        <f>IF($A734="","",VALUE($B734&amp;""))</f>
        <v/>
      </c>
      <c r="N734" s="64">
        <f>IF($A734="","",$H734*설정!$C$15)</f>
        <v/>
      </c>
      <c r="O734" s="4">
        <f>IF($A734="","",J734&amp;"|"&amp;K734)</f>
        <v/>
      </c>
      <c r="P734" s="63">
        <f>IF($A734="","",IF(COUNTIFS(예산_원본!$T$5:$T$3004,O734,예산_원본!$B$5:$B$3004,설정!$C$8,예산_원본!$U$5:$U$3004,L734)&gt;0,"Y","N"))</f>
        <v/>
      </c>
      <c r="Q734" s="63">
        <f>IF($A734="","",IF(COUNTIF(집계!$E$7:$E$506,O734)&gt;0,"Y","N"))</f>
        <v/>
      </c>
    </row>
    <row r="735">
      <c r="A735" s="60" t="n">
        <v>2025</v>
      </c>
      <c r="B735" s="60" t="n">
        <v>10</v>
      </c>
      <c r="C735" s="60" t="inlineStr">
        <is>
          <t>1000</t>
        </is>
      </c>
      <c r="D735" s="60" t="n">
        <v>1401</v>
      </c>
      <c r="E735" s="60" t="inlineStr">
        <is>
          <t>상품개발</t>
        </is>
      </c>
      <c r="F735" s="60" t="n">
        <v>62501000</v>
      </c>
      <c r="G735" s="60" t="inlineStr">
        <is>
          <t>회의비</t>
        </is>
      </c>
      <c r="H735" s="61" t="n">
        <v>583880</v>
      </c>
      <c r="J735" s="63">
        <f>IF($A735="","",IFERROR(INDEX(부서매핑!$C$5:$C$504,MATCH($D735&amp;"",부서매핑!$A$5:$A$504,0)),"미매핑"))</f>
        <v/>
      </c>
      <c r="K735" s="63">
        <f>IF($A735="","",IFERROR(INDEX(계정매핑!$C$5:$C$504,MATCH($F735&amp;"",계정매핑!$A$5:$A$504,0)),"미매핑"))</f>
        <v/>
      </c>
      <c r="L735" s="4">
        <f>IF($A735="","",VALUE($A735&amp;""))</f>
        <v/>
      </c>
      <c r="M735" s="4">
        <f>IF($A735="","",VALUE($B735&amp;""))</f>
        <v/>
      </c>
      <c r="N735" s="64">
        <f>IF($A735="","",$H735*설정!$C$15)</f>
        <v/>
      </c>
      <c r="O735" s="4">
        <f>IF($A735="","",J735&amp;"|"&amp;K735)</f>
        <v/>
      </c>
      <c r="P735" s="63">
        <f>IF($A735="","",IF(COUNTIFS(예산_원본!$T$5:$T$3004,O735,예산_원본!$B$5:$B$3004,설정!$C$8,예산_원본!$U$5:$U$3004,L735)&gt;0,"Y","N"))</f>
        <v/>
      </c>
      <c r="Q735" s="63">
        <f>IF($A735="","",IF(COUNTIF(집계!$E$7:$E$506,O735)&gt;0,"Y","N"))</f>
        <v/>
      </c>
    </row>
    <row r="736">
      <c r="A736" s="60" t="n">
        <v>2025</v>
      </c>
      <c r="B736" s="60" t="n">
        <v>10</v>
      </c>
      <c r="C736" s="60" t="inlineStr">
        <is>
          <t>1000</t>
        </is>
      </c>
      <c r="D736" s="60" t="n">
        <v>1401</v>
      </c>
      <c r="E736" s="60" t="inlineStr">
        <is>
          <t>상품개발</t>
        </is>
      </c>
      <c r="F736" s="60" t="n">
        <v>62901000</v>
      </c>
      <c r="G736" s="60" t="inlineStr">
        <is>
          <t>지급수수료-컨설팅</t>
        </is>
      </c>
      <c r="H736" s="61" t="n">
        <v>18536510</v>
      </c>
      <c r="J736" s="63">
        <f>IF($A736="","",IFERROR(INDEX(부서매핑!$C$5:$C$504,MATCH($D736&amp;"",부서매핑!$A$5:$A$504,0)),"미매핑"))</f>
        <v/>
      </c>
      <c r="K736" s="63">
        <f>IF($A736="","",IFERROR(INDEX(계정매핑!$C$5:$C$504,MATCH($F736&amp;"",계정매핑!$A$5:$A$504,0)),"미매핑"))</f>
        <v/>
      </c>
      <c r="L736" s="4">
        <f>IF($A736="","",VALUE($A736&amp;""))</f>
        <v/>
      </c>
      <c r="M736" s="4">
        <f>IF($A736="","",VALUE($B736&amp;""))</f>
        <v/>
      </c>
      <c r="N736" s="64">
        <f>IF($A736="","",$H736*설정!$C$15)</f>
        <v/>
      </c>
      <c r="O736" s="4">
        <f>IF($A736="","",J736&amp;"|"&amp;K736)</f>
        <v/>
      </c>
      <c r="P736" s="63">
        <f>IF($A736="","",IF(COUNTIFS(예산_원본!$T$5:$T$3004,O736,예산_원본!$B$5:$B$3004,설정!$C$8,예산_원본!$U$5:$U$3004,L736)&gt;0,"Y","N"))</f>
        <v/>
      </c>
      <c r="Q736" s="63">
        <f>IF($A736="","",IF(COUNTIF(집계!$E$7:$E$506,O736)&gt;0,"Y","N"))</f>
        <v/>
      </c>
    </row>
    <row r="737">
      <c r="A737" s="60" t="n">
        <v>2025</v>
      </c>
      <c r="B737" s="60" t="n">
        <v>10</v>
      </c>
      <c r="C737" s="60" t="inlineStr">
        <is>
          <t>1000</t>
        </is>
      </c>
      <c r="D737" s="60" t="n">
        <v>1401</v>
      </c>
      <c r="E737" s="60" t="inlineStr">
        <is>
          <t>상품개발</t>
        </is>
      </c>
      <c r="F737" s="60" t="n">
        <v>62902000</v>
      </c>
      <c r="G737" s="60" t="inlineStr">
        <is>
          <t>지급수수료-기타</t>
        </is>
      </c>
      <c r="H737" s="61" t="n">
        <v>8511380</v>
      </c>
      <c r="J737" s="63">
        <f>IF($A737="","",IFERROR(INDEX(부서매핑!$C$5:$C$504,MATCH($D737&amp;"",부서매핑!$A$5:$A$504,0)),"미매핑"))</f>
        <v/>
      </c>
      <c r="K737" s="63">
        <f>IF($A737="","",IFERROR(INDEX(계정매핑!$C$5:$C$504,MATCH($F737&amp;"",계정매핑!$A$5:$A$504,0)),"미매핑"))</f>
        <v/>
      </c>
      <c r="L737" s="4">
        <f>IF($A737="","",VALUE($A737&amp;""))</f>
        <v/>
      </c>
      <c r="M737" s="4">
        <f>IF($A737="","",VALUE($B737&amp;""))</f>
        <v/>
      </c>
      <c r="N737" s="64">
        <f>IF($A737="","",$H737*설정!$C$15)</f>
        <v/>
      </c>
      <c r="O737" s="4">
        <f>IF($A737="","",J737&amp;"|"&amp;K737)</f>
        <v/>
      </c>
      <c r="P737" s="63">
        <f>IF($A737="","",IF(COUNTIFS(예산_원본!$T$5:$T$3004,O737,예산_원본!$B$5:$B$3004,설정!$C$8,예산_원본!$U$5:$U$3004,L737)&gt;0,"Y","N"))</f>
        <v/>
      </c>
      <c r="Q737" s="63">
        <f>IF($A737="","",IF(COUNTIF(집계!$E$7:$E$506,O737)&gt;0,"Y","N"))</f>
        <v/>
      </c>
    </row>
    <row r="738">
      <c r="A738" s="60" t="n">
        <v>2025</v>
      </c>
      <c r="B738" s="60" t="n">
        <v>10</v>
      </c>
      <c r="C738" s="60" t="inlineStr">
        <is>
          <t>1000</t>
        </is>
      </c>
      <c r="D738" s="60" t="n">
        <v>1501</v>
      </c>
      <c r="E738" s="60" t="inlineStr">
        <is>
          <t>마케팅전략</t>
        </is>
      </c>
      <c r="F738" s="60" t="n">
        <v>62101000</v>
      </c>
      <c r="G738" s="60" t="inlineStr">
        <is>
          <t>여비교통비-국내</t>
        </is>
      </c>
      <c r="H738" s="61" t="n">
        <v>1430470</v>
      </c>
      <c r="J738" s="63">
        <f>IF($A738="","",IFERROR(INDEX(부서매핑!$C$5:$C$504,MATCH($D738&amp;"",부서매핑!$A$5:$A$504,0)),"미매핑"))</f>
        <v/>
      </c>
      <c r="K738" s="63">
        <f>IF($A738="","",IFERROR(INDEX(계정매핑!$C$5:$C$504,MATCH($F738&amp;"",계정매핑!$A$5:$A$504,0)),"미매핑"))</f>
        <v/>
      </c>
      <c r="L738" s="4">
        <f>IF($A738="","",VALUE($A738&amp;""))</f>
        <v/>
      </c>
      <c r="M738" s="4">
        <f>IF($A738="","",VALUE($B738&amp;""))</f>
        <v/>
      </c>
      <c r="N738" s="64">
        <f>IF($A738="","",$H738*설정!$C$15)</f>
        <v/>
      </c>
      <c r="O738" s="4">
        <f>IF($A738="","",J738&amp;"|"&amp;K738)</f>
        <v/>
      </c>
      <c r="P738" s="63">
        <f>IF($A738="","",IF(COUNTIFS(예산_원본!$T$5:$T$3004,O738,예산_원본!$B$5:$B$3004,설정!$C$8,예산_원본!$U$5:$U$3004,L738)&gt;0,"Y","N"))</f>
        <v/>
      </c>
      <c r="Q738" s="63">
        <f>IF($A738="","",IF(COUNTIF(집계!$E$7:$E$506,O738)&gt;0,"Y","N"))</f>
        <v/>
      </c>
    </row>
    <row r="739">
      <c r="A739" s="60" t="n">
        <v>2025</v>
      </c>
      <c r="B739" s="60" t="n">
        <v>10</v>
      </c>
      <c r="C739" s="60" t="inlineStr">
        <is>
          <t>1000</t>
        </is>
      </c>
      <c r="D739" s="60" t="n">
        <v>1501</v>
      </c>
      <c r="E739" s="60" t="inlineStr">
        <is>
          <t>마케팅전략</t>
        </is>
      </c>
      <c r="F739" s="60" t="n">
        <v>62102000</v>
      </c>
      <c r="G739" s="60" t="inlineStr">
        <is>
          <t>여비교통비-해외</t>
        </is>
      </c>
      <c r="H739" s="61" t="n">
        <v>273720</v>
      </c>
      <c r="J739" s="63">
        <f>IF($A739="","",IFERROR(INDEX(부서매핑!$C$5:$C$504,MATCH($D739&amp;"",부서매핑!$A$5:$A$504,0)),"미매핑"))</f>
        <v/>
      </c>
      <c r="K739" s="63">
        <f>IF($A739="","",IFERROR(INDEX(계정매핑!$C$5:$C$504,MATCH($F739&amp;"",계정매핑!$A$5:$A$504,0)),"미매핑"))</f>
        <v/>
      </c>
      <c r="L739" s="4">
        <f>IF($A739="","",VALUE($A739&amp;""))</f>
        <v/>
      </c>
      <c r="M739" s="4">
        <f>IF($A739="","",VALUE($B739&amp;""))</f>
        <v/>
      </c>
      <c r="N739" s="64">
        <f>IF($A739="","",$H739*설정!$C$15)</f>
        <v/>
      </c>
      <c r="O739" s="4">
        <f>IF($A739="","",J739&amp;"|"&amp;K739)</f>
        <v/>
      </c>
      <c r="P739" s="63">
        <f>IF($A739="","",IF(COUNTIFS(예산_원본!$T$5:$T$3004,O739,예산_원본!$B$5:$B$3004,설정!$C$8,예산_원본!$U$5:$U$3004,L739)&gt;0,"Y","N"))</f>
        <v/>
      </c>
      <c r="Q739" s="63">
        <f>IF($A739="","",IF(COUNTIF(집계!$E$7:$E$506,O739)&gt;0,"Y","N"))</f>
        <v/>
      </c>
    </row>
    <row r="740">
      <c r="A740" s="60" t="n">
        <v>2025</v>
      </c>
      <c r="B740" s="60" t="n">
        <v>10</v>
      </c>
      <c r="C740" s="60" t="inlineStr">
        <is>
          <t>1000</t>
        </is>
      </c>
      <c r="D740" s="60" t="n">
        <v>1501</v>
      </c>
      <c r="E740" s="60" t="inlineStr">
        <is>
          <t>마케팅전략</t>
        </is>
      </c>
      <c r="F740" s="60" t="n">
        <v>62201000</v>
      </c>
      <c r="G740" s="60" t="inlineStr">
        <is>
          <t>통신비</t>
        </is>
      </c>
      <c r="H740" s="61" t="n">
        <v>690730</v>
      </c>
      <c r="J740" s="63">
        <f>IF($A740="","",IFERROR(INDEX(부서매핑!$C$5:$C$504,MATCH($D740&amp;"",부서매핑!$A$5:$A$504,0)),"미매핑"))</f>
        <v/>
      </c>
      <c r="K740" s="63">
        <f>IF($A740="","",IFERROR(INDEX(계정매핑!$C$5:$C$504,MATCH($F740&amp;"",계정매핑!$A$5:$A$504,0)),"미매핑"))</f>
        <v/>
      </c>
      <c r="L740" s="4">
        <f>IF($A740="","",VALUE($A740&amp;""))</f>
        <v/>
      </c>
      <c r="M740" s="4">
        <f>IF($A740="","",VALUE($B740&amp;""))</f>
        <v/>
      </c>
      <c r="N740" s="64">
        <f>IF($A740="","",$H740*설정!$C$15)</f>
        <v/>
      </c>
      <c r="O740" s="4">
        <f>IF($A740="","",J740&amp;"|"&amp;K740)</f>
        <v/>
      </c>
      <c r="P740" s="63">
        <f>IF($A740="","",IF(COUNTIFS(예산_원본!$T$5:$T$3004,O740,예산_원본!$B$5:$B$3004,설정!$C$8,예산_원본!$U$5:$U$3004,L740)&gt;0,"Y","N"))</f>
        <v/>
      </c>
      <c r="Q740" s="63">
        <f>IF($A740="","",IF(COUNTIF(집계!$E$7:$E$506,O740)&gt;0,"Y","N"))</f>
        <v/>
      </c>
    </row>
    <row r="741">
      <c r="A741" s="60" t="n">
        <v>2025</v>
      </c>
      <c r="B741" s="60" t="n">
        <v>10</v>
      </c>
      <c r="C741" s="60" t="inlineStr">
        <is>
          <t>1000</t>
        </is>
      </c>
      <c r="D741" s="60" t="n">
        <v>1501</v>
      </c>
      <c r="E741" s="60" t="inlineStr">
        <is>
          <t>마케팅전략</t>
        </is>
      </c>
      <c r="F741" s="60" t="n">
        <v>62301000</v>
      </c>
      <c r="G741" s="60" t="inlineStr">
        <is>
          <t>소모품비</t>
        </is>
      </c>
      <c r="H741" s="61" t="n">
        <v>486550</v>
      </c>
      <c r="J741" s="63">
        <f>IF($A741="","",IFERROR(INDEX(부서매핑!$C$5:$C$504,MATCH($D741&amp;"",부서매핑!$A$5:$A$504,0)),"미매핑"))</f>
        <v/>
      </c>
      <c r="K741" s="63">
        <f>IF($A741="","",IFERROR(INDEX(계정매핑!$C$5:$C$504,MATCH($F741&amp;"",계정매핑!$A$5:$A$504,0)),"미매핑"))</f>
        <v/>
      </c>
      <c r="L741" s="4">
        <f>IF($A741="","",VALUE($A741&amp;""))</f>
        <v/>
      </c>
      <c r="M741" s="4">
        <f>IF($A741="","",VALUE($B741&amp;""))</f>
        <v/>
      </c>
      <c r="N741" s="64">
        <f>IF($A741="","",$H741*설정!$C$15)</f>
        <v/>
      </c>
      <c r="O741" s="4">
        <f>IF($A741="","",J741&amp;"|"&amp;K741)</f>
        <v/>
      </c>
      <c r="P741" s="63">
        <f>IF($A741="","",IF(COUNTIFS(예산_원본!$T$5:$T$3004,O741,예산_원본!$B$5:$B$3004,설정!$C$8,예산_원본!$U$5:$U$3004,L741)&gt;0,"Y","N"))</f>
        <v/>
      </c>
      <c r="Q741" s="63">
        <f>IF($A741="","",IF(COUNTIF(집계!$E$7:$E$506,O741)&gt;0,"Y","N"))</f>
        <v/>
      </c>
    </row>
    <row r="742">
      <c r="A742" s="60" t="n">
        <v>2025</v>
      </c>
      <c r="B742" s="60" t="n">
        <v>10</v>
      </c>
      <c r="C742" s="60" t="inlineStr">
        <is>
          <t>1000</t>
        </is>
      </c>
      <c r="D742" s="60" t="n">
        <v>1501</v>
      </c>
      <c r="E742" s="60" t="inlineStr">
        <is>
          <t>마케팅전략</t>
        </is>
      </c>
      <c r="F742" s="60" t="n">
        <v>62401000</v>
      </c>
      <c r="G742" s="60" t="inlineStr">
        <is>
          <t>도서인쇄비</t>
        </is>
      </c>
      <c r="H742" s="61" t="n">
        <v>3504190</v>
      </c>
      <c r="J742" s="63">
        <f>IF($A742="","",IFERROR(INDEX(부서매핑!$C$5:$C$504,MATCH($D742&amp;"",부서매핑!$A$5:$A$504,0)),"미매핑"))</f>
        <v/>
      </c>
      <c r="K742" s="63">
        <f>IF($A742="","",IFERROR(INDEX(계정매핑!$C$5:$C$504,MATCH($F742&amp;"",계정매핑!$A$5:$A$504,0)),"미매핑"))</f>
        <v/>
      </c>
      <c r="L742" s="4">
        <f>IF($A742="","",VALUE($A742&amp;""))</f>
        <v/>
      </c>
      <c r="M742" s="4">
        <f>IF($A742="","",VALUE($B742&amp;""))</f>
        <v/>
      </c>
      <c r="N742" s="64">
        <f>IF($A742="","",$H742*설정!$C$15)</f>
        <v/>
      </c>
      <c r="O742" s="4">
        <f>IF($A742="","",J742&amp;"|"&amp;K742)</f>
        <v/>
      </c>
      <c r="P742" s="63">
        <f>IF($A742="","",IF(COUNTIFS(예산_원본!$T$5:$T$3004,O742,예산_원본!$B$5:$B$3004,설정!$C$8,예산_원본!$U$5:$U$3004,L742)&gt;0,"Y","N"))</f>
        <v/>
      </c>
      <c r="Q742" s="63">
        <f>IF($A742="","",IF(COUNTIF(집계!$E$7:$E$506,O742)&gt;0,"Y","N"))</f>
        <v/>
      </c>
    </row>
    <row r="743">
      <c r="A743" s="60" t="n">
        <v>2025</v>
      </c>
      <c r="B743" s="60" t="n">
        <v>10</v>
      </c>
      <c r="C743" s="60" t="inlineStr">
        <is>
          <t>1000</t>
        </is>
      </c>
      <c r="D743" s="60" t="n">
        <v>1501</v>
      </c>
      <c r="E743" s="60" t="inlineStr">
        <is>
          <t>마케팅전략</t>
        </is>
      </c>
      <c r="F743" s="60" t="n">
        <v>62501000</v>
      </c>
      <c r="G743" s="60" t="inlineStr">
        <is>
          <t>회의비</t>
        </is>
      </c>
      <c r="H743" s="61" t="n">
        <v>673790</v>
      </c>
      <c r="J743" s="63">
        <f>IF($A743="","",IFERROR(INDEX(부서매핑!$C$5:$C$504,MATCH($D743&amp;"",부서매핑!$A$5:$A$504,0)),"미매핑"))</f>
        <v/>
      </c>
      <c r="K743" s="63">
        <f>IF($A743="","",IFERROR(INDEX(계정매핑!$C$5:$C$504,MATCH($F743&amp;"",계정매핑!$A$5:$A$504,0)),"미매핑"))</f>
        <v/>
      </c>
      <c r="L743" s="4">
        <f>IF($A743="","",VALUE($A743&amp;""))</f>
        <v/>
      </c>
      <c r="M743" s="4">
        <f>IF($A743="","",VALUE($B743&amp;""))</f>
        <v/>
      </c>
      <c r="N743" s="64">
        <f>IF($A743="","",$H743*설정!$C$15)</f>
        <v/>
      </c>
      <c r="O743" s="4">
        <f>IF($A743="","",J743&amp;"|"&amp;K743)</f>
        <v/>
      </c>
      <c r="P743" s="63">
        <f>IF($A743="","",IF(COUNTIFS(예산_원본!$T$5:$T$3004,O743,예산_원본!$B$5:$B$3004,설정!$C$8,예산_원본!$U$5:$U$3004,L743)&gt;0,"Y","N"))</f>
        <v/>
      </c>
      <c r="Q743" s="63">
        <f>IF($A743="","",IF(COUNTIF(집계!$E$7:$E$506,O743)&gt;0,"Y","N"))</f>
        <v/>
      </c>
    </row>
    <row r="744">
      <c r="A744" s="60" t="n">
        <v>2025</v>
      </c>
      <c r="B744" s="60" t="n">
        <v>10</v>
      </c>
      <c r="C744" s="60" t="inlineStr">
        <is>
          <t>1000</t>
        </is>
      </c>
      <c r="D744" s="60" t="n">
        <v>1501</v>
      </c>
      <c r="E744" s="60" t="inlineStr">
        <is>
          <t>마케팅전략</t>
        </is>
      </c>
      <c r="F744" s="60" t="n">
        <v>62601000</v>
      </c>
      <c r="G744" s="60" t="inlineStr">
        <is>
          <t>업무추진비</t>
        </is>
      </c>
      <c r="H744" s="61" t="n">
        <v>1418180</v>
      </c>
      <c r="J744" s="63">
        <f>IF($A744="","",IFERROR(INDEX(부서매핑!$C$5:$C$504,MATCH($D744&amp;"",부서매핑!$A$5:$A$504,0)),"미매핑"))</f>
        <v/>
      </c>
      <c r="K744" s="63">
        <f>IF($A744="","",IFERROR(INDEX(계정매핑!$C$5:$C$504,MATCH($F744&amp;"",계정매핑!$A$5:$A$504,0)),"미매핑"))</f>
        <v/>
      </c>
      <c r="L744" s="4">
        <f>IF($A744="","",VALUE($A744&amp;""))</f>
        <v/>
      </c>
      <c r="M744" s="4">
        <f>IF($A744="","",VALUE($B744&amp;""))</f>
        <v/>
      </c>
      <c r="N744" s="64">
        <f>IF($A744="","",$H744*설정!$C$15)</f>
        <v/>
      </c>
      <c r="O744" s="4">
        <f>IF($A744="","",J744&amp;"|"&amp;K744)</f>
        <v/>
      </c>
      <c r="P744" s="63">
        <f>IF($A744="","",IF(COUNTIFS(예산_원본!$T$5:$T$3004,O744,예산_원본!$B$5:$B$3004,설정!$C$8,예산_원본!$U$5:$U$3004,L744)&gt;0,"Y","N"))</f>
        <v/>
      </c>
      <c r="Q744" s="63">
        <f>IF($A744="","",IF(COUNTIF(집계!$E$7:$E$506,O744)&gt;0,"Y","N"))</f>
        <v/>
      </c>
    </row>
    <row r="745">
      <c r="A745" s="60" t="n">
        <v>2025</v>
      </c>
      <c r="B745" s="60" t="n">
        <v>10</v>
      </c>
      <c r="C745" s="60" t="inlineStr">
        <is>
          <t>1000</t>
        </is>
      </c>
      <c r="D745" s="60" t="n">
        <v>1501</v>
      </c>
      <c r="E745" s="60" t="inlineStr">
        <is>
          <t>마케팅전략</t>
        </is>
      </c>
      <c r="F745" s="60" t="n">
        <v>62701000</v>
      </c>
      <c r="G745" s="60" t="inlineStr">
        <is>
          <t>광고선전비</t>
        </is>
      </c>
      <c r="H745" s="61" t="n">
        <v>100507210</v>
      </c>
      <c r="J745" s="63">
        <f>IF($A745="","",IFERROR(INDEX(부서매핑!$C$5:$C$504,MATCH($D745&amp;"",부서매핑!$A$5:$A$504,0)),"미매핑"))</f>
        <v/>
      </c>
      <c r="K745" s="63">
        <f>IF($A745="","",IFERROR(INDEX(계정매핑!$C$5:$C$504,MATCH($F745&amp;"",계정매핑!$A$5:$A$504,0)),"미매핑"))</f>
        <v/>
      </c>
      <c r="L745" s="4">
        <f>IF($A745="","",VALUE($A745&amp;""))</f>
        <v/>
      </c>
      <c r="M745" s="4">
        <f>IF($A745="","",VALUE($B745&amp;""))</f>
        <v/>
      </c>
      <c r="N745" s="64">
        <f>IF($A745="","",$H745*설정!$C$15)</f>
        <v/>
      </c>
      <c r="O745" s="4">
        <f>IF($A745="","",J745&amp;"|"&amp;K745)</f>
        <v/>
      </c>
      <c r="P745" s="63">
        <f>IF($A745="","",IF(COUNTIFS(예산_원본!$T$5:$T$3004,O745,예산_원본!$B$5:$B$3004,설정!$C$8,예산_원본!$U$5:$U$3004,L745)&gt;0,"Y","N"))</f>
        <v/>
      </c>
      <c r="Q745" s="63">
        <f>IF($A745="","",IF(COUNTIF(집계!$E$7:$E$506,O745)&gt;0,"Y","N"))</f>
        <v/>
      </c>
    </row>
    <row r="746">
      <c r="A746" s="60" t="n">
        <v>2025</v>
      </c>
      <c r="B746" s="60" t="n">
        <v>10</v>
      </c>
      <c r="C746" s="60" t="inlineStr">
        <is>
          <t>1000</t>
        </is>
      </c>
      <c r="D746" s="60" t="n">
        <v>1502</v>
      </c>
      <c r="E746" s="60" t="inlineStr">
        <is>
          <t>디지털마케팅</t>
        </is>
      </c>
      <c r="F746" s="60" t="n">
        <v>62101000</v>
      </c>
      <c r="G746" s="60" t="inlineStr">
        <is>
          <t>여비교통비-국내</t>
        </is>
      </c>
      <c r="H746" s="61" t="n">
        <v>1038990</v>
      </c>
      <c r="J746" s="63">
        <f>IF($A746="","",IFERROR(INDEX(부서매핑!$C$5:$C$504,MATCH($D746&amp;"",부서매핑!$A$5:$A$504,0)),"미매핑"))</f>
        <v/>
      </c>
      <c r="K746" s="63">
        <f>IF($A746="","",IFERROR(INDEX(계정매핑!$C$5:$C$504,MATCH($F746&amp;"",계정매핑!$A$5:$A$504,0)),"미매핑"))</f>
        <v/>
      </c>
      <c r="L746" s="4">
        <f>IF($A746="","",VALUE($A746&amp;""))</f>
        <v/>
      </c>
      <c r="M746" s="4">
        <f>IF($A746="","",VALUE($B746&amp;""))</f>
        <v/>
      </c>
      <c r="N746" s="64">
        <f>IF($A746="","",$H746*설정!$C$15)</f>
        <v/>
      </c>
      <c r="O746" s="4">
        <f>IF($A746="","",J746&amp;"|"&amp;K746)</f>
        <v/>
      </c>
      <c r="P746" s="63">
        <f>IF($A746="","",IF(COUNTIFS(예산_원본!$T$5:$T$3004,O746,예산_원본!$B$5:$B$3004,설정!$C$8,예산_원본!$U$5:$U$3004,L746)&gt;0,"Y","N"))</f>
        <v/>
      </c>
      <c r="Q746" s="63">
        <f>IF($A746="","",IF(COUNTIF(집계!$E$7:$E$506,O746)&gt;0,"Y","N"))</f>
        <v/>
      </c>
    </row>
    <row r="747">
      <c r="A747" s="60" t="n">
        <v>2025</v>
      </c>
      <c r="B747" s="60" t="n">
        <v>10</v>
      </c>
      <c r="C747" s="60" t="inlineStr">
        <is>
          <t>1000</t>
        </is>
      </c>
      <c r="D747" s="60" t="n">
        <v>1502</v>
      </c>
      <c r="E747" s="60" t="inlineStr">
        <is>
          <t>디지털마케팅</t>
        </is>
      </c>
      <c r="F747" s="60" t="n">
        <v>62102000</v>
      </c>
      <c r="G747" s="60" t="inlineStr">
        <is>
          <t>여비교통비-해외</t>
        </is>
      </c>
      <c r="H747" s="61" t="n">
        <v>195850</v>
      </c>
      <c r="J747" s="63">
        <f>IF($A747="","",IFERROR(INDEX(부서매핑!$C$5:$C$504,MATCH($D747&amp;"",부서매핑!$A$5:$A$504,0)),"미매핑"))</f>
        <v/>
      </c>
      <c r="K747" s="63">
        <f>IF($A747="","",IFERROR(INDEX(계정매핑!$C$5:$C$504,MATCH($F747&amp;"",계정매핑!$A$5:$A$504,0)),"미매핑"))</f>
        <v/>
      </c>
      <c r="L747" s="4">
        <f>IF($A747="","",VALUE($A747&amp;""))</f>
        <v/>
      </c>
      <c r="M747" s="4">
        <f>IF($A747="","",VALUE($B747&amp;""))</f>
        <v/>
      </c>
      <c r="N747" s="64">
        <f>IF($A747="","",$H747*설정!$C$15)</f>
        <v/>
      </c>
      <c r="O747" s="4">
        <f>IF($A747="","",J747&amp;"|"&amp;K747)</f>
        <v/>
      </c>
      <c r="P747" s="63">
        <f>IF($A747="","",IF(COUNTIFS(예산_원본!$T$5:$T$3004,O747,예산_원본!$B$5:$B$3004,설정!$C$8,예산_원본!$U$5:$U$3004,L747)&gt;0,"Y","N"))</f>
        <v/>
      </c>
      <c r="Q747" s="63">
        <f>IF($A747="","",IF(COUNTIF(집계!$E$7:$E$506,O747)&gt;0,"Y","N"))</f>
        <v/>
      </c>
    </row>
    <row r="748">
      <c r="A748" s="60" t="n">
        <v>2025</v>
      </c>
      <c r="B748" s="60" t="n">
        <v>10</v>
      </c>
      <c r="C748" s="60" t="inlineStr">
        <is>
          <t>1000</t>
        </is>
      </c>
      <c r="D748" s="60" t="n">
        <v>1502</v>
      </c>
      <c r="E748" s="60" t="inlineStr">
        <is>
          <t>디지털마케팅</t>
        </is>
      </c>
      <c r="F748" s="60" t="n">
        <v>62201000</v>
      </c>
      <c r="G748" s="60" t="inlineStr">
        <is>
          <t>통신비</t>
        </is>
      </c>
      <c r="H748" s="61" t="n">
        <v>455130</v>
      </c>
      <c r="J748" s="63">
        <f>IF($A748="","",IFERROR(INDEX(부서매핑!$C$5:$C$504,MATCH($D748&amp;"",부서매핑!$A$5:$A$504,0)),"미매핑"))</f>
        <v/>
      </c>
      <c r="K748" s="63">
        <f>IF($A748="","",IFERROR(INDEX(계정매핑!$C$5:$C$504,MATCH($F748&amp;"",계정매핑!$A$5:$A$504,0)),"미매핑"))</f>
        <v/>
      </c>
      <c r="L748" s="4">
        <f>IF($A748="","",VALUE($A748&amp;""))</f>
        <v/>
      </c>
      <c r="M748" s="4">
        <f>IF($A748="","",VALUE($B748&amp;""))</f>
        <v/>
      </c>
      <c r="N748" s="64">
        <f>IF($A748="","",$H748*설정!$C$15)</f>
        <v/>
      </c>
      <c r="O748" s="4">
        <f>IF($A748="","",J748&amp;"|"&amp;K748)</f>
        <v/>
      </c>
      <c r="P748" s="63">
        <f>IF($A748="","",IF(COUNTIFS(예산_원본!$T$5:$T$3004,O748,예산_원본!$B$5:$B$3004,설정!$C$8,예산_원본!$U$5:$U$3004,L748)&gt;0,"Y","N"))</f>
        <v/>
      </c>
      <c r="Q748" s="63">
        <f>IF($A748="","",IF(COUNTIF(집계!$E$7:$E$506,O748)&gt;0,"Y","N"))</f>
        <v/>
      </c>
    </row>
    <row r="749">
      <c r="A749" s="60" t="n">
        <v>2025</v>
      </c>
      <c r="B749" s="60" t="n">
        <v>10</v>
      </c>
      <c r="C749" s="60" t="inlineStr">
        <is>
          <t>1000</t>
        </is>
      </c>
      <c r="D749" s="60" t="n">
        <v>1502</v>
      </c>
      <c r="E749" s="60" t="inlineStr">
        <is>
          <t>디지털마케팅</t>
        </is>
      </c>
      <c r="F749" s="60" t="n">
        <v>62301000</v>
      </c>
      <c r="G749" s="60" t="inlineStr">
        <is>
          <t>소모품비</t>
        </is>
      </c>
      <c r="H749" s="61" t="n">
        <v>305670</v>
      </c>
      <c r="J749" s="63">
        <f>IF($A749="","",IFERROR(INDEX(부서매핑!$C$5:$C$504,MATCH($D749&amp;"",부서매핑!$A$5:$A$504,0)),"미매핑"))</f>
        <v/>
      </c>
      <c r="K749" s="63">
        <f>IF($A749="","",IFERROR(INDEX(계정매핑!$C$5:$C$504,MATCH($F749&amp;"",계정매핑!$A$5:$A$504,0)),"미매핑"))</f>
        <v/>
      </c>
      <c r="L749" s="4">
        <f>IF($A749="","",VALUE($A749&amp;""))</f>
        <v/>
      </c>
      <c r="M749" s="4">
        <f>IF($A749="","",VALUE($B749&amp;""))</f>
        <v/>
      </c>
      <c r="N749" s="64">
        <f>IF($A749="","",$H749*설정!$C$15)</f>
        <v/>
      </c>
      <c r="O749" s="4">
        <f>IF($A749="","",J749&amp;"|"&amp;K749)</f>
        <v/>
      </c>
      <c r="P749" s="63">
        <f>IF($A749="","",IF(COUNTIFS(예산_원본!$T$5:$T$3004,O749,예산_원본!$B$5:$B$3004,설정!$C$8,예산_원본!$U$5:$U$3004,L749)&gt;0,"Y","N"))</f>
        <v/>
      </c>
      <c r="Q749" s="63">
        <f>IF($A749="","",IF(COUNTIF(집계!$E$7:$E$506,O749)&gt;0,"Y","N"))</f>
        <v/>
      </c>
    </row>
    <row r="750">
      <c r="A750" s="60" t="n">
        <v>2025</v>
      </c>
      <c r="B750" s="60" t="n">
        <v>10</v>
      </c>
      <c r="C750" s="60" t="inlineStr">
        <is>
          <t>1000</t>
        </is>
      </c>
      <c r="D750" s="60" t="n">
        <v>1502</v>
      </c>
      <c r="E750" s="60" t="inlineStr">
        <is>
          <t>디지털마케팅</t>
        </is>
      </c>
      <c r="F750" s="60" t="n">
        <v>62401000</v>
      </c>
      <c r="G750" s="60" t="inlineStr">
        <is>
          <t>도서인쇄비</t>
        </is>
      </c>
      <c r="H750" s="61" t="n">
        <v>2370280</v>
      </c>
      <c r="J750" s="63">
        <f>IF($A750="","",IFERROR(INDEX(부서매핑!$C$5:$C$504,MATCH($D750&amp;"",부서매핑!$A$5:$A$504,0)),"미매핑"))</f>
        <v/>
      </c>
      <c r="K750" s="63">
        <f>IF($A750="","",IFERROR(INDEX(계정매핑!$C$5:$C$504,MATCH($F750&amp;"",계정매핑!$A$5:$A$504,0)),"미매핑"))</f>
        <v/>
      </c>
      <c r="L750" s="4">
        <f>IF($A750="","",VALUE($A750&amp;""))</f>
        <v/>
      </c>
      <c r="M750" s="4">
        <f>IF($A750="","",VALUE($B750&amp;""))</f>
        <v/>
      </c>
      <c r="N750" s="64">
        <f>IF($A750="","",$H750*설정!$C$15)</f>
        <v/>
      </c>
      <c r="O750" s="4">
        <f>IF($A750="","",J750&amp;"|"&amp;K750)</f>
        <v/>
      </c>
      <c r="P750" s="63">
        <f>IF($A750="","",IF(COUNTIFS(예산_원본!$T$5:$T$3004,O750,예산_원본!$B$5:$B$3004,설정!$C$8,예산_원본!$U$5:$U$3004,L750)&gt;0,"Y","N"))</f>
        <v/>
      </c>
      <c r="Q750" s="63">
        <f>IF($A750="","",IF(COUNTIF(집계!$E$7:$E$506,O750)&gt;0,"Y","N"))</f>
        <v/>
      </c>
    </row>
    <row r="751">
      <c r="A751" s="60" t="n">
        <v>2025</v>
      </c>
      <c r="B751" s="60" t="n">
        <v>10</v>
      </c>
      <c r="C751" s="60" t="inlineStr">
        <is>
          <t>1000</t>
        </is>
      </c>
      <c r="D751" s="60" t="n">
        <v>1502</v>
      </c>
      <c r="E751" s="60" t="inlineStr">
        <is>
          <t>디지털마케팅</t>
        </is>
      </c>
      <c r="F751" s="60" t="n">
        <v>62501000</v>
      </c>
      <c r="G751" s="60" t="inlineStr">
        <is>
          <t>회의비</t>
        </is>
      </c>
      <c r="H751" s="61" t="n">
        <v>377320</v>
      </c>
      <c r="J751" s="63">
        <f>IF($A751="","",IFERROR(INDEX(부서매핑!$C$5:$C$504,MATCH($D751&amp;"",부서매핑!$A$5:$A$504,0)),"미매핑"))</f>
        <v/>
      </c>
      <c r="K751" s="63">
        <f>IF($A751="","",IFERROR(INDEX(계정매핑!$C$5:$C$504,MATCH($F751&amp;"",계정매핑!$A$5:$A$504,0)),"미매핑"))</f>
        <v/>
      </c>
      <c r="L751" s="4">
        <f>IF($A751="","",VALUE($A751&amp;""))</f>
        <v/>
      </c>
      <c r="M751" s="4">
        <f>IF($A751="","",VALUE($B751&amp;""))</f>
        <v/>
      </c>
      <c r="N751" s="64">
        <f>IF($A751="","",$H751*설정!$C$15)</f>
        <v/>
      </c>
      <c r="O751" s="4">
        <f>IF($A751="","",J751&amp;"|"&amp;K751)</f>
        <v/>
      </c>
      <c r="P751" s="63">
        <f>IF($A751="","",IF(COUNTIFS(예산_원본!$T$5:$T$3004,O751,예산_원본!$B$5:$B$3004,설정!$C$8,예산_원본!$U$5:$U$3004,L751)&gt;0,"Y","N"))</f>
        <v/>
      </c>
      <c r="Q751" s="63">
        <f>IF($A751="","",IF(COUNTIF(집계!$E$7:$E$506,O751)&gt;0,"Y","N"))</f>
        <v/>
      </c>
    </row>
    <row r="752">
      <c r="A752" s="60" t="n">
        <v>2025</v>
      </c>
      <c r="B752" s="60" t="n">
        <v>10</v>
      </c>
      <c r="C752" s="60" t="inlineStr">
        <is>
          <t>1000</t>
        </is>
      </c>
      <c r="D752" s="60" t="n">
        <v>1502</v>
      </c>
      <c r="E752" s="60" t="inlineStr">
        <is>
          <t>디지털마케팅</t>
        </is>
      </c>
      <c r="F752" s="60" t="n">
        <v>62601000</v>
      </c>
      <c r="G752" s="60" t="inlineStr">
        <is>
          <t>업무추진비</t>
        </is>
      </c>
      <c r="H752" s="61" t="n">
        <v>925610</v>
      </c>
      <c r="J752" s="63">
        <f>IF($A752="","",IFERROR(INDEX(부서매핑!$C$5:$C$504,MATCH($D752&amp;"",부서매핑!$A$5:$A$504,0)),"미매핑"))</f>
        <v/>
      </c>
      <c r="K752" s="63">
        <f>IF($A752="","",IFERROR(INDEX(계정매핑!$C$5:$C$504,MATCH($F752&amp;"",계정매핑!$A$5:$A$504,0)),"미매핑"))</f>
        <v/>
      </c>
      <c r="L752" s="4">
        <f>IF($A752="","",VALUE($A752&amp;""))</f>
        <v/>
      </c>
      <c r="M752" s="4">
        <f>IF($A752="","",VALUE($B752&amp;""))</f>
        <v/>
      </c>
      <c r="N752" s="64">
        <f>IF($A752="","",$H752*설정!$C$15)</f>
        <v/>
      </c>
      <c r="O752" s="4">
        <f>IF($A752="","",J752&amp;"|"&amp;K752)</f>
        <v/>
      </c>
      <c r="P752" s="63">
        <f>IF($A752="","",IF(COUNTIFS(예산_원본!$T$5:$T$3004,O752,예산_원본!$B$5:$B$3004,설정!$C$8,예산_원본!$U$5:$U$3004,L752)&gt;0,"Y","N"))</f>
        <v/>
      </c>
      <c r="Q752" s="63">
        <f>IF($A752="","",IF(COUNTIF(집계!$E$7:$E$506,O752)&gt;0,"Y","N"))</f>
        <v/>
      </c>
    </row>
    <row r="753">
      <c r="A753" s="60" t="n">
        <v>2025</v>
      </c>
      <c r="B753" s="60" t="n">
        <v>10</v>
      </c>
      <c r="C753" s="60" t="inlineStr">
        <is>
          <t>1000</t>
        </is>
      </c>
      <c r="D753" s="60" t="n">
        <v>1502</v>
      </c>
      <c r="E753" s="60" t="inlineStr">
        <is>
          <t>디지털마케팅</t>
        </is>
      </c>
      <c r="F753" s="60" t="n">
        <v>62701000</v>
      </c>
      <c r="G753" s="60" t="inlineStr">
        <is>
          <t>광고선전비</t>
        </is>
      </c>
      <c r="H753" s="61" t="n">
        <v>76416750</v>
      </c>
      <c r="J753" s="63">
        <f>IF($A753="","",IFERROR(INDEX(부서매핑!$C$5:$C$504,MATCH($D753&amp;"",부서매핑!$A$5:$A$504,0)),"미매핑"))</f>
        <v/>
      </c>
      <c r="K753" s="63">
        <f>IF($A753="","",IFERROR(INDEX(계정매핑!$C$5:$C$504,MATCH($F753&amp;"",계정매핑!$A$5:$A$504,0)),"미매핑"))</f>
        <v/>
      </c>
      <c r="L753" s="4">
        <f>IF($A753="","",VALUE($A753&amp;""))</f>
        <v/>
      </c>
      <c r="M753" s="4">
        <f>IF($A753="","",VALUE($B753&amp;""))</f>
        <v/>
      </c>
      <c r="N753" s="64">
        <f>IF($A753="","",$H753*설정!$C$15)</f>
        <v/>
      </c>
      <c r="O753" s="4">
        <f>IF($A753="","",J753&amp;"|"&amp;K753)</f>
        <v/>
      </c>
      <c r="P753" s="63">
        <f>IF($A753="","",IF(COUNTIFS(예산_원본!$T$5:$T$3004,O753,예산_원본!$B$5:$B$3004,설정!$C$8,예산_원본!$U$5:$U$3004,L753)&gt;0,"Y","N"))</f>
        <v/>
      </c>
      <c r="Q753" s="63">
        <f>IF($A753="","",IF(COUNTIF(집계!$E$7:$E$506,O753)&gt;0,"Y","N"))</f>
        <v/>
      </c>
    </row>
    <row r="754">
      <c r="A754" s="60" t="n">
        <v>2025</v>
      </c>
      <c r="B754" s="60" t="n">
        <v>10</v>
      </c>
      <c r="C754" s="60" t="inlineStr">
        <is>
          <t>1000</t>
        </is>
      </c>
      <c r="D754" s="60" t="n">
        <v>1601</v>
      </c>
      <c r="E754" s="60" t="inlineStr">
        <is>
          <t>영업지원-본사</t>
        </is>
      </c>
      <c r="F754" s="60" t="n">
        <v>62101000</v>
      </c>
      <c r="G754" s="60" t="inlineStr">
        <is>
          <t>여비교통비-국내</t>
        </is>
      </c>
      <c r="H754" s="61" t="n">
        <v>3587680</v>
      </c>
      <c r="J754" s="63">
        <f>IF($A754="","",IFERROR(INDEX(부서매핑!$C$5:$C$504,MATCH($D754&amp;"",부서매핑!$A$5:$A$504,0)),"미매핑"))</f>
        <v/>
      </c>
      <c r="K754" s="63">
        <f>IF($A754="","",IFERROR(INDEX(계정매핑!$C$5:$C$504,MATCH($F754&amp;"",계정매핑!$A$5:$A$504,0)),"미매핑"))</f>
        <v/>
      </c>
      <c r="L754" s="4">
        <f>IF($A754="","",VALUE($A754&amp;""))</f>
        <v/>
      </c>
      <c r="M754" s="4">
        <f>IF($A754="","",VALUE($B754&amp;""))</f>
        <v/>
      </c>
      <c r="N754" s="64">
        <f>IF($A754="","",$H754*설정!$C$15)</f>
        <v/>
      </c>
      <c r="O754" s="4">
        <f>IF($A754="","",J754&amp;"|"&amp;K754)</f>
        <v/>
      </c>
      <c r="P754" s="63">
        <f>IF($A754="","",IF(COUNTIFS(예산_원본!$T$5:$T$3004,O754,예산_원본!$B$5:$B$3004,설정!$C$8,예산_원본!$U$5:$U$3004,L754)&gt;0,"Y","N"))</f>
        <v/>
      </c>
      <c r="Q754" s="63">
        <f>IF($A754="","",IF(COUNTIF(집계!$E$7:$E$506,O754)&gt;0,"Y","N"))</f>
        <v/>
      </c>
    </row>
    <row r="755">
      <c r="A755" s="60" t="n">
        <v>2025</v>
      </c>
      <c r="B755" s="60" t="n">
        <v>10</v>
      </c>
      <c r="C755" s="60" t="inlineStr">
        <is>
          <t>1000</t>
        </is>
      </c>
      <c r="D755" s="60" t="n">
        <v>1601</v>
      </c>
      <c r="E755" s="60" t="inlineStr">
        <is>
          <t>영업지원-본사</t>
        </is>
      </c>
      <c r="F755" s="60" t="n">
        <v>62102000</v>
      </c>
      <c r="G755" s="60" t="inlineStr">
        <is>
          <t>여비교통비-해외</t>
        </is>
      </c>
      <c r="H755" s="61" t="n">
        <v>598320</v>
      </c>
      <c r="J755" s="63">
        <f>IF($A755="","",IFERROR(INDEX(부서매핑!$C$5:$C$504,MATCH($D755&amp;"",부서매핑!$A$5:$A$504,0)),"미매핑"))</f>
        <v/>
      </c>
      <c r="K755" s="63">
        <f>IF($A755="","",IFERROR(INDEX(계정매핑!$C$5:$C$504,MATCH($F755&amp;"",계정매핑!$A$5:$A$504,0)),"미매핑"))</f>
        <v/>
      </c>
      <c r="L755" s="4">
        <f>IF($A755="","",VALUE($A755&amp;""))</f>
        <v/>
      </c>
      <c r="M755" s="4">
        <f>IF($A755="","",VALUE($B755&amp;""))</f>
        <v/>
      </c>
      <c r="N755" s="64">
        <f>IF($A755="","",$H755*설정!$C$15)</f>
        <v/>
      </c>
      <c r="O755" s="4">
        <f>IF($A755="","",J755&amp;"|"&amp;K755)</f>
        <v/>
      </c>
      <c r="P755" s="63">
        <f>IF($A755="","",IF(COUNTIFS(예산_원본!$T$5:$T$3004,O755,예산_원본!$B$5:$B$3004,설정!$C$8,예산_원본!$U$5:$U$3004,L755)&gt;0,"Y","N"))</f>
        <v/>
      </c>
      <c r="Q755" s="63">
        <f>IF($A755="","",IF(COUNTIF(집계!$E$7:$E$506,O755)&gt;0,"Y","N"))</f>
        <v/>
      </c>
    </row>
    <row r="756">
      <c r="A756" s="60" t="n">
        <v>2025</v>
      </c>
      <c r="B756" s="60" t="n">
        <v>10</v>
      </c>
      <c r="C756" s="60" t="inlineStr">
        <is>
          <t>1000</t>
        </is>
      </c>
      <c r="D756" s="60" t="n">
        <v>1601</v>
      </c>
      <c r="E756" s="60" t="inlineStr">
        <is>
          <t>영업지원-본사</t>
        </is>
      </c>
      <c r="F756" s="60" t="n">
        <v>62201000</v>
      </c>
      <c r="G756" s="60" t="inlineStr">
        <is>
          <t>통신비</t>
        </is>
      </c>
      <c r="H756" s="61" t="n">
        <v>1271950</v>
      </c>
      <c r="J756" s="63">
        <f>IF($A756="","",IFERROR(INDEX(부서매핑!$C$5:$C$504,MATCH($D756&amp;"",부서매핑!$A$5:$A$504,0)),"미매핑"))</f>
        <v/>
      </c>
      <c r="K756" s="63">
        <f>IF($A756="","",IFERROR(INDEX(계정매핑!$C$5:$C$504,MATCH($F756&amp;"",계정매핑!$A$5:$A$504,0)),"미매핑"))</f>
        <v/>
      </c>
      <c r="L756" s="4">
        <f>IF($A756="","",VALUE($A756&amp;""))</f>
        <v/>
      </c>
      <c r="M756" s="4">
        <f>IF($A756="","",VALUE($B756&amp;""))</f>
        <v/>
      </c>
      <c r="N756" s="64">
        <f>IF($A756="","",$H756*설정!$C$15)</f>
        <v/>
      </c>
      <c r="O756" s="4">
        <f>IF($A756="","",J756&amp;"|"&amp;K756)</f>
        <v/>
      </c>
      <c r="P756" s="63">
        <f>IF($A756="","",IF(COUNTIFS(예산_원본!$T$5:$T$3004,O756,예산_원본!$B$5:$B$3004,설정!$C$8,예산_원본!$U$5:$U$3004,L756)&gt;0,"Y","N"))</f>
        <v/>
      </c>
      <c r="Q756" s="63">
        <f>IF($A756="","",IF(COUNTIF(집계!$E$7:$E$506,O756)&gt;0,"Y","N"))</f>
        <v/>
      </c>
    </row>
    <row r="757">
      <c r="A757" s="60" t="n">
        <v>2025</v>
      </c>
      <c r="B757" s="60" t="n">
        <v>10</v>
      </c>
      <c r="C757" s="60" t="inlineStr">
        <is>
          <t>1000</t>
        </is>
      </c>
      <c r="D757" s="60" t="n">
        <v>1601</v>
      </c>
      <c r="E757" s="60" t="inlineStr">
        <is>
          <t>영업지원-본사</t>
        </is>
      </c>
      <c r="F757" s="60" t="n">
        <v>62301000</v>
      </c>
      <c r="G757" s="60" t="inlineStr">
        <is>
          <t>소모품비</t>
        </is>
      </c>
      <c r="H757" s="61" t="n">
        <v>680680</v>
      </c>
      <c r="J757" s="63">
        <f>IF($A757="","",IFERROR(INDEX(부서매핑!$C$5:$C$504,MATCH($D757&amp;"",부서매핑!$A$5:$A$504,0)),"미매핑"))</f>
        <v/>
      </c>
      <c r="K757" s="63">
        <f>IF($A757="","",IFERROR(INDEX(계정매핑!$C$5:$C$504,MATCH($F757&amp;"",계정매핑!$A$5:$A$504,0)),"미매핑"))</f>
        <v/>
      </c>
      <c r="L757" s="4">
        <f>IF($A757="","",VALUE($A757&amp;""))</f>
        <v/>
      </c>
      <c r="M757" s="4">
        <f>IF($A757="","",VALUE($B757&amp;""))</f>
        <v/>
      </c>
      <c r="N757" s="64">
        <f>IF($A757="","",$H757*설정!$C$15)</f>
        <v/>
      </c>
      <c r="O757" s="4">
        <f>IF($A757="","",J757&amp;"|"&amp;K757)</f>
        <v/>
      </c>
      <c r="P757" s="63">
        <f>IF($A757="","",IF(COUNTIFS(예산_원본!$T$5:$T$3004,O757,예산_원본!$B$5:$B$3004,설정!$C$8,예산_원본!$U$5:$U$3004,L757)&gt;0,"Y","N"))</f>
        <v/>
      </c>
      <c r="Q757" s="63">
        <f>IF($A757="","",IF(COUNTIF(집계!$E$7:$E$506,O757)&gt;0,"Y","N"))</f>
        <v/>
      </c>
    </row>
    <row r="758">
      <c r="A758" s="60" t="n">
        <v>2025</v>
      </c>
      <c r="B758" s="60" t="n">
        <v>10</v>
      </c>
      <c r="C758" s="60" t="inlineStr">
        <is>
          <t>1000</t>
        </is>
      </c>
      <c r="D758" s="60" t="n">
        <v>1601</v>
      </c>
      <c r="E758" s="60" t="inlineStr">
        <is>
          <t>영업지원-본사</t>
        </is>
      </c>
      <c r="F758" s="60" t="n">
        <v>62501000</v>
      </c>
      <c r="G758" s="60" t="inlineStr">
        <is>
          <t>회의비</t>
        </is>
      </c>
      <c r="H758" s="61" t="n">
        <v>764670</v>
      </c>
      <c r="J758" s="63">
        <f>IF($A758="","",IFERROR(INDEX(부서매핑!$C$5:$C$504,MATCH($D758&amp;"",부서매핑!$A$5:$A$504,0)),"미매핑"))</f>
        <v/>
      </c>
      <c r="K758" s="63">
        <f>IF($A758="","",IFERROR(INDEX(계정매핑!$C$5:$C$504,MATCH($F758&amp;"",계정매핑!$A$5:$A$504,0)),"미매핑"))</f>
        <v/>
      </c>
      <c r="L758" s="4">
        <f>IF($A758="","",VALUE($A758&amp;""))</f>
        <v/>
      </c>
      <c r="M758" s="4">
        <f>IF($A758="","",VALUE($B758&amp;""))</f>
        <v/>
      </c>
      <c r="N758" s="64">
        <f>IF($A758="","",$H758*설정!$C$15)</f>
        <v/>
      </c>
      <c r="O758" s="4">
        <f>IF($A758="","",J758&amp;"|"&amp;K758)</f>
        <v/>
      </c>
      <c r="P758" s="63">
        <f>IF($A758="","",IF(COUNTIFS(예산_원본!$T$5:$T$3004,O758,예산_원본!$B$5:$B$3004,설정!$C$8,예산_원본!$U$5:$U$3004,L758)&gt;0,"Y","N"))</f>
        <v/>
      </c>
      <c r="Q758" s="63">
        <f>IF($A758="","",IF(COUNTIF(집계!$E$7:$E$506,O758)&gt;0,"Y","N"))</f>
        <v/>
      </c>
    </row>
    <row r="759">
      <c r="A759" s="60" t="n">
        <v>2025</v>
      </c>
      <c r="B759" s="60" t="n">
        <v>10</v>
      </c>
      <c r="C759" s="60" t="inlineStr">
        <is>
          <t>1000</t>
        </is>
      </c>
      <c r="D759" s="60" t="n">
        <v>1601</v>
      </c>
      <c r="E759" s="60" t="inlineStr">
        <is>
          <t>영업지원-본사</t>
        </is>
      </c>
      <c r="F759" s="60" t="n">
        <v>62601000</v>
      </c>
      <c r="G759" s="60" t="inlineStr">
        <is>
          <t>업무추진비</t>
        </is>
      </c>
      <c r="H759" s="61" t="n">
        <v>1898960</v>
      </c>
      <c r="J759" s="63">
        <f>IF($A759="","",IFERROR(INDEX(부서매핑!$C$5:$C$504,MATCH($D759&amp;"",부서매핑!$A$5:$A$504,0)),"미매핑"))</f>
        <v/>
      </c>
      <c r="K759" s="63">
        <f>IF($A759="","",IFERROR(INDEX(계정매핑!$C$5:$C$504,MATCH($F759&amp;"",계정매핑!$A$5:$A$504,0)),"미매핑"))</f>
        <v/>
      </c>
      <c r="L759" s="4">
        <f>IF($A759="","",VALUE($A759&amp;""))</f>
        <v/>
      </c>
      <c r="M759" s="4">
        <f>IF($A759="","",VALUE($B759&amp;""))</f>
        <v/>
      </c>
      <c r="N759" s="64">
        <f>IF($A759="","",$H759*설정!$C$15)</f>
        <v/>
      </c>
      <c r="O759" s="4">
        <f>IF($A759="","",J759&amp;"|"&amp;K759)</f>
        <v/>
      </c>
      <c r="P759" s="63">
        <f>IF($A759="","",IF(COUNTIFS(예산_원본!$T$5:$T$3004,O759,예산_원본!$B$5:$B$3004,설정!$C$8,예산_원본!$U$5:$U$3004,L759)&gt;0,"Y","N"))</f>
        <v/>
      </c>
      <c r="Q759" s="63">
        <f>IF($A759="","",IF(COUNTIF(집계!$E$7:$E$506,O759)&gt;0,"Y","N"))</f>
        <v/>
      </c>
    </row>
    <row r="760">
      <c r="A760" s="60" t="n">
        <v>2025</v>
      </c>
      <c r="B760" s="60" t="n">
        <v>10</v>
      </c>
      <c r="C760" s="60" t="inlineStr">
        <is>
          <t>1000</t>
        </is>
      </c>
      <c r="D760" s="60" t="n">
        <v>1601</v>
      </c>
      <c r="E760" s="60" t="inlineStr">
        <is>
          <t>영업지원-본사</t>
        </is>
      </c>
      <c r="F760" s="60" t="n">
        <v>63101000</v>
      </c>
      <c r="G760" s="60" t="inlineStr">
        <is>
          <t>임차료</t>
        </is>
      </c>
      <c r="H760" s="61" t="n">
        <v>10918680</v>
      </c>
      <c r="J760" s="63">
        <f>IF($A760="","",IFERROR(INDEX(부서매핑!$C$5:$C$504,MATCH($D760&amp;"",부서매핑!$A$5:$A$504,0)),"미매핑"))</f>
        <v/>
      </c>
      <c r="K760" s="63">
        <f>IF($A760="","",IFERROR(INDEX(계정매핑!$C$5:$C$504,MATCH($F760&amp;"",계정매핑!$A$5:$A$504,0)),"미매핑"))</f>
        <v/>
      </c>
      <c r="L760" s="4">
        <f>IF($A760="","",VALUE($A760&amp;""))</f>
        <v/>
      </c>
      <c r="M760" s="4">
        <f>IF($A760="","",VALUE($B760&amp;""))</f>
        <v/>
      </c>
      <c r="N760" s="64">
        <f>IF($A760="","",$H760*설정!$C$15)</f>
        <v/>
      </c>
      <c r="O760" s="4">
        <f>IF($A760="","",J760&amp;"|"&amp;K760)</f>
        <v/>
      </c>
      <c r="P760" s="63">
        <f>IF($A760="","",IF(COUNTIFS(예산_원본!$T$5:$T$3004,O760,예산_원본!$B$5:$B$3004,설정!$C$8,예산_원본!$U$5:$U$3004,L760)&gt;0,"Y","N"))</f>
        <v/>
      </c>
      <c r="Q760" s="63">
        <f>IF($A760="","",IF(COUNTIF(집계!$E$7:$E$506,O760)&gt;0,"Y","N"))</f>
        <v/>
      </c>
    </row>
    <row r="761">
      <c r="A761" s="60" t="n">
        <v>2025</v>
      </c>
      <c r="B761" s="60" t="n">
        <v>10</v>
      </c>
      <c r="C761" s="60" t="inlineStr">
        <is>
          <t>1000</t>
        </is>
      </c>
      <c r="D761" s="60" t="n">
        <v>1601</v>
      </c>
      <c r="E761" s="60" t="inlineStr">
        <is>
          <t>영업지원-본사</t>
        </is>
      </c>
      <c r="F761" s="60" t="n">
        <v>63201000</v>
      </c>
      <c r="G761" s="60" t="inlineStr">
        <is>
          <t>차량유지비</t>
        </is>
      </c>
      <c r="H761" s="61" t="n">
        <v>4059160</v>
      </c>
      <c r="J761" s="63">
        <f>IF($A761="","",IFERROR(INDEX(부서매핑!$C$5:$C$504,MATCH($D761&amp;"",부서매핑!$A$5:$A$504,0)),"미매핑"))</f>
        <v/>
      </c>
      <c r="K761" s="63">
        <f>IF($A761="","",IFERROR(INDEX(계정매핑!$C$5:$C$504,MATCH($F761&amp;"",계정매핑!$A$5:$A$504,0)),"미매핑"))</f>
        <v/>
      </c>
      <c r="L761" s="4">
        <f>IF($A761="","",VALUE($A761&amp;""))</f>
        <v/>
      </c>
      <c r="M761" s="4">
        <f>IF($A761="","",VALUE($B761&amp;""))</f>
        <v/>
      </c>
      <c r="N761" s="64">
        <f>IF($A761="","",$H761*설정!$C$15)</f>
        <v/>
      </c>
      <c r="O761" s="4">
        <f>IF($A761="","",J761&amp;"|"&amp;K761)</f>
        <v/>
      </c>
      <c r="P761" s="63">
        <f>IF($A761="","",IF(COUNTIFS(예산_원본!$T$5:$T$3004,O761,예산_원본!$B$5:$B$3004,설정!$C$8,예산_원본!$U$5:$U$3004,L761)&gt;0,"Y","N"))</f>
        <v/>
      </c>
      <c r="Q761" s="63">
        <f>IF($A761="","",IF(COUNTIF(집계!$E$7:$E$506,O761)&gt;0,"Y","N"))</f>
        <v/>
      </c>
    </row>
    <row r="762">
      <c r="A762" s="60" t="n">
        <v>2025</v>
      </c>
      <c r="B762" s="60" t="n">
        <v>10</v>
      </c>
      <c r="C762" s="60" t="inlineStr">
        <is>
          <t>1000</t>
        </is>
      </c>
      <c r="D762" s="60" t="n">
        <v>1602</v>
      </c>
      <c r="E762" s="60" t="inlineStr">
        <is>
          <t>영업지원-지역본부</t>
        </is>
      </c>
      <c r="F762" s="60" t="n">
        <v>62101000</v>
      </c>
      <c r="G762" s="60" t="inlineStr">
        <is>
          <t>여비교통비-국내</t>
        </is>
      </c>
      <c r="H762" s="61" t="n">
        <v>3091170</v>
      </c>
      <c r="J762" s="63">
        <f>IF($A762="","",IFERROR(INDEX(부서매핑!$C$5:$C$504,MATCH($D762&amp;"",부서매핑!$A$5:$A$504,0)),"미매핑"))</f>
        <v/>
      </c>
      <c r="K762" s="63">
        <f>IF($A762="","",IFERROR(INDEX(계정매핑!$C$5:$C$504,MATCH($F762&amp;"",계정매핑!$A$5:$A$504,0)),"미매핑"))</f>
        <v/>
      </c>
      <c r="L762" s="4">
        <f>IF($A762="","",VALUE($A762&amp;""))</f>
        <v/>
      </c>
      <c r="M762" s="4">
        <f>IF($A762="","",VALUE($B762&amp;""))</f>
        <v/>
      </c>
      <c r="N762" s="64">
        <f>IF($A762="","",$H762*설정!$C$15)</f>
        <v/>
      </c>
      <c r="O762" s="4">
        <f>IF($A762="","",J762&amp;"|"&amp;K762)</f>
        <v/>
      </c>
      <c r="P762" s="63">
        <f>IF($A762="","",IF(COUNTIFS(예산_원본!$T$5:$T$3004,O762,예산_원본!$B$5:$B$3004,설정!$C$8,예산_원본!$U$5:$U$3004,L762)&gt;0,"Y","N"))</f>
        <v/>
      </c>
      <c r="Q762" s="63">
        <f>IF($A762="","",IF(COUNTIF(집계!$E$7:$E$506,O762)&gt;0,"Y","N"))</f>
        <v/>
      </c>
    </row>
    <row r="763">
      <c r="A763" s="60" t="n">
        <v>2025</v>
      </c>
      <c r="B763" s="60" t="n">
        <v>10</v>
      </c>
      <c r="C763" s="60" t="inlineStr">
        <is>
          <t>1000</t>
        </is>
      </c>
      <c r="D763" s="60" t="n">
        <v>1602</v>
      </c>
      <c r="E763" s="60" t="inlineStr">
        <is>
          <t>영업지원-지역본부</t>
        </is>
      </c>
      <c r="F763" s="60" t="n">
        <v>62102000</v>
      </c>
      <c r="G763" s="60" t="inlineStr">
        <is>
          <t>여비교통비-해외</t>
        </is>
      </c>
      <c r="H763" s="61" t="n">
        <v>561930</v>
      </c>
      <c r="J763" s="63">
        <f>IF($A763="","",IFERROR(INDEX(부서매핑!$C$5:$C$504,MATCH($D763&amp;"",부서매핑!$A$5:$A$504,0)),"미매핑"))</f>
        <v/>
      </c>
      <c r="K763" s="63">
        <f>IF($A763="","",IFERROR(INDEX(계정매핑!$C$5:$C$504,MATCH($F763&amp;"",계정매핑!$A$5:$A$504,0)),"미매핑"))</f>
        <v/>
      </c>
      <c r="L763" s="4">
        <f>IF($A763="","",VALUE($A763&amp;""))</f>
        <v/>
      </c>
      <c r="M763" s="4">
        <f>IF($A763="","",VALUE($B763&amp;""))</f>
        <v/>
      </c>
      <c r="N763" s="64">
        <f>IF($A763="","",$H763*설정!$C$15)</f>
        <v/>
      </c>
      <c r="O763" s="4">
        <f>IF($A763="","",J763&amp;"|"&amp;K763)</f>
        <v/>
      </c>
      <c r="P763" s="63">
        <f>IF($A763="","",IF(COUNTIFS(예산_원본!$T$5:$T$3004,O763,예산_원본!$B$5:$B$3004,설정!$C$8,예산_원본!$U$5:$U$3004,L763)&gt;0,"Y","N"))</f>
        <v/>
      </c>
      <c r="Q763" s="63">
        <f>IF($A763="","",IF(COUNTIF(집계!$E$7:$E$506,O763)&gt;0,"Y","N"))</f>
        <v/>
      </c>
    </row>
    <row r="764">
      <c r="A764" s="60" t="n">
        <v>2025</v>
      </c>
      <c r="B764" s="60" t="n">
        <v>10</v>
      </c>
      <c r="C764" s="60" t="inlineStr">
        <is>
          <t>1000</t>
        </is>
      </c>
      <c r="D764" s="60" t="n">
        <v>1602</v>
      </c>
      <c r="E764" s="60" t="inlineStr">
        <is>
          <t>영업지원-지역본부</t>
        </is>
      </c>
      <c r="F764" s="60" t="n">
        <v>62201000</v>
      </c>
      <c r="G764" s="60" t="inlineStr">
        <is>
          <t>통신비</t>
        </is>
      </c>
      <c r="H764" s="61" t="n">
        <v>999020</v>
      </c>
      <c r="J764" s="63">
        <f>IF($A764="","",IFERROR(INDEX(부서매핑!$C$5:$C$504,MATCH($D764&amp;"",부서매핑!$A$5:$A$504,0)),"미매핑"))</f>
        <v/>
      </c>
      <c r="K764" s="63">
        <f>IF($A764="","",IFERROR(INDEX(계정매핑!$C$5:$C$504,MATCH($F764&amp;"",계정매핑!$A$5:$A$504,0)),"미매핑"))</f>
        <v/>
      </c>
      <c r="L764" s="4">
        <f>IF($A764="","",VALUE($A764&amp;""))</f>
        <v/>
      </c>
      <c r="M764" s="4">
        <f>IF($A764="","",VALUE($B764&amp;""))</f>
        <v/>
      </c>
      <c r="N764" s="64">
        <f>IF($A764="","",$H764*설정!$C$15)</f>
        <v/>
      </c>
      <c r="O764" s="4">
        <f>IF($A764="","",J764&amp;"|"&amp;K764)</f>
        <v/>
      </c>
      <c r="P764" s="63">
        <f>IF($A764="","",IF(COUNTIFS(예산_원본!$T$5:$T$3004,O764,예산_원본!$B$5:$B$3004,설정!$C$8,예산_원본!$U$5:$U$3004,L764)&gt;0,"Y","N"))</f>
        <v/>
      </c>
      <c r="Q764" s="63">
        <f>IF($A764="","",IF(COUNTIF(집계!$E$7:$E$506,O764)&gt;0,"Y","N"))</f>
        <v/>
      </c>
    </row>
    <row r="765">
      <c r="A765" s="60" t="n">
        <v>2025</v>
      </c>
      <c r="B765" s="60" t="n">
        <v>10</v>
      </c>
      <c r="C765" s="60" t="inlineStr">
        <is>
          <t>1000</t>
        </is>
      </c>
      <c r="D765" s="60" t="n">
        <v>1602</v>
      </c>
      <c r="E765" s="60" t="inlineStr">
        <is>
          <t>영업지원-지역본부</t>
        </is>
      </c>
      <c r="F765" s="60" t="n">
        <v>62301000</v>
      </c>
      <c r="G765" s="60" t="inlineStr">
        <is>
          <t>소모품비</t>
        </is>
      </c>
      <c r="H765" s="61" t="n">
        <v>532220</v>
      </c>
      <c r="J765" s="63">
        <f>IF($A765="","",IFERROR(INDEX(부서매핑!$C$5:$C$504,MATCH($D765&amp;"",부서매핑!$A$5:$A$504,0)),"미매핑"))</f>
        <v/>
      </c>
      <c r="K765" s="63">
        <f>IF($A765="","",IFERROR(INDEX(계정매핑!$C$5:$C$504,MATCH($F765&amp;"",계정매핑!$A$5:$A$504,0)),"미매핑"))</f>
        <v/>
      </c>
      <c r="L765" s="4">
        <f>IF($A765="","",VALUE($A765&amp;""))</f>
        <v/>
      </c>
      <c r="M765" s="4">
        <f>IF($A765="","",VALUE($B765&amp;""))</f>
        <v/>
      </c>
      <c r="N765" s="64">
        <f>IF($A765="","",$H765*설정!$C$15)</f>
        <v/>
      </c>
      <c r="O765" s="4">
        <f>IF($A765="","",J765&amp;"|"&amp;K765)</f>
        <v/>
      </c>
      <c r="P765" s="63">
        <f>IF($A765="","",IF(COUNTIFS(예산_원본!$T$5:$T$3004,O765,예산_원본!$B$5:$B$3004,설정!$C$8,예산_원본!$U$5:$U$3004,L765)&gt;0,"Y","N"))</f>
        <v/>
      </c>
      <c r="Q765" s="63">
        <f>IF($A765="","",IF(COUNTIF(집계!$E$7:$E$506,O765)&gt;0,"Y","N"))</f>
        <v/>
      </c>
    </row>
    <row r="766">
      <c r="A766" s="60" t="n">
        <v>2025</v>
      </c>
      <c r="B766" s="60" t="n">
        <v>10</v>
      </c>
      <c r="C766" s="60" t="inlineStr">
        <is>
          <t>1000</t>
        </is>
      </c>
      <c r="D766" s="60" t="n">
        <v>1602</v>
      </c>
      <c r="E766" s="60" t="inlineStr">
        <is>
          <t>영업지원-지역본부</t>
        </is>
      </c>
      <c r="F766" s="60" t="n">
        <v>62501000</v>
      </c>
      <c r="G766" s="60" t="inlineStr">
        <is>
          <t>회의비</t>
        </is>
      </c>
      <c r="H766" s="61" t="n">
        <v>607880</v>
      </c>
      <c r="J766" s="63">
        <f>IF($A766="","",IFERROR(INDEX(부서매핑!$C$5:$C$504,MATCH($D766&amp;"",부서매핑!$A$5:$A$504,0)),"미매핑"))</f>
        <v/>
      </c>
      <c r="K766" s="63">
        <f>IF($A766="","",IFERROR(INDEX(계정매핑!$C$5:$C$504,MATCH($F766&amp;"",계정매핑!$A$5:$A$504,0)),"미매핑"))</f>
        <v/>
      </c>
      <c r="L766" s="4">
        <f>IF($A766="","",VALUE($A766&amp;""))</f>
        <v/>
      </c>
      <c r="M766" s="4">
        <f>IF($A766="","",VALUE($B766&amp;""))</f>
        <v/>
      </c>
      <c r="N766" s="64">
        <f>IF($A766="","",$H766*설정!$C$15)</f>
        <v/>
      </c>
      <c r="O766" s="4">
        <f>IF($A766="","",J766&amp;"|"&amp;K766)</f>
        <v/>
      </c>
      <c r="P766" s="63">
        <f>IF($A766="","",IF(COUNTIFS(예산_원본!$T$5:$T$3004,O766,예산_원본!$B$5:$B$3004,설정!$C$8,예산_원본!$U$5:$U$3004,L766)&gt;0,"Y","N"))</f>
        <v/>
      </c>
      <c r="Q766" s="63">
        <f>IF($A766="","",IF(COUNTIF(집계!$E$7:$E$506,O766)&gt;0,"Y","N"))</f>
        <v/>
      </c>
    </row>
    <row r="767">
      <c r="A767" s="60" t="n">
        <v>2025</v>
      </c>
      <c r="B767" s="60" t="n">
        <v>10</v>
      </c>
      <c r="C767" s="60" t="inlineStr">
        <is>
          <t>1000</t>
        </is>
      </c>
      <c r="D767" s="60" t="n">
        <v>1602</v>
      </c>
      <c r="E767" s="60" t="inlineStr">
        <is>
          <t>영업지원-지역본부</t>
        </is>
      </c>
      <c r="F767" s="60" t="n">
        <v>62601000</v>
      </c>
      <c r="G767" s="60" t="inlineStr">
        <is>
          <t>업무추진비</t>
        </is>
      </c>
      <c r="H767" s="61" t="n">
        <v>1716560</v>
      </c>
      <c r="J767" s="63">
        <f>IF($A767="","",IFERROR(INDEX(부서매핑!$C$5:$C$504,MATCH($D767&amp;"",부서매핑!$A$5:$A$504,0)),"미매핑"))</f>
        <v/>
      </c>
      <c r="K767" s="63">
        <f>IF($A767="","",IFERROR(INDEX(계정매핑!$C$5:$C$504,MATCH($F767&amp;"",계정매핑!$A$5:$A$504,0)),"미매핑"))</f>
        <v/>
      </c>
      <c r="L767" s="4">
        <f>IF($A767="","",VALUE($A767&amp;""))</f>
        <v/>
      </c>
      <c r="M767" s="4">
        <f>IF($A767="","",VALUE($B767&amp;""))</f>
        <v/>
      </c>
      <c r="N767" s="64">
        <f>IF($A767="","",$H767*설정!$C$15)</f>
        <v/>
      </c>
      <c r="O767" s="4">
        <f>IF($A767="","",J767&amp;"|"&amp;K767)</f>
        <v/>
      </c>
      <c r="P767" s="63">
        <f>IF($A767="","",IF(COUNTIFS(예산_원본!$T$5:$T$3004,O767,예산_원본!$B$5:$B$3004,설정!$C$8,예산_원본!$U$5:$U$3004,L767)&gt;0,"Y","N"))</f>
        <v/>
      </c>
      <c r="Q767" s="63">
        <f>IF($A767="","",IF(COUNTIF(집계!$E$7:$E$506,O767)&gt;0,"Y","N"))</f>
        <v/>
      </c>
    </row>
    <row r="768">
      <c r="A768" s="60" t="n">
        <v>2025</v>
      </c>
      <c r="B768" s="60" t="n">
        <v>10</v>
      </c>
      <c r="C768" s="60" t="inlineStr">
        <is>
          <t>1000</t>
        </is>
      </c>
      <c r="D768" s="60" t="n">
        <v>1602</v>
      </c>
      <c r="E768" s="60" t="inlineStr">
        <is>
          <t>영업지원-지역본부</t>
        </is>
      </c>
      <c r="F768" s="60" t="n">
        <v>63101000</v>
      </c>
      <c r="G768" s="60" t="inlineStr">
        <is>
          <t>임차료</t>
        </is>
      </c>
      <c r="H768" s="61" t="n">
        <v>8424060</v>
      </c>
      <c r="J768" s="63">
        <f>IF($A768="","",IFERROR(INDEX(부서매핑!$C$5:$C$504,MATCH($D768&amp;"",부서매핑!$A$5:$A$504,0)),"미매핑"))</f>
        <v/>
      </c>
      <c r="K768" s="63">
        <f>IF($A768="","",IFERROR(INDEX(계정매핑!$C$5:$C$504,MATCH($F768&amp;"",계정매핑!$A$5:$A$504,0)),"미매핑"))</f>
        <v/>
      </c>
      <c r="L768" s="4">
        <f>IF($A768="","",VALUE($A768&amp;""))</f>
        <v/>
      </c>
      <c r="M768" s="4">
        <f>IF($A768="","",VALUE($B768&amp;""))</f>
        <v/>
      </c>
      <c r="N768" s="64">
        <f>IF($A768="","",$H768*설정!$C$15)</f>
        <v/>
      </c>
      <c r="O768" s="4">
        <f>IF($A768="","",J768&amp;"|"&amp;K768)</f>
        <v/>
      </c>
      <c r="P768" s="63">
        <f>IF($A768="","",IF(COUNTIFS(예산_원본!$T$5:$T$3004,O768,예산_원본!$B$5:$B$3004,설정!$C$8,예산_원본!$U$5:$U$3004,L768)&gt;0,"Y","N"))</f>
        <v/>
      </c>
      <c r="Q768" s="63">
        <f>IF($A768="","",IF(COUNTIF(집계!$E$7:$E$506,O768)&gt;0,"Y","N"))</f>
        <v/>
      </c>
    </row>
    <row r="769">
      <c r="A769" s="60" t="n">
        <v>2025</v>
      </c>
      <c r="B769" s="60" t="n">
        <v>10</v>
      </c>
      <c r="C769" s="60" t="inlineStr">
        <is>
          <t>1000</t>
        </is>
      </c>
      <c r="D769" s="60" t="n">
        <v>1602</v>
      </c>
      <c r="E769" s="60" t="inlineStr">
        <is>
          <t>영업지원-지역본부</t>
        </is>
      </c>
      <c r="F769" s="60" t="n">
        <v>63201000</v>
      </c>
      <c r="G769" s="60" t="inlineStr">
        <is>
          <t>차량유지비</t>
        </is>
      </c>
      <c r="H769" s="61" t="n">
        <v>3039410</v>
      </c>
      <c r="J769" s="63">
        <f>IF($A769="","",IFERROR(INDEX(부서매핑!$C$5:$C$504,MATCH($D769&amp;"",부서매핑!$A$5:$A$504,0)),"미매핑"))</f>
        <v/>
      </c>
      <c r="K769" s="63">
        <f>IF($A769="","",IFERROR(INDEX(계정매핑!$C$5:$C$504,MATCH($F769&amp;"",계정매핑!$A$5:$A$504,0)),"미매핑"))</f>
        <v/>
      </c>
      <c r="L769" s="4">
        <f>IF($A769="","",VALUE($A769&amp;""))</f>
        <v/>
      </c>
      <c r="M769" s="4">
        <f>IF($A769="","",VALUE($B769&amp;""))</f>
        <v/>
      </c>
      <c r="N769" s="64">
        <f>IF($A769="","",$H769*설정!$C$15)</f>
        <v/>
      </c>
      <c r="O769" s="4">
        <f>IF($A769="","",J769&amp;"|"&amp;K769)</f>
        <v/>
      </c>
      <c r="P769" s="63">
        <f>IF($A769="","",IF(COUNTIFS(예산_원본!$T$5:$T$3004,O769,예산_원본!$B$5:$B$3004,설정!$C$8,예산_원본!$U$5:$U$3004,L769)&gt;0,"Y","N"))</f>
        <v/>
      </c>
      <c r="Q769" s="63">
        <f>IF($A769="","",IF(COUNTIF(집계!$E$7:$E$506,O769)&gt;0,"Y","N"))</f>
        <v/>
      </c>
    </row>
    <row r="770">
      <c r="A770" s="60" t="n">
        <v>2025</v>
      </c>
      <c r="B770" s="60" t="n">
        <v>10</v>
      </c>
      <c r="C770" s="60" t="inlineStr">
        <is>
          <t>1000</t>
        </is>
      </c>
      <c r="D770" s="60" t="n">
        <v>1701</v>
      </c>
      <c r="E770" s="60" t="inlineStr">
        <is>
          <t>IT운영</t>
        </is>
      </c>
      <c r="F770" s="60" t="n">
        <v>62101000</v>
      </c>
      <c r="G770" s="60" t="inlineStr">
        <is>
          <t>여비교통비-국내</t>
        </is>
      </c>
      <c r="H770" s="61" t="n">
        <v>1143100</v>
      </c>
      <c r="J770" s="63">
        <f>IF($A770="","",IFERROR(INDEX(부서매핑!$C$5:$C$504,MATCH($D770&amp;"",부서매핑!$A$5:$A$504,0)),"미매핑"))</f>
        <v/>
      </c>
      <c r="K770" s="63">
        <f>IF($A770="","",IFERROR(INDEX(계정매핑!$C$5:$C$504,MATCH($F770&amp;"",계정매핑!$A$5:$A$504,0)),"미매핑"))</f>
        <v/>
      </c>
      <c r="L770" s="4">
        <f>IF($A770="","",VALUE($A770&amp;""))</f>
        <v/>
      </c>
      <c r="M770" s="4">
        <f>IF($A770="","",VALUE($B770&amp;""))</f>
        <v/>
      </c>
      <c r="N770" s="64">
        <f>IF($A770="","",$H770*설정!$C$15)</f>
        <v/>
      </c>
      <c r="O770" s="4">
        <f>IF($A770="","",J770&amp;"|"&amp;K770)</f>
        <v/>
      </c>
      <c r="P770" s="63">
        <f>IF($A770="","",IF(COUNTIFS(예산_원본!$T$5:$T$3004,O770,예산_원본!$B$5:$B$3004,설정!$C$8,예산_원본!$U$5:$U$3004,L770)&gt;0,"Y","N"))</f>
        <v/>
      </c>
      <c r="Q770" s="63">
        <f>IF($A770="","",IF(COUNTIF(집계!$E$7:$E$506,O770)&gt;0,"Y","N"))</f>
        <v/>
      </c>
    </row>
    <row r="771">
      <c r="A771" s="60" t="n">
        <v>2025</v>
      </c>
      <c r="B771" s="60" t="n">
        <v>10</v>
      </c>
      <c r="C771" s="60" t="inlineStr">
        <is>
          <t>1000</t>
        </is>
      </c>
      <c r="D771" s="60" t="n">
        <v>1701</v>
      </c>
      <c r="E771" s="60" t="inlineStr">
        <is>
          <t>IT운영</t>
        </is>
      </c>
      <c r="F771" s="60" t="n">
        <v>62102000</v>
      </c>
      <c r="G771" s="60" t="inlineStr">
        <is>
          <t>여비교통비-해외</t>
        </is>
      </c>
      <c r="H771" s="61" t="n">
        <v>209360</v>
      </c>
      <c r="J771" s="63">
        <f>IF($A771="","",IFERROR(INDEX(부서매핑!$C$5:$C$504,MATCH($D771&amp;"",부서매핑!$A$5:$A$504,0)),"미매핑"))</f>
        <v/>
      </c>
      <c r="K771" s="63">
        <f>IF($A771="","",IFERROR(INDEX(계정매핑!$C$5:$C$504,MATCH($F771&amp;"",계정매핑!$A$5:$A$504,0)),"미매핑"))</f>
        <v/>
      </c>
      <c r="L771" s="4">
        <f>IF($A771="","",VALUE($A771&amp;""))</f>
        <v/>
      </c>
      <c r="M771" s="4">
        <f>IF($A771="","",VALUE($B771&amp;""))</f>
        <v/>
      </c>
      <c r="N771" s="64">
        <f>IF($A771="","",$H771*설정!$C$15)</f>
        <v/>
      </c>
      <c r="O771" s="4">
        <f>IF($A771="","",J771&amp;"|"&amp;K771)</f>
        <v/>
      </c>
      <c r="P771" s="63">
        <f>IF($A771="","",IF(COUNTIFS(예산_원본!$T$5:$T$3004,O771,예산_원본!$B$5:$B$3004,설정!$C$8,예산_원본!$U$5:$U$3004,L771)&gt;0,"Y","N"))</f>
        <v/>
      </c>
      <c r="Q771" s="63">
        <f>IF($A771="","",IF(COUNTIF(집계!$E$7:$E$506,O771)&gt;0,"Y","N"))</f>
        <v/>
      </c>
    </row>
    <row r="772">
      <c r="A772" s="60" t="n">
        <v>2025</v>
      </c>
      <c r="B772" s="60" t="n">
        <v>10</v>
      </c>
      <c r="C772" s="60" t="inlineStr">
        <is>
          <t>1000</t>
        </is>
      </c>
      <c r="D772" s="60" t="n">
        <v>1701</v>
      </c>
      <c r="E772" s="60" t="inlineStr">
        <is>
          <t>IT운영</t>
        </is>
      </c>
      <c r="F772" s="60" t="n">
        <v>62201000</v>
      </c>
      <c r="G772" s="60" t="inlineStr">
        <is>
          <t>통신비</t>
        </is>
      </c>
      <c r="H772" s="61" t="n">
        <v>15301650</v>
      </c>
      <c r="J772" s="63">
        <f>IF($A772="","",IFERROR(INDEX(부서매핑!$C$5:$C$504,MATCH($D772&amp;"",부서매핑!$A$5:$A$504,0)),"미매핑"))</f>
        <v/>
      </c>
      <c r="K772" s="63">
        <f>IF($A772="","",IFERROR(INDEX(계정매핑!$C$5:$C$504,MATCH($F772&amp;"",계정매핑!$A$5:$A$504,0)),"미매핑"))</f>
        <v/>
      </c>
      <c r="L772" s="4">
        <f>IF($A772="","",VALUE($A772&amp;""))</f>
        <v/>
      </c>
      <c r="M772" s="4">
        <f>IF($A772="","",VALUE($B772&amp;""))</f>
        <v/>
      </c>
      <c r="N772" s="64">
        <f>IF($A772="","",$H772*설정!$C$15)</f>
        <v/>
      </c>
      <c r="O772" s="4">
        <f>IF($A772="","",J772&amp;"|"&amp;K772)</f>
        <v/>
      </c>
      <c r="P772" s="63">
        <f>IF($A772="","",IF(COUNTIFS(예산_원본!$T$5:$T$3004,O772,예산_원본!$B$5:$B$3004,설정!$C$8,예산_원본!$U$5:$U$3004,L772)&gt;0,"Y","N"))</f>
        <v/>
      </c>
      <c r="Q772" s="63">
        <f>IF($A772="","",IF(COUNTIF(집계!$E$7:$E$506,O772)&gt;0,"Y","N"))</f>
        <v/>
      </c>
    </row>
    <row r="773">
      <c r="A773" s="60" t="n">
        <v>2025</v>
      </c>
      <c r="B773" s="60" t="n">
        <v>10</v>
      </c>
      <c r="C773" s="60" t="inlineStr">
        <is>
          <t>1000</t>
        </is>
      </c>
      <c r="D773" s="60" t="n">
        <v>1701</v>
      </c>
      <c r="E773" s="60" t="inlineStr">
        <is>
          <t>IT운영</t>
        </is>
      </c>
      <c r="F773" s="60" t="n">
        <v>62301000</v>
      </c>
      <c r="G773" s="60" t="inlineStr">
        <is>
          <t>소모품비</t>
        </is>
      </c>
      <c r="H773" s="61" t="n">
        <v>982590</v>
      </c>
      <c r="J773" s="63">
        <f>IF($A773="","",IFERROR(INDEX(부서매핑!$C$5:$C$504,MATCH($D773&amp;"",부서매핑!$A$5:$A$504,0)),"미매핑"))</f>
        <v/>
      </c>
      <c r="K773" s="63">
        <f>IF($A773="","",IFERROR(INDEX(계정매핑!$C$5:$C$504,MATCH($F773&amp;"",계정매핑!$A$5:$A$504,0)),"미매핑"))</f>
        <v/>
      </c>
      <c r="L773" s="4">
        <f>IF($A773="","",VALUE($A773&amp;""))</f>
        <v/>
      </c>
      <c r="M773" s="4">
        <f>IF($A773="","",VALUE($B773&amp;""))</f>
        <v/>
      </c>
      <c r="N773" s="64">
        <f>IF($A773="","",$H773*설정!$C$15)</f>
        <v/>
      </c>
      <c r="O773" s="4">
        <f>IF($A773="","",J773&amp;"|"&amp;K773)</f>
        <v/>
      </c>
      <c r="P773" s="63">
        <f>IF($A773="","",IF(COUNTIFS(예산_원본!$T$5:$T$3004,O773,예산_원본!$B$5:$B$3004,설정!$C$8,예산_원본!$U$5:$U$3004,L773)&gt;0,"Y","N"))</f>
        <v/>
      </c>
      <c r="Q773" s="63">
        <f>IF($A773="","",IF(COUNTIF(집계!$E$7:$E$506,O773)&gt;0,"Y","N"))</f>
        <v/>
      </c>
    </row>
    <row r="774">
      <c r="A774" s="60" t="n">
        <v>2025</v>
      </c>
      <c r="B774" s="60" t="n">
        <v>10</v>
      </c>
      <c r="C774" s="60" t="inlineStr">
        <is>
          <t>1000</t>
        </is>
      </c>
      <c r="D774" s="60" t="n">
        <v>1701</v>
      </c>
      <c r="E774" s="60" t="inlineStr">
        <is>
          <t>IT운영</t>
        </is>
      </c>
      <c r="F774" s="60" t="n">
        <v>62501000</v>
      </c>
      <c r="G774" s="60" t="inlineStr">
        <is>
          <t>회의비</t>
        </is>
      </c>
      <c r="H774" s="61" t="n">
        <v>279640</v>
      </c>
      <c r="J774" s="63">
        <f>IF($A774="","",IFERROR(INDEX(부서매핑!$C$5:$C$504,MATCH($D774&amp;"",부서매핑!$A$5:$A$504,0)),"미매핑"))</f>
        <v/>
      </c>
      <c r="K774" s="63">
        <f>IF($A774="","",IFERROR(INDEX(계정매핑!$C$5:$C$504,MATCH($F774&amp;"",계정매핑!$A$5:$A$504,0)),"미매핑"))</f>
        <v/>
      </c>
      <c r="L774" s="4">
        <f>IF($A774="","",VALUE($A774&amp;""))</f>
        <v/>
      </c>
      <c r="M774" s="4">
        <f>IF($A774="","",VALUE($B774&amp;""))</f>
        <v/>
      </c>
      <c r="N774" s="64">
        <f>IF($A774="","",$H774*설정!$C$15)</f>
        <v/>
      </c>
      <c r="O774" s="4">
        <f>IF($A774="","",J774&amp;"|"&amp;K774)</f>
        <v/>
      </c>
      <c r="P774" s="63">
        <f>IF($A774="","",IF(COUNTIFS(예산_원본!$T$5:$T$3004,O774,예산_원본!$B$5:$B$3004,설정!$C$8,예산_원본!$U$5:$U$3004,L774)&gt;0,"Y","N"))</f>
        <v/>
      </c>
      <c r="Q774" s="63">
        <f>IF($A774="","",IF(COUNTIF(집계!$E$7:$E$506,O774)&gt;0,"Y","N"))</f>
        <v/>
      </c>
    </row>
    <row r="775">
      <c r="A775" s="60" t="n">
        <v>2025</v>
      </c>
      <c r="B775" s="60" t="n">
        <v>10</v>
      </c>
      <c r="C775" s="60" t="inlineStr">
        <is>
          <t>1000</t>
        </is>
      </c>
      <c r="D775" s="60" t="n">
        <v>1701</v>
      </c>
      <c r="E775" s="60" t="inlineStr">
        <is>
          <t>IT운영</t>
        </is>
      </c>
      <c r="F775" s="60" t="n">
        <v>63001000</v>
      </c>
      <c r="G775" s="60" t="inlineStr">
        <is>
          <t>전산운영비-SW유지보수</t>
        </is>
      </c>
      <c r="H775" s="61" t="n">
        <v>107316980</v>
      </c>
      <c r="J775" s="63">
        <f>IF($A775="","",IFERROR(INDEX(부서매핑!$C$5:$C$504,MATCH($D775&amp;"",부서매핑!$A$5:$A$504,0)),"미매핑"))</f>
        <v/>
      </c>
      <c r="K775" s="63">
        <f>IF($A775="","",IFERROR(INDEX(계정매핑!$C$5:$C$504,MATCH($F775&amp;"",계정매핑!$A$5:$A$504,0)),"미매핑"))</f>
        <v/>
      </c>
      <c r="L775" s="4">
        <f>IF($A775="","",VALUE($A775&amp;""))</f>
        <v/>
      </c>
      <c r="M775" s="4">
        <f>IF($A775="","",VALUE($B775&amp;""))</f>
        <v/>
      </c>
      <c r="N775" s="64">
        <f>IF($A775="","",$H775*설정!$C$15)</f>
        <v/>
      </c>
      <c r="O775" s="4">
        <f>IF($A775="","",J775&amp;"|"&amp;K775)</f>
        <v/>
      </c>
      <c r="P775" s="63">
        <f>IF($A775="","",IF(COUNTIFS(예산_원본!$T$5:$T$3004,O775,예산_원본!$B$5:$B$3004,설정!$C$8,예산_원본!$U$5:$U$3004,L775)&gt;0,"Y","N"))</f>
        <v/>
      </c>
      <c r="Q775" s="63">
        <f>IF($A775="","",IF(COUNTIF(집계!$E$7:$E$506,O775)&gt;0,"Y","N"))</f>
        <v/>
      </c>
    </row>
    <row r="776">
      <c r="A776" s="60" t="n">
        <v>2025</v>
      </c>
      <c r="B776" s="60" t="n">
        <v>10</v>
      </c>
      <c r="C776" s="60" t="inlineStr">
        <is>
          <t>1000</t>
        </is>
      </c>
      <c r="D776" s="60" t="n">
        <v>1701</v>
      </c>
      <c r="E776" s="60" t="inlineStr">
        <is>
          <t>IT운영</t>
        </is>
      </c>
      <c r="F776" s="60" t="n">
        <v>63002000</v>
      </c>
      <c r="G776" s="60" t="inlineStr">
        <is>
          <t>전산운영비-클라우드</t>
        </is>
      </c>
      <c r="H776" s="61" t="n">
        <v>78793250</v>
      </c>
      <c r="J776" s="63">
        <f>IF($A776="","",IFERROR(INDEX(부서매핑!$C$5:$C$504,MATCH($D776&amp;"",부서매핑!$A$5:$A$504,0)),"미매핑"))</f>
        <v/>
      </c>
      <c r="K776" s="63">
        <f>IF($A776="","",IFERROR(INDEX(계정매핑!$C$5:$C$504,MATCH($F776&amp;"",계정매핑!$A$5:$A$504,0)),"미매핑"))</f>
        <v/>
      </c>
      <c r="L776" s="4">
        <f>IF($A776="","",VALUE($A776&amp;""))</f>
        <v/>
      </c>
      <c r="M776" s="4">
        <f>IF($A776="","",VALUE($B776&amp;""))</f>
        <v/>
      </c>
      <c r="N776" s="64">
        <f>IF($A776="","",$H776*설정!$C$15)</f>
        <v/>
      </c>
      <c r="O776" s="4">
        <f>IF($A776="","",J776&amp;"|"&amp;K776)</f>
        <v/>
      </c>
      <c r="P776" s="63">
        <f>IF($A776="","",IF(COUNTIFS(예산_원본!$T$5:$T$3004,O776,예산_원본!$B$5:$B$3004,설정!$C$8,예산_원본!$U$5:$U$3004,L776)&gt;0,"Y","N"))</f>
        <v/>
      </c>
      <c r="Q776" s="63">
        <f>IF($A776="","",IF(COUNTIF(집계!$E$7:$E$506,O776)&gt;0,"Y","N"))</f>
        <v/>
      </c>
    </row>
    <row r="777">
      <c r="A777" s="60" t="n">
        <v>2025</v>
      </c>
      <c r="B777" s="60" t="n">
        <v>10</v>
      </c>
      <c r="C777" s="60" t="inlineStr">
        <is>
          <t>1000</t>
        </is>
      </c>
      <c r="D777" s="60" t="n">
        <v>1801</v>
      </c>
      <c r="E777" s="60" t="inlineStr">
        <is>
          <t>고객서비스</t>
        </is>
      </c>
      <c r="F777" s="60" t="n">
        <v>62101000</v>
      </c>
      <c r="G777" s="60" t="inlineStr">
        <is>
          <t>여비교통비-국내</t>
        </is>
      </c>
      <c r="H777" s="61" t="n">
        <v>812550</v>
      </c>
      <c r="J777" s="63">
        <f>IF($A777="","",IFERROR(INDEX(부서매핑!$C$5:$C$504,MATCH($D777&amp;"",부서매핑!$A$5:$A$504,0)),"미매핑"))</f>
        <v/>
      </c>
      <c r="K777" s="63">
        <f>IF($A777="","",IFERROR(INDEX(계정매핑!$C$5:$C$504,MATCH($F777&amp;"",계정매핑!$A$5:$A$504,0)),"미매핑"))</f>
        <v/>
      </c>
      <c r="L777" s="4">
        <f>IF($A777="","",VALUE($A777&amp;""))</f>
        <v/>
      </c>
      <c r="M777" s="4">
        <f>IF($A777="","",VALUE($B777&amp;""))</f>
        <v/>
      </c>
      <c r="N777" s="64">
        <f>IF($A777="","",$H777*설정!$C$15)</f>
        <v/>
      </c>
      <c r="O777" s="4">
        <f>IF($A777="","",J777&amp;"|"&amp;K777)</f>
        <v/>
      </c>
      <c r="P777" s="63">
        <f>IF($A777="","",IF(COUNTIFS(예산_원본!$T$5:$T$3004,O777,예산_원본!$B$5:$B$3004,설정!$C$8,예산_원본!$U$5:$U$3004,L777)&gt;0,"Y","N"))</f>
        <v/>
      </c>
      <c r="Q777" s="63">
        <f>IF($A777="","",IF(COUNTIF(집계!$E$7:$E$506,O777)&gt;0,"Y","N"))</f>
        <v/>
      </c>
    </row>
    <row r="778">
      <c r="A778" s="60" t="n">
        <v>2025</v>
      </c>
      <c r="B778" s="60" t="n">
        <v>10</v>
      </c>
      <c r="C778" s="60" t="inlineStr">
        <is>
          <t>1000</t>
        </is>
      </c>
      <c r="D778" s="60" t="n">
        <v>1801</v>
      </c>
      <c r="E778" s="60" t="inlineStr">
        <is>
          <t>고객서비스</t>
        </is>
      </c>
      <c r="F778" s="60" t="n">
        <v>62102000</v>
      </c>
      <c r="G778" s="60" t="inlineStr">
        <is>
          <t>여비교통비-해외</t>
        </is>
      </c>
      <c r="H778" s="61" t="n">
        <v>151990</v>
      </c>
      <c r="J778" s="63">
        <f>IF($A778="","",IFERROR(INDEX(부서매핑!$C$5:$C$504,MATCH($D778&amp;"",부서매핑!$A$5:$A$504,0)),"미매핑"))</f>
        <v/>
      </c>
      <c r="K778" s="63">
        <f>IF($A778="","",IFERROR(INDEX(계정매핑!$C$5:$C$504,MATCH($F778&amp;"",계정매핑!$A$5:$A$504,0)),"미매핑"))</f>
        <v/>
      </c>
      <c r="L778" s="4">
        <f>IF($A778="","",VALUE($A778&amp;""))</f>
        <v/>
      </c>
      <c r="M778" s="4">
        <f>IF($A778="","",VALUE($B778&amp;""))</f>
        <v/>
      </c>
      <c r="N778" s="64">
        <f>IF($A778="","",$H778*설정!$C$15)</f>
        <v/>
      </c>
      <c r="O778" s="4">
        <f>IF($A778="","",J778&amp;"|"&amp;K778)</f>
        <v/>
      </c>
      <c r="P778" s="63">
        <f>IF($A778="","",IF(COUNTIFS(예산_원본!$T$5:$T$3004,O778,예산_원본!$B$5:$B$3004,설정!$C$8,예산_원본!$U$5:$U$3004,L778)&gt;0,"Y","N"))</f>
        <v/>
      </c>
      <c r="Q778" s="63">
        <f>IF($A778="","",IF(COUNTIF(집계!$E$7:$E$506,O778)&gt;0,"Y","N"))</f>
        <v/>
      </c>
    </row>
    <row r="779">
      <c r="A779" s="60" t="n">
        <v>2025</v>
      </c>
      <c r="B779" s="60" t="n">
        <v>10</v>
      </c>
      <c r="C779" s="60" t="inlineStr">
        <is>
          <t>1000</t>
        </is>
      </c>
      <c r="D779" s="60" t="n">
        <v>1801</v>
      </c>
      <c r="E779" s="60" t="inlineStr">
        <is>
          <t>고객서비스</t>
        </is>
      </c>
      <c r="F779" s="60" t="n">
        <v>62201000</v>
      </c>
      <c r="G779" s="60" t="inlineStr">
        <is>
          <t>통신비</t>
        </is>
      </c>
      <c r="H779" s="61" t="n">
        <v>18373220</v>
      </c>
      <c r="J779" s="63">
        <f>IF($A779="","",IFERROR(INDEX(부서매핑!$C$5:$C$504,MATCH($D779&amp;"",부서매핑!$A$5:$A$504,0)),"미매핑"))</f>
        <v/>
      </c>
      <c r="K779" s="63">
        <f>IF($A779="","",IFERROR(INDEX(계정매핑!$C$5:$C$504,MATCH($F779&amp;"",계정매핑!$A$5:$A$504,0)),"미매핑"))</f>
        <v/>
      </c>
      <c r="L779" s="4">
        <f>IF($A779="","",VALUE($A779&amp;""))</f>
        <v/>
      </c>
      <c r="M779" s="4">
        <f>IF($A779="","",VALUE($B779&amp;""))</f>
        <v/>
      </c>
      <c r="N779" s="64">
        <f>IF($A779="","",$H779*설정!$C$15)</f>
        <v/>
      </c>
      <c r="O779" s="4">
        <f>IF($A779="","",J779&amp;"|"&amp;K779)</f>
        <v/>
      </c>
      <c r="P779" s="63">
        <f>IF($A779="","",IF(COUNTIFS(예산_원본!$T$5:$T$3004,O779,예산_원본!$B$5:$B$3004,설정!$C$8,예산_원본!$U$5:$U$3004,L779)&gt;0,"Y","N"))</f>
        <v/>
      </c>
      <c r="Q779" s="63">
        <f>IF($A779="","",IF(COUNTIF(집계!$E$7:$E$506,O779)&gt;0,"Y","N"))</f>
        <v/>
      </c>
    </row>
    <row r="780">
      <c r="A780" s="60" t="n">
        <v>2025</v>
      </c>
      <c r="B780" s="60" t="n">
        <v>10</v>
      </c>
      <c r="C780" s="60" t="inlineStr">
        <is>
          <t>1000</t>
        </is>
      </c>
      <c r="D780" s="60" t="n">
        <v>1801</v>
      </c>
      <c r="E780" s="60" t="inlineStr">
        <is>
          <t>고객서비스</t>
        </is>
      </c>
      <c r="F780" s="60" t="n">
        <v>62301000</v>
      </c>
      <c r="G780" s="60" t="inlineStr">
        <is>
          <t>소모품비</t>
        </is>
      </c>
      <c r="H780" s="61" t="n">
        <v>1458700</v>
      </c>
      <c r="J780" s="63">
        <f>IF($A780="","",IFERROR(INDEX(부서매핑!$C$5:$C$504,MATCH($D780&amp;"",부서매핑!$A$5:$A$504,0)),"미매핑"))</f>
        <v/>
      </c>
      <c r="K780" s="63">
        <f>IF($A780="","",IFERROR(INDEX(계정매핑!$C$5:$C$504,MATCH($F780&amp;"",계정매핑!$A$5:$A$504,0)),"미매핑"))</f>
        <v/>
      </c>
      <c r="L780" s="4">
        <f>IF($A780="","",VALUE($A780&amp;""))</f>
        <v/>
      </c>
      <c r="M780" s="4">
        <f>IF($A780="","",VALUE($B780&amp;""))</f>
        <v/>
      </c>
      <c r="N780" s="64">
        <f>IF($A780="","",$H780*설정!$C$15)</f>
        <v/>
      </c>
      <c r="O780" s="4">
        <f>IF($A780="","",J780&amp;"|"&amp;K780)</f>
        <v/>
      </c>
      <c r="P780" s="63">
        <f>IF($A780="","",IF(COUNTIFS(예산_원본!$T$5:$T$3004,O780,예산_원본!$B$5:$B$3004,설정!$C$8,예산_원본!$U$5:$U$3004,L780)&gt;0,"Y","N"))</f>
        <v/>
      </c>
      <c r="Q780" s="63">
        <f>IF($A780="","",IF(COUNTIF(집계!$E$7:$E$506,O780)&gt;0,"Y","N"))</f>
        <v/>
      </c>
    </row>
    <row r="781">
      <c r="A781" s="60" t="n">
        <v>2025</v>
      </c>
      <c r="B781" s="60" t="n">
        <v>10</v>
      </c>
      <c r="C781" s="60" t="inlineStr">
        <is>
          <t>1000</t>
        </is>
      </c>
      <c r="D781" s="60" t="n">
        <v>1801</v>
      </c>
      <c r="E781" s="60" t="inlineStr">
        <is>
          <t>고객서비스</t>
        </is>
      </c>
      <c r="F781" s="60" t="n">
        <v>62401000</v>
      </c>
      <c r="G781" s="60" t="inlineStr">
        <is>
          <t>도서인쇄비</t>
        </is>
      </c>
      <c r="H781" s="61" t="n">
        <v>7231600</v>
      </c>
      <c r="J781" s="63">
        <f>IF($A781="","",IFERROR(INDEX(부서매핑!$C$5:$C$504,MATCH($D781&amp;"",부서매핑!$A$5:$A$504,0)),"미매핑"))</f>
        <v/>
      </c>
      <c r="K781" s="63">
        <f>IF($A781="","",IFERROR(INDEX(계정매핑!$C$5:$C$504,MATCH($F781&amp;"",계정매핑!$A$5:$A$504,0)),"미매핑"))</f>
        <v/>
      </c>
      <c r="L781" s="4">
        <f>IF($A781="","",VALUE($A781&amp;""))</f>
        <v/>
      </c>
      <c r="M781" s="4">
        <f>IF($A781="","",VALUE($B781&amp;""))</f>
        <v/>
      </c>
      <c r="N781" s="64">
        <f>IF($A781="","",$H781*설정!$C$15)</f>
        <v/>
      </c>
      <c r="O781" s="4">
        <f>IF($A781="","",J781&amp;"|"&amp;K781)</f>
        <v/>
      </c>
      <c r="P781" s="63">
        <f>IF($A781="","",IF(COUNTIFS(예산_원본!$T$5:$T$3004,O781,예산_원본!$B$5:$B$3004,설정!$C$8,예산_원본!$U$5:$U$3004,L781)&gt;0,"Y","N"))</f>
        <v/>
      </c>
      <c r="Q781" s="63">
        <f>IF($A781="","",IF(COUNTIF(집계!$E$7:$E$506,O781)&gt;0,"Y","N"))</f>
        <v/>
      </c>
    </row>
    <row r="782">
      <c r="A782" s="60" t="n">
        <v>2025</v>
      </c>
      <c r="B782" s="60" t="n">
        <v>10</v>
      </c>
      <c r="C782" s="60" t="inlineStr">
        <is>
          <t>1000</t>
        </is>
      </c>
      <c r="D782" s="60" t="n">
        <v>1801</v>
      </c>
      <c r="E782" s="60" t="inlineStr">
        <is>
          <t>고객서비스</t>
        </is>
      </c>
      <c r="F782" s="60" t="n">
        <v>62501000</v>
      </c>
      <c r="G782" s="60" t="inlineStr">
        <is>
          <t>회의비</t>
        </is>
      </c>
      <c r="H782" s="61" t="n">
        <v>447670</v>
      </c>
      <c r="J782" s="63">
        <f>IF($A782="","",IFERROR(INDEX(부서매핑!$C$5:$C$504,MATCH($D782&amp;"",부서매핑!$A$5:$A$504,0)),"미매핑"))</f>
        <v/>
      </c>
      <c r="K782" s="63">
        <f>IF($A782="","",IFERROR(INDEX(계정매핑!$C$5:$C$504,MATCH($F782&amp;"",계정매핑!$A$5:$A$504,0)),"미매핑"))</f>
        <v/>
      </c>
      <c r="L782" s="4">
        <f>IF($A782="","",VALUE($A782&amp;""))</f>
        <v/>
      </c>
      <c r="M782" s="4">
        <f>IF($A782="","",VALUE($B782&amp;""))</f>
        <v/>
      </c>
      <c r="N782" s="64">
        <f>IF($A782="","",$H782*설정!$C$15)</f>
        <v/>
      </c>
      <c r="O782" s="4">
        <f>IF($A782="","",J782&amp;"|"&amp;K782)</f>
        <v/>
      </c>
      <c r="P782" s="63">
        <f>IF($A782="","",IF(COUNTIFS(예산_원본!$T$5:$T$3004,O782,예산_원본!$B$5:$B$3004,설정!$C$8,예산_원본!$U$5:$U$3004,L782)&gt;0,"Y","N"))</f>
        <v/>
      </c>
      <c r="Q782" s="63">
        <f>IF($A782="","",IF(COUNTIF(집계!$E$7:$E$506,O782)&gt;0,"Y","N"))</f>
        <v/>
      </c>
    </row>
    <row r="783">
      <c r="A783" s="60" t="n">
        <v>2025</v>
      </c>
      <c r="B783" s="60" t="n">
        <v>10</v>
      </c>
      <c r="C783" s="60" t="inlineStr">
        <is>
          <t>1000</t>
        </is>
      </c>
      <c r="D783" s="60" t="n">
        <v>1801</v>
      </c>
      <c r="E783" s="60" t="inlineStr">
        <is>
          <t>고객서비스</t>
        </is>
      </c>
      <c r="F783" s="60" t="n">
        <v>62901000</v>
      </c>
      <c r="G783" s="60" t="inlineStr">
        <is>
          <t>지급수수료-컨설팅</t>
        </is>
      </c>
      <c r="H783" s="61" t="n">
        <v>33151320</v>
      </c>
      <c r="J783" s="63">
        <f>IF($A783="","",IFERROR(INDEX(부서매핑!$C$5:$C$504,MATCH($D783&amp;"",부서매핑!$A$5:$A$504,0)),"미매핑"))</f>
        <v/>
      </c>
      <c r="K783" s="63">
        <f>IF($A783="","",IFERROR(INDEX(계정매핑!$C$5:$C$504,MATCH($F783&amp;"",계정매핑!$A$5:$A$504,0)),"미매핑"))</f>
        <v/>
      </c>
      <c r="L783" s="4">
        <f>IF($A783="","",VALUE($A783&amp;""))</f>
        <v/>
      </c>
      <c r="M783" s="4">
        <f>IF($A783="","",VALUE($B783&amp;""))</f>
        <v/>
      </c>
      <c r="N783" s="64">
        <f>IF($A783="","",$H783*설정!$C$15)</f>
        <v/>
      </c>
      <c r="O783" s="4">
        <f>IF($A783="","",J783&amp;"|"&amp;K783)</f>
        <v/>
      </c>
      <c r="P783" s="63">
        <f>IF($A783="","",IF(COUNTIFS(예산_원본!$T$5:$T$3004,O783,예산_원본!$B$5:$B$3004,설정!$C$8,예산_원본!$U$5:$U$3004,L783)&gt;0,"Y","N"))</f>
        <v/>
      </c>
      <c r="Q783" s="63">
        <f>IF($A783="","",IF(COUNTIF(집계!$E$7:$E$506,O783)&gt;0,"Y","N"))</f>
        <v/>
      </c>
    </row>
    <row r="784">
      <c r="A784" s="60" t="n">
        <v>2025</v>
      </c>
      <c r="B784" s="60" t="n">
        <v>10</v>
      </c>
      <c r="C784" s="60" t="inlineStr">
        <is>
          <t>1000</t>
        </is>
      </c>
      <c r="D784" s="60" t="n">
        <v>1801</v>
      </c>
      <c r="E784" s="60" t="inlineStr">
        <is>
          <t>고객서비스</t>
        </is>
      </c>
      <c r="F784" s="60" t="n">
        <v>62902000</v>
      </c>
      <c r="G784" s="60" t="inlineStr">
        <is>
          <t>지급수수료-기타</t>
        </is>
      </c>
      <c r="H784" s="61" t="n">
        <v>14481220</v>
      </c>
      <c r="J784" s="63">
        <f>IF($A784="","",IFERROR(INDEX(부서매핑!$C$5:$C$504,MATCH($D784&amp;"",부서매핑!$A$5:$A$504,0)),"미매핑"))</f>
        <v/>
      </c>
      <c r="K784" s="63">
        <f>IF($A784="","",IFERROR(INDEX(계정매핑!$C$5:$C$504,MATCH($F784&amp;"",계정매핑!$A$5:$A$504,0)),"미매핑"))</f>
        <v/>
      </c>
      <c r="L784" s="4">
        <f>IF($A784="","",VALUE($A784&amp;""))</f>
        <v/>
      </c>
      <c r="M784" s="4">
        <f>IF($A784="","",VALUE($B784&amp;""))</f>
        <v/>
      </c>
      <c r="N784" s="64">
        <f>IF($A784="","",$H784*설정!$C$15)</f>
        <v/>
      </c>
      <c r="O784" s="4">
        <f>IF($A784="","",J784&amp;"|"&amp;K784)</f>
        <v/>
      </c>
      <c r="P784" s="63">
        <f>IF($A784="","",IF(COUNTIFS(예산_원본!$T$5:$T$3004,O784,예산_원본!$B$5:$B$3004,설정!$C$8,예산_원본!$U$5:$U$3004,L784)&gt;0,"Y","N"))</f>
        <v/>
      </c>
      <c r="Q784" s="63">
        <f>IF($A784="","",IF(COUNTIF(집계!$E$7:$E$506,O784)&gt;0,"Y","N"))</f>
        <v/>
      </c>
    </row>
    <row r="785">
      <c r="A785" s="60" t="n">
        <v>2025</v>
      </c>
      <c r="B785" s="60" t="n">
        <v>11</v>
      </c>
      <c r="C785" s="60" t="inlineStr">
        <is>
          <t>1000</t>
        </is>
      </c>
      <c r="D785" s="60" t="n">
        <v>1101</v>
      </c>
      <c r="E785" s="60" t="inlineStr">
        <is>
          <t>경영기획</t>
        </is>
      </c>
      <c r="F785" s="60" t="n">
        <v>62101000</v>
      </c>
      <c r="G785" s="60" t="inlineStr">
        <is>
          <t>여비교통비-국내</t>
        </is>
      </c>
      <c r="H785" s="61" t="n">
        <v>2059710</v>
      </c>
      <c r="J785" s="63">
        <f>IF($A785="","",IFERROR(INDEX(부서매핑!$C$5:$C$504,MATCH($D785&amp;"",부서매핑!$A$5:$A$504,0)),"미매핑"))</f>
        <v/>
      </c>
      <c r="K785" s="63">
        <f>IF($A785="","",IFERROR(INDEX(계정매핑!$C$5:$C$504,MATCH($F785&amp;"",계정매핑!$A$5:$A$504,0)),"미매핑"))</f>
        <v/>
      </c>
      <c r="L785" s="4">
        <f>IF($A785="","",VALUE($A785&amp;""))</f>
        <v/>
      </c>
      <c r="M785" s="4">
        <f>IF($A785="","",VALUE($B785&amp;""))</f>
        <v/>
      </c>
      <c r="N785" s="64">
        <f>IF($A785="","",$H785*설정!$C$15)</f>
        <v/>
      </c>
      <c r="O785" s="4">
        <f>IF($A785="","",J785&amp;"|"&amp;K785)</f>
        <v/>
      </c>
      <c r="P785" s="63">
        <f>IF($A785="","",IF(COUNTIFS(예산_원본!$T$5:$T$3004,O785,예산_원본!$B$5:$B$3004,설정!$C$8,예산_원본!$U$5:$U$3004,L785)&gt;0,"Y","N"))</f>
        <v/>
      </c>
      <c r="Q785" s="63">
        <f>IF($A785="","",IF(COUNTIF(집계!$E$7:$E$506,O785)&gt;0,"Y","N"))</f>
        <v/>
      </c>
    </row>
    <row r="786">
      <c r="A786" s="60" t="n">
        <v>2025</v>
      </c>
      <c r="B786" s="60" t="n">
        <v>11</v>
      </c>
      <c r="C786" s="60" t="inlineStr">
        <is>
          <t>1000</t>
        </is>
      </c>
      <c r="D786" s="60" t="n">
        <v>1101</v>
      </c>
      <c r="E786" s="60" t="inlineStr">
        <is>
          <t>경영기획</t>
        </is>
      </c>
      <c r="F786" s="60" t="n">
        <v>62102000</v>
      </c>
      <c r="G786" s="60" t="inlineStr">
        <is>
          <t>여비교통비-해외</t>
        </is>
      </c>
      <c r="H786" s="61" t="n">
        <v>363220</v>
      </c>
      <c r="J786" s="63">
        <f>IF($A786="","",IFERROR(INDEX(부서매핑!$C$5:$C$504,MATCH($D786&amp;"",부서매핑!$A$5:$A$504,0)),"미매핑"))</f>
        <v/>
      </c>
      <c r="K786" s="63">
        <f>IF($A786="","",IFERROR(INDEX(계정매핑!$C$5:$C$504,MATCH($F786&amp;"",계정매핑!$A$5:$A$504,0)),"미매핑"))</f>
        <v/>
      </c>
      <c r="L786" s="4">
        <f>IF($A786="","",VALUE($A786&amp;""))</f>
        <v/>
      </c>
      <c r="M786" s="4">
        <f>IF($A786="","",VALUE($B786&amp;""))</f>
        <v/>
      </c>
      <c r="N786" s="64">
        <f>IF($A786="","",$H786*설정!$C$15)</f>
        <v/>
      </c>
      <c r="O786" s="4">
        <f>IF($A786="","",J786&amp;"|"&amp;K786)</f>
        <v/>
      </c>
      <c r="P786" s="63">
        <f>IF($A786="","",IF(COUNTIFS(예산_원본!$T$5:$T$3004,O786,예산_원본!$B$5:$B$3004,설정!$C$8,예산_원본!$U$5:$U$3004,L786)&gt;0,"Y","N"))</f>
        <v/>
      </c>
      <c r="Q786" s="63">
        <f>IF($A786="","",IF(COUNTIF(집계!$E$7:$E$506,O786)&gt;0,"Y","N"))</f>
        <v/>
      </c>
    </row>
    <row r="787">
      <c r="A787" s="60" t="n">
        <v>2025</v>
      </c>
      <c r="B787" s="60" t="n">
        <v>11</v>
      </c>
      <c r="C787" s="60" t="inlineStr">
        <is>
          <t>1000</t>
        </is>
      </c>
      <c r="D787" s="60" t="n">
        <v>1101</v>
      </c>
      <c r="E787" s="60" t="inlineStr">
        <is>
          <t>경영기획</t>
        </is>
      </c>
      <c r="F787" s="60" t="n">
        <v>62201000</v>
      </c>
      <c r="G787" s="60" t="inlineStr">
        <is>
          <t>통신비</t>
        </is>
      </c>
      <c r="H787" s="61" t="n">
        <v>795000</v>
      </c>
      <c r="J787" s="63">
        <f>IF($A787="","",IFERROR(INDEX(부서매핑!$C$5:$C$504,MATCH($D787&amp;"",부서매핑!$A$5:$A$504,0)),"미매핑"))</f>
        <v/>
      </c>
      <c r="K787" s="63">
        <f>IF($A787="","",IFERROR(INDEX(계정매핑!$C$5:$C$504,MATCH($F787&amp;"",계정매핑!$A$5:$A$504,0)),"미매핑"))</f>
        <v/>
      </c>
      <c r="L787" s="4">
        <f>IF($A787="","",VALUE($A787&amp;""))</f>
        <v/>
      </c>
      <c r="M787" s="4">
        <f>IF($A787="","",VALUE($B787&amp;""))</f>
        <v/>
      </c>
      <c r="N787" s="64">
        <f>IF($A787="","",$H787*설정!$C$15)</f>
        <v/>
      </c>
      <c r="O787" s="4">
        <f>IF($A787="","",J787&amp;"|"&amp;K787)</f>
        <v/>
      </c>
      <c r="P787" s="63">
        <f>IF($A787="","",IF(COUNTIFS(예산_원본!$T$5:$T$3004,O787,예산_원본!$B$5:$B$3004,설정!$C$8,예산_원본!$U$5:$U$3004,L787)&gt;0,"Y","N"))</f>
        <v/>
      </c>
      <c r="Q787" s="63">
        <f>IF($A787="","",IF(COUNTIF(집계!$E$7:$E$506,O787)&gt;0,"Y","N"))</f>
        <v/>
      </c>
    </row>
    <row r="788">
      <c r="A788" s="60" t="n">
        <v>2025</v>
      </c>
      <c r="B788" s="60" t="n">
        <v>11</v>
      </c>
      <c r="C788" s="60" t="inlineStr">
        <is>
          <t>1000</t>
        </is>
      </c>
      <c r="D788" s="60" t="n">
        <v>1101</v>
      </c>
      <c r="E788" s="60" t="inlineStr">
        <is>
          <t>경영기획</t>
        </is>
      </c>
      <c r="F788" s="60" t="n">
        <v>62301000</v>
      </c>
      <c r="G788" s="60" t="inlineStr">
        <is>
          <t>소모품비</t>
        </is>
      </c>
      <c r="H788" s="61" t="n">
        <v>409110</v>
      </c>
      <c r="J788" s="63">
        <f>IF($A788="","",IFERROR(INDEX(부서매핑!$C$5:$C$504,MATCH($D788&amp;"",부서매핑!$A$5:$A$504,0)),"미매핑"))</f>
        <v/>
      </c>
      <c r="K788" s="63">
        <f>IF($A788="","",IFERROR(INDEX(계정매핑!$C$5:$C$504,MATCH($F788&amp;"",계정매핑!$A$5:$A$504,0)),"미매핑"))</f>
        <v/>
      </c>
      <c r="L788" s="4">
        <f>IF($A788="","",VALUE($A788&amp;""))</f>
        <v/>
      </c>
      <c r="M788" s="4">
        <f>IF($A788="","",VALUE($B788&amp;""))</f>
        <v/>
      </c>
      <c r="N788" s="64">
        <f>IF($A788="","",$H788*설정!$C$15)</f>
        <v/>
      </c>
      <c r="O788" s="4">
        <f>IF($A788="","",J788&amp;"|"&amp;K788)</f>
        <v/>
      </c>
      <c r="P788" s="63">
        <f>IF($A788="","",IF(COUNTIFS(예산_원본!$T$5:$T$3004,O788,예산_원본!$B$5:$B$3004,설정!$C$8,예산_원본!$U$5:$U$3004,L788)&gt;0,"Y","N"))</f>
        <v/>
      </c>
      <c r="Q788" s="63">
        <f>IF($A788="","",IF(COUNTIF(집계!$E$7:$E$506,O788)&gt;0,"Y","N"))</f>
        <v/>
      </c>
    </row>
    <row r="789">
      <c r="A789" s="60" t="n">
        <v>2025</v>
      </c>
      <c r="B789" s="60" t="n">
        <v>11</v>
      </c>
      <c r="C789" s="60" t="inlineStr">
        <is>
          <t>1000</t>
        </is>
      </c>
      <c r="D789" s="60" t="n">
        <v>1101</v>
      </c>
      <c r="E789" s="60" t="inlineStr">
        <is>
          <t>경영기획</t>
        </is>
      </c>
      <c r="F789" s="60" t="n">
        <v>62501000</v>
      </c>
      <c r="G789" s="60" t="inlineStr">
        <is>
          <t>회의비</t>
        </is>
      </c>
      <c r="H789" s="61" t="n">
        <v>941670</v>
      </c>
      <c r="J789" s="63">
        <f>IF($A789="","",IFERROR(INDEX(부서매핑!$C$5:$C$504,MATCH($D789&amp;"",부서매핑!$A$5:$A$504,0)),"미매핑"))</f>
        <v/>
      </c>
      <c r="K789" s="63">
        <f>IF($A789="","",IFERROR(INDEX(계정매핑!$C$5:$C$504,MATCH($F789&amp;"",계정매핑!$A$5:$A$504,0)),"미매핑"))</f>
        <v/>
      </c>
      <c r="L789" s="4">
        <f>IF($A789="","",VALUE($A789&amp;""))</f>
        <v/>
      </c>
      <c r="M789" s="4">
        <f>IF($A789="","",VALUE($B789&amp;""))</f>
        <v/>
      </c>
      <c r="N789" s="64">
        <f>IF($A789="","",$H789*설정!$C$15)</f>
        <v/>
      </c>
      <c r="O789" s="4">
        <f>IF($A789="","",J789&amp;"|"&amp;K789)</f>
        <v/>
      </c>
      <c r="P789" s="63">
        <f>IF($A789="","",IF(COUNTIFS(예산_원본!$T$5:$T$3004,O789,예산_원본!$B$5:$B$3004,설정!$C$8,예산_원본!$U$5:$U$3004,L789)&gt;0,"Y","N"))</f>
        <v/>
      </c>
      <c r="Q789" s="63">
        <f>IF($A789="","",IF(COUNTIF(집계!$E$7:$E$506,O789)&gt;0,"Y","N"))</f>
        <v/>
      </c>
    </row>
    <row r="790">
      <c r="A790" s="60" t="n">
        <v>2025</v>
      </c>
      <c r="B790" s="60" t="n">
        <v>11</v>
      </c>
      <c r="C790" s="60" t="inlineStr">
        <is>
          <t>1000</t>
        </is>
      </c>
      <c r="D790" s="60" t="n">
        <v>1101</v>
      </c>
      <c r="E790" s="60" t="inlineStr">
        <is>
          <t>경영기획</t>
        </is>
      </c>
      <c r="F790" s="60" t="n">
        <v>62601000</v>
      </c>
      <c r="G790" s="60" t="inlineStr">
        <is>
          <t>업무추진비</t>
        </is>
      </c>
      <c r="H790" s="61" t="n">
        <v>3847440</v>
      </c>
      <c r="J790" s="63">
        <f>IF($A790="","",IFERROR(INDEX(부서매핑!$C$5:$C$504,MATCH($D790&amp;"",부서매핑!$A$5:$A$504,0)),"미매핑"))</f>
        <v/>
      </c>
      <c r="K790" s="63">
        <f>IF($A790="","",IFERROR(INDEX(계정매핑!$C$5:$C$504,MATCH($F790&amp;"",계정매핑!$A$5:$A$504,0)),"미매핑"))</f>
        <v/>
      </c>
      <c r="L790" s="4">
        <f>IF($A790="","",VALUE($A790&amp;""))</f>
        <v/>
      </c>
      <c r="M790" s="4">
        <f>IF($A790="","",VALUE($B790&amp;""))</f>
        <v/>
      </c>
      <c r="N790" s="64">
        <f>IF($A790="","",$H790*설정!$C$15)</f>
        <v/>
      </c>
      <c r="O790" s="4">
        <f>IF($A790="","",J790&amp;"|"&amp;K790)</f>
        <v/>
      </c>
      <c r="P790" s="63">
        <f>IF($A790="","",IF(COUNTIFS(예산_원본!$T$5:$T$3004,O790,예산_원본!$B$5:$B$3004,설정!$C$8,예산_원본!$U$5:$U$3004,L790)&gt;0,"Y","N"))</f>
        <v/>
      </c>
      <c r="Q790" s="63">
        <f>IF($A790="","",IF(COUNTIF(집계!$E$7:$E$506,O790)&gt;0,"Y","N"))</f>
        <v/>
      </c>
    </row>
    <row r="791">
      <c r="A791" s="60" t="n">
        <v>2025</v>
      </c>
      <c r="B791" s="60" t="n">
        <v>11</v>
      </c>
      <c r="C791" s="60" t="inlineStr">
        <is>
          <t>1000</t>
        </is>
      </c>
      <c r="D791" s="60" t="n">
        <v>1101</v>
      </c>
      <c r="E791" s="60" t="inlineStr">
        <is>
          <t>경영기획</t>
        </is>
      </c>
      <c r="F791" s="60" t="n">
        <v>62901000</v>
      </c>
      <c r="G791" s="60" t="inlineStr">
        <is>
          <t>지급수수료-컨설팅</t>
        </is>
      </c>
      <c r="H791" s="61" t="n">
        <v>14207670</v>
      </c>
      <c r="J791" s="63">
        <f>IF($A791="","",IFERROR(INDEX(부서매핑!$C$5:$C$504,MATCH($D791&amp;"",부서매핑!$A$5:$A$504,0)),"미매핑"))</f>
        <v/>
      </c>
      <c r="K791" s="63">
        <f>IF($A791="","",IFERROR(INDEX(계정매핑!$C$5:$C$504,MATCH($F791&amp;"",계정매핑!$A$5:$A$504,0)),"미매핑"))</f>
        <v/>
      </c>
      <c r="L791" s="4">
        <f>IF($A791="","",VALUE($A791&amp;""))</f>
        <v/>
      </c>
      <c r="M791" s="4">
        <f>IF($A791="","",VALUE($B791&amp;""))</f>
        <v/>
      </c>
      <c r="N791" s="64">
        <f>IF($A791="","",$H791*설정!$C$15)</f>
        <v/>
      </c>
      <c r="O791" s="4">
        <f>IF($A791="","",J791&amp;"|"&amp;K791)</f>
        <v/>
      </c>
      <c r="P791" s="63">
        <f>IF($A791="","",IF(COUNTIFS(예산_원본!$T$5:$T$3004,O791,예산_원본!$B$5:$B$3004,설정!$C$8,예산_원본!$U$5:$U$3004,L791)&gt;0,"Y","N"))</f>
        <v/>
      </c>
      <c r="Q791" s="63">
        <f>IF($A791="","",IF(COUNTIF(집계!$E$7:$E$506,O791)&gt;0,"Y","N"))</f>
        <v/>
      </c>
    </row>
    <row r="792">
      <c r="A792" s="60" t="n">
        <v>2025</v>
      </c>
      <c r="B792" s="60" t="n">
        <v>11</v>
      </c>
      <c r="C792" s="60" t="inlineStr">
        <is>
          <t>1000</t>
        </is>
      </c>
      <c r="D792" s="60" t="n">
        <v>1101</v>
      </c>
      <c r="E792" s="60" t="inlineStr">
        <is>
          <t>경영기획</t>
        </is>
      </c>
      <c r="F792" s="60" t="n">
        <v>62902000</v>
      </c>
      <c r="G792" s="60" t="inlineStr">
        <is>
          <t>지급수수료-기타</t>
        </is>
      </c>
      <c r="H792" s="61" t="n">
        <v>5561110</v>
      </c>
      <c r="J792" s="63">
        <f>IF($A792="","",IFERROR(INDEX(부서매핑!$C$5:$C$504,MATCH($D792&amp;"",부서매핑!$A$5:$A$504,0)),"미매핑"))</f>
        <v/>
      </c>
      <c r="K792" s="63">
        <f>IF($A792="","",IFERROR(INDEX(계정매핑!$C$5:$C$504,MATCH($F792&amp;"",계정매핑!$A$5:$A$504,0)),"미매핑"))</f>
        <v/>
      </c>
      <c r="L792" s="4">
        <f>IF($A792="","",VALUE($A792&amp;""))</f>
        <v/>
      </c>
      <c r="M792" s="4">
        <f>IF($A792="","",VALUE($B792&amp;""))</f>
        <v/>
      </c>
      <c r="N792" s="64">
        <f>IF($A792="","",$H792*설정!$C$15)</f>
        <v/>
      </c>
      <c r="O792" s="4">
        <f>IF($A792="","",J792&amp;"|"&amp;K792)</f>
        <v/>
      </c>
      <c r="P792" s="63">
        <f>IF($A792="","",IF(COUNTIFS(예산_원본!$T$5:$T$3004,O792,예산_원본!$B$5:$B$3004,설정!$C$8,예산_원본!$U$5:$U$3004,L792)&gt;0,"Y","N"))</f>
        <v/>
      </c>
      <c r="Q792" s="63">
        <f>IF($A792="","",IF(COUNTIF(집계!$E$7:$E$506,O792)&gt;0,"Y","N"))</f>
        <v/>
      </c>
    </row>
    <row r="793">
      <c r="A793" s="60" t="n">
        <v>2025</v>
      </c>
      <c r="B793" s="60" t="n">
        <v>11</v>
      </c>
      <c r="C793" s="60" t="inlineStr">
        <is>
          <t>1000</t>
        </is>
      </c>
      <c r="D793" s="60" t="n">
        <v>1201</v>
      </c>
      <c r="E793" s="60" t="inlineStr">
        <is>
          <t>재무회계</t>
        </is>
      </c>
      <c r="F793" s="60" t="n">
        <v>62101000</v>
      </c>
      <c r="G793" s="60" t="inlineStr">
        <is>
          <t>여비교통비-국내</t>
        </is>
      </c>
      <c r="H793" s="61" t="n">
        <v>1320090</v>
      </c>
      <c r="J793" s="63">
        <f>IF($A793="","",IFERROR(INDEX(부서매핑!$C$5:$C$504,MATCH($D793&amp;"",부서매핑!$A$5:$A$504,0)),"미매핑"))</f>
        <v/>
      </c>
      <c r="K793" s="63">
        <f>IF($A793="","",IFERROR(INDEX(계정매핑!$C$5:$C$504,MATCH($F793&amp;"",계정매핑!$A$5:$A$504,0)),"미매핑"))</f>
        <v/>
      </c>
      <c r="L793" s="4">
        <f>IF($A793="","",VALUE($A793&amp;""))</f>
        <v/>
      </c>
      <c r="M793" s="4">
        <f>IF($A793="","",VALUE($B793&amp;""))</f>
        <v/>
      </c>
      <c r="N793" s="64">
        <f>IF($A793="","",$H793*설정!$C$15)</f>
        <v/>
      </c>
      <c r="O793" s="4">
        <f>IF($A793="","",J793&amp;"|"&amp;K793)</f>
        <v/>
      </c>
      <c r="P793" s="63">
        <f>IF($A793="","",IF(COUNTIFS(예산_원본!$T$5:$T$3004,O793,예산_원본!$B$5:$B$3004,설정!$C$8,예산_원본!$U$5:$U$3004,L793)&gt;0,"Y","N"))</f>
        <v/>
      </c>
      <c r="Q793" s="63">
        <f>IF($A793="","",IF(COUNTIF(집계!$E$7:$E$506,O793)&gt;0,"Y","N"))</f>
        <v/>
      </c>
    </row>
    <row r="794">
      <c r="A794" s="60" t="n">
        <v>2025</v>
      </c>
      <c r="B794" s="60" t="n">
        <v>11</v>
      </c>
      <c r="C794" s="60" t="inlineStr">
        <is>
          <t>1000</t>
        </is>
      </c>
      <c r="D794" s="60" t="n">
        <v>1201</v>
      </c>
      <c r="E794" s="60" t="inlineStr">
        <is>
          <t>재무회계</t>
        </is>
      </c>
      <c r="F794" s="60" t="n">
        <v>62102000</v>
      </c>
      <c r="G794" s="60" t="inlineStr">
        <is>
          <t>여비교통비-해외</t>
        </is>
      </c>
      <c r="H794" s="61" t="n">
        <v>227610</v>
      </c>
      <c r="J794" s="63">
        <f>IF($A794="","",IFERROR(INDEX(부서매핑!$C$5:$C$504,MATCH($D794&amp;"",부서매핑!$A$5:$A$504,0)),"미매핑"))</f>
        <v/>
      </c>
      <c r="K794" s="63">
        <f>IF($A794="","",IFERROR(INDEX(계정매핑!$C$5:$C$504,MATCH($F794&amp;"",계정매핑!$A$5:$A$504,0)),"미매핑"))</f>
        <v/>
      </c>
      <c r="L794" s="4">
        <f>IF($A794="","",VALUE($A794&amp;""))</f>
        <v/>
      </c>
      <c r="M794" s="4">
        <f>IF($A794="","",VALUE($B794&amp;""))</f>
        <v/>
      </c>
      <c r="N794" s="64">
        <f>IF($A794="","",$H794*설정!$C$15)</f>
        <v/>
      </c>
      <c r="O794" s="4">
        <f>IF($A794="","",J794&amp;"|"&amp;K794)</f>
        <v/>
      </c>
      <c r="P794" s="63">
        <f>IF($A794="","",IF(COUNTIFS(예산_원본!$T$5:$T$3004,O794,예산_원본!$B$5:$B$3004,설정!$C$8,예산_원본!$U$5:$U$3004,L794)&gt;0,"Y","N"))</f>
        <v/>
      </c>
      <c r="Q794" s="63">
        <f>IF($A794="","",IF(COUNTIF(집계!$E$7:$E$506,O794)&gt;0,"Y","N"))</f>
        <v/>
      </c>
    </row>
    <row r="795">
      <c r="A795" s="60" t="n">
        <v>2025</v>
      </c>
      <c r="B795" s="60" t="n">
        <v>11</v>
      </c>
      <c r="C795" s="60" t="inlineStr">
        <is>
          <t>1000</t>
        </is>
      </c>
      <c r="D795" s="60" t="n">
        <v>1201</v>
      </c>
      <c r="E795" s="60" t="inlineStr">
        <is>
          <t>재무회계</t>
        </is>
      </c>
      <c r="F795" s="60" t="n">
        <v>62201000</v>
      </c>
      <c r="G795" s="60" t="inlineStr">
        <is>
          <t>통신비</t>
        </is>
      </c>
      <c r="H795" s="61" t="n">
        <v>635570</v>
      </c>
      <c r="J795" s="63">
        <f>IF($A795="","",IFERROR(INDEX(부서매핑!$C$5:$C$504,MATCH($D795&amp;"",부서매핑!$A$5:$A$504,0)),"미매핑"))</f>
        <v/>
      </c>
      <c r="K795" s="63">
        <f>IF($A795="","",IFERROR(INDEX(계정매핑!$C$5:$C$504,MATCH($F795&amp;"",계정매핑!$A$5:$A$504,0)),"미매핑"))</f>
        <v/>
      </c>
      <c r="L795" s="4">
        <f>IF($A795="","",VALUE($A795&amp;""))</f>
        <v/>
      </c>
      <c r="M795" s="4">
        <f>IF($A795="","",VALUE($B795&amp;""))</f>
        <v/>
      </c>
      <c r="N795" s="64">
        <f>IF($A795="","",$H795*설정!$C$15)</f>
        <v/>
      </c>
      <c r="O795" s="4">
        <f>IF($A795="","",J795&amp;"|"&amp;K795)</f>
        <v/>
      </c>
      <c r="P795" s="63">
        <f>IF($A795="","",IF(COUNTIFS(예산_원본!$T$5:$T$3004,O795,예산_원본!$B$5:$B$3004,설정!$C$8,예산_원본!$U$5:$U$3004,L795)&gt;0,"Y","N"))</f>
        <v/>
      </c>
      <c r="Q795" s="63">
        <f>IF($A795="","",IF(COUNTIF(집계!$E$7:$E$506,O795)&gt;0,"Y","N"))</f>
        <v/>
      </c>
    </row>
    <row r="796">
      <c r="A796" s="60" t="n">
        <v>2025</v>
      </c>
      <c r="B796" s="60" t="n">
        <v>11</v>
      </c>
      <c r="C796" s="60" t="inlineStr">
        <is>
          <t>1000</t>
        </is>
      </c>
      <c r="D796" s="60" t="n">
        <v>1201</v>
      </c>
      <c r="E796" s="60" t="inlineStr">
        <is>
          <t>재무회계</t>
        </is>
      </c>
      <c r="F796" s="60" t="n">
        <v>62301000</v>
      </c>
      <c r="G796" s="60" t="inlineStr">
        <is>
          <t>소모품비</t>
        </is>
      </c>
      <c r="H796" s="61" t="n">
        <v>632970</v>
      </c>
      <c r="J796" s="63">
        <f>IF($A796="","",IFERROR(INDEX(부서매핑!$C$5:$C$504,MATCH($D796&amp;"",부서매핑!$A$5:$A$504,0)),"미매핑"))</f>
        <v/>
      </c>
      <c r="K796" s="63">
        <f>IF($A796="","",IFERROR(INDEX(계정매핑!$C$5:$C$504,MATCH($F796&amp;"",계정매핑!$A$5:$A$504,0)),"미매핑"))</f>
        <v/>
      </c>
      <c r="L796" s="4">
        <f>IF($A796="","",VALUE($A796&amp;""))</f>
        <v/>
      </c>
      <c r="M796" s="4">
        <f>IF($A796="","",VALUE($B796&amp;""))</f>
        <v/>
      </c>
      <c r="N796" s="64">
        <f>IF($A796="","",$H796*설정!$C$15)</f>
        <v/>
      </c>
      <c r="O796" s="4">
        <f>IF($A796="","",J796&amp;"|"&amp;K796)</f>
        <v/>
      </c>
      <c r="P796" s="63">
        <f>IF($A796="","",IF(COUNTIFS(예산_원본!$T$5:$T$3004,O796,예산_원본!$B$5:$B$3004,설정!$C$8,예산_원본!$U$5:$U$3004,L796)&gt;0,"Y","N"))</f>
        <v/>
      </c>
      <c r="Q796" s="63">
        <f>IF($A796="","",IF(COUNTIF(집계!$E$7:$E$506,O796)&gt;0,"Y","N"))</f>
        <v/>
      </c>
    </row>
    <row r="797">
      <c r="A797" s="60" t="n">
        <v>2025</v>
      </c>
      <c r="B797" s="60" t="n">
        <v>11</v>
      </c>
      <c r="C797" s="60" t="inlineStr">
        <is>
          <t>1000</t>
        </is>
      </c>
      <c r="D797" s="60" t="n">
        <v>1201</v>
      </c>
      <c r="E797" s="60" t="inlineStr">
        <is>
          <t>재무회계</t>
        </is>
      </c>
      <c r="F797" s="60" t="n">
        <v>62501000</v>
      </c>
      <c r="G797" s="60" t="inlineStr">
        <is>
          <t>회의비</t>
        </is>
      </c>
      <c r="H797" s="61" t="n">
        <v>427080</v>
      </c>
      <c r="J797" s="63">
        <f>IF($A797="","",IFERROR(INDEX(부서매핑!$C$5:$C$504,MATCH($D797&amp;"",부서매핑!$A$5:$A$504,0)),"미매핑"))</f>
        <v/>
      </c>
      <c r="K797" s="63">
        <f>IF($A797="","",IFERROR(INDEX(계정매핑!$C$5:$C$504,MATCH($F797&amp;"",계정매핑!$A$5:$A$504,0)),"미매핑"))</f>
        <v/>
      </c>
      <c r="L797" s="4">
        <f>IF($A797="","",VALUE($A797&amp;""))</f>
        <v/>
      </c>
      <c r="M797" s="4">
        <f>IF($A797="","",VALUE($B797&amp;""))</f>
        <v/>
      </c>
      <c r="N797" s="64">
        <f>IF($A797="","",$H797*설정!$C$15)</f>
        <v/>
      </c>
      <c r="O797" s="4">
        <f>IF($A797="","",J797&amp;"|"&amp;K797)</f>
        <v/>
      </c>
      <c r="P797" s="63">
        <f>IF($A797="","",IF(COUNTIFS(예산_원본!$T$5:$T$3004,O797,예산_원본!$B$5:$B$3004,설정!$C$8,예산_원본!$U$5:$U$3004,L797)&gt;0,"Y","N"))</f>
        <v/>
      </c>
      <c r="Q797" s="63">
        <f>IF($A797="","",IF(COUNTIF(집계!$E$7:$E$506,O797)&gt;0,"Y","N"))</f>
        <v/>
      </c>
    </row>
    <row r="798">
      <c r="A798" s="60" t="n">
        <v>2025</v>
      </c>
      <c r="B798" s="60" t="n">
        <v>11</v>
      </c>
      <c r="C798" s="60" t="inlineStr">
        <is>
          <t>1000</t>
        </is>
      </c>
      <c r="D798" s="60" t="n">
        <v>1201</v>
      </c>
      <c r="E798" s="60" t="inlineStr">
        <is>
          <t>재무회계</t>
        </is>
      </c>
      <c r="F798" s="60" t="n">
        <v>62901000</v>
      </c>
      <c r="G798" s="60" t="inlineStr">
        <is>
          <t>지급수수료-컨설팅</t>
        </is>
      </c>
      <c r="H798" s="61" t="n">
        <v>21132130</v>
      </c>
      <c r="J798" s="63">
        <f>IF($A798="","",IFERROR(INDEX(부서매핑!$C$5:$C$504,MATCH($D798&amp;"",부서매핑!$A$5:$A$504,0)),"미매핑"))</f>
        <v/>
      </c>
      <c r="K798" s="63">
        <f>IF($A798="","",IFERROR(INDEX(계정매핑!$C$5:$C$504,MATCH($F798&amp;"",계정매핑!$A$5:$A$504,0)),"미매핑"))</f>
        <v/>
      </c>
      <c r="L798" s="4">
        <f>IF($A798="","",VALUE($A798&amp;""))</f>
        <v/>
      </c>
      <c r="M798" s="4">
        <f>IF($A798="","",VALUE($B798&amp;""))</f>
        <v/>
      </c>
      <c r="N798" s="64">
        <f>IF($A798="","",$H798*설정!$C$15)</f>
        <v/>
      </c>
      <c r="O798" s="4">
        <f>IF($A798="","",J798&amp;"|"&amp;K798)</f>
        <v/>
      </c>
      <c r="P798" s="63">
        <f>IF($A798="","",IF(COUNTIFS(예산_원본!$T$5:$T$3004,O798,예산_원본!$B$5:$B$3004,설정!$C$8,예산_원본!$U$5:$U$3004,L798)&gt;0,"Y","N"))</f>
        <v/>
      </c>
      <c r="Q798" s="63">
        <f>IF($A798="","",IF(COUNTIF(집계!$E$7:$E$506,O798)&gt;0,"Y","N"))</f>
        <v/>
      </c>
    </row>
    <row r="799">
      <c r="A799" s="60" t="n">
        <v>2025</v>
      </c>
      <c r="B799" s="60" t="n">
        <v>11</v>
      </c>
      <c r="C799" s="60" t="inlineStr">
        <is>
          <t>1000</t>
        </is>
      </c>
      <c r="D799" s="60" t="n">
        <v>1201</v>
      </c>
      <c r="E799" s="60" t="inlineStr">
        <is>
          <t>재무회계</t>
        </is>
      </c>
      <c r="F799" s="60" t="n">
        <v>62902000</v>
      </c>
      <c r="G799" s="60" t="inlineStr">
        <is>
          <t>지급수수료-기타</t>
        </is>
      </c>
      <c r="H799" s="61" t="n">
        <v>10332080</v>
      </c>
      <c r="J799" s="63">
        <f>IF($A799="","",IFERROR(INDEX(부서매핑!$C$5:$C$504,MATCH($D799&amp;"",부서매핑!$A$5:$A$504,0)),"미매핑"))</f>
        <v/>
      </c>
      <c r="K799" s="63">
        <f>IF($A799="","",IFERROR(INDEX(계정매핑!$C$5:$C$504,MATCH($F799&amp;"",계정매핑!$A$5:$A$504,0)),"미매핑"))</f>
        <v/>
      </c>
      <c r="L799" s="4">
        <f>IF($A799="","",VALUE($A799&amp;""))</f>
        <v/>
      </c>
      <c r="M799" s="4">
        <f>IF($A799="","",VALUE($B799&amp;""))</f>
        <v/>
      </c>
      <c r="N799" s="64">
        <f>IF($A799="","",$H799*설정!$C$15)</f>
        <v/>
      </c>
      <c r="O799" s="4">
        <f>IF($A799="","",J799&amp;"|"&amp;K799)</f>
        <v/>
      </c>
      <c r="P799" s="63">
        <f>IF($A799="","",IF(COUNTIFS(예산_원본!$T$5:$T$3004,O799,예산_원본!$B$5:$B$3004,설정!$C$8,예산_원본!$U$5:$U$3004,L799)&gt;0,"Y","N"))</f>
        <v/>
      </c>
      <c r="Q799" s="63">
        <f>IF($A799="","",IF(COUNTIF(집계!$E$7:$E$506,O799)&gt;0,"Y","N"))</f>
        <v/>
      </c>
    </row>
    <row r="800">
      <c r="A800" s="60" t="n">
        <v>2025</v>
      </c>
      <c r="B800" s="60" t="n">
        <v>11</v>
      </c>
      <c r="C800" s="60" t="inlineStr">
        <is>
          <t>1000</t>
        </is>
      </c>
      <c r="D800" s="60" t="n">
        <v>1301</v>
      </c>
      <c r="E800" s="60" t="inlineStr">
        <is>
          <t>인사</t>
        </is>
      </c>
      <c r="F800" s="60" t="n">
        <v>62101000</v>
      </c>
      <c r="G800" s="60" t="inlineStr">
        <is>
          <t>여비교통비-국내</t>
        </is>
      </c>
      <c r="H800" s="61" t="n">
        <v>1269640</v>
      </c>
      <c r="J800" s="63">
        <f>IF($A800="","",IFERROR(INDEX(부서매핑!$C$5:$C$504,MATCH($D800&amp;"",부서매핑!$A$5:$A$504,0)),"미매핑"))</f>
        <v/>
      </c>
      <c r="K800" s="63">
        <f>IF($A800="","",IFERROR(INDEX(계정매핑!$C$5:$C$504,MATCH($F800&amp;"",계정매핑!$A$5:$A$504,0)),"미매핑"))</f>
        <v/>
      </c>
      <c r="L800" s="4">
        <f>IF($A800="","",VALUE($A800&amp;""))</f>
        <v/>
      </c>
      <c r="M800" s="4">
        <f>IF($A800="","",VALUE($B800&amp;""))</f>
        <v/>
      </c>
      <c r="N800" s="64">
        <f>IF($A800="","",$H800*설정!$C$15)</f>
        <v/>
      </c>
      <c r="O800" s="4">
        <f>IF($A800="","",J800&amp;"|"&amp;K800)</f>
        <v/>
      </c>
      <c r="P800" s="63">
        <f>IF($A800="","",IF(COUNTIFS(예산_원본!$T$5:$T$3004,O800,예산_원본!$B$5:$B$3004,설정!$C$8,예산_원본!$U$5:$U$3004,L800)&gt;0,"Y","N"))</f>
        <v/>
      </c>
      <c r="Q800" s="63">
        <f>IF($A800="","",IF(COUNTIF(집계!$E$7:$E$506,O800)&gt;0,"Y","N"))</f>
        <v/>
      </c>
    </row>
    <row r="801">
      <c r="A801" s="60" t="n">
        <v>2025</v>
      </c>
      <c r="B801" s="60" t="n">
        <v>11</v>
      </c>
      <c r="C801" s="60" t="inlineStr">
        <is>
          <t>1000</t>
        </is>
      </c>
      <c r="D801" s="60" t="n">
        <v>1301</v>
      </c>
      <c r="E801" s="60" t="inlineStr">
        <is>
          <t>인사</t>
        </is>
      </c>
      <c r="F801" s="60" t="n">
        <v>62102000</v>
      </c>
      <c r="G801" s="60" t="inlineStr">
        <is>
          <t>여비교통비-해외</t>
        </is>
      </c>
      <c r="H801" s="61" t="n">
        <v>226270</v>
      </c>
      <c r="J801" s="63">
        <f>IF($A801="","",IFERROR(INDEX(부서매핑!$C$5:$C$504,MATCH($D801&amp;"",부서매핑!$A$5:$A$504,0)),"미매핑"))</f>
        <v/>
      </c>
      <c r="K801" s="63">
        <f>IF($A801="","",IFERROR(INDEX(계정매핑!$C$5:$C$504,MATCH($F801&amp;"",계정매핑!$A$5:$A$504,0)),"미매핑"))</f>
        <v/>
      </c>
      <c r="L801" s="4">
        <f>IF($A801="","",VALUE($A801&amp;""))</f>
        <v/>
      </c>
      <c r="M801" s="4">
        <f>IF($A801="","",VALUE($B801&amp;""))</f>
        <v/>
      </c>
      <c r="N801" s="64">
        <f>IF($A801="","",$H801*설정!$C$15)</f>
        <v/>
      </c>
      <c r="O801" s="4">
        <f>IF($A801="","",J801&amp;"|"&amp;K801)</f>
        <v/>
      </c>
      <c r="P801" s="63">
        <f>IF($A801="","",IF(COUNTIFS(예산_원본!$T$5:$T$3004,O801,예산_원본!$B$5:$B$3004,설정!$C$8,예산_원본!$U$5:$U$3004,L801)&gt;0,"Y","N"))</f>
        <v/>
      </c>
      <c r="Q801" s="63">
        <f>IF($A801="","",IF(COUNTIF(집계!$E$7:$E$506,O801)&gt;0,"Y","N"))</f>
        <v/>
      </c>
    </row>
    <row r="802">
      <c r="A802" s="60" t="n">
        <v>2025</v>
      </c>
      <c r="B802" s="60" t="n">
        <v>11</v>
      </c>
      <c r="C802" s="60" t="inlineStr">
        <is>
          <t>1000</t>
        </is>
      </c>
      <c r="D802" s="60" t="n">
        <v>1301</v>
      </c>
      <c r="E802" s="60" t="inlineStr">
        <is>
          <t>인사</t>
        </is>
      </c>
      <c r="F802" s="60" t="n">
        <v>62201000</v>
      </c>
      <c r="G802" s="60" t="inlineStr">
        <is>
          <t>통신비</t>
        </is>
      </c>
      <c r="H802" s="61" t="n">
        <v>731080</v>
      </c>
      <c r="J802" s="63">
        <f>IF($A802="","",IFERROR(INDEX(부서매핑!$C$5:$C$504,MATCH($D802&amp;"",부서매핑!$A$5:$A$504,0)),"미매핑"))</f>
        <v/>
      </c>
      <c r="K802" s="63">
        <f>IF($A802="","",IFERROR(INDEX(계정매핑!$C$5:$C$504,MATCH($F802&amp;"",계정매핑!$A$5:$A$504,0)),"미매핑"))</f>
        <v/>
      </c>
      <c r="L802" s="4">
        <f>IF($A802="","",VALUE($A802&amp;""))</f>
        <v/>
      </c>
      <c r="M802" s="4">
        <f>IF($A802="","",VALUE($B802&amp;""))</f>
        <v/>
      </c>
      <c r="N802" s="64">
        <f>IF($A802="","",$H802*설정!$C$15)</f>
        <v/>
      </c>
      <c r="O802" s="4">
        <f>IF($A802="","",J802&amp;"|"&amp;K802)</f>
        <v/>
      </c>
      <c r="P802" s="63">
        <f>IF($A802="","",IF(COUNTIFS(예산_원본!$T$5:$T$3004,O802,예산_원본!$B$5:$B$3004,설정!$C$8,예산_원본!$U$5:$U$3004,L802)&gt;0,"Y","N"))</f>
        <v/>
      </c>
      <c r="Q802" s="63">
        <f>IF($A802="","",IF(COUNTIF(집계!$E$7:$E$506,O802)&gt;0,"Y","N"))</f>
        <v/>
      </c>
    </row>
    <row r="803">
      <c r="A803" s="60" t="n">
        <v>2025</v>
      </c>
      <c r="B803" s="60" t="n">
        <v>11</v>
      </c>
      <c r="C803" s="60" t="inlineStr">
        <is>
          <t>1000</t>
        </is>
      </c>
      <c r="D803" s="60" t="n">
        <v>1301</v>
      </c>
      <c r="E803" s="60" t="inlineStr">
        <is>
          <t>인사</t>
        </is>
      </c>
      <c r="F803" s="60" t="n">
        <v>62301000</v>
      </c>
      <c r="G803" s="60" t="inlineStr">
        <is>
          <t>소모품비</t>
        </is>
      </c>
      <c r="H803" s="61" t="n">
        <v>626050</v>
      </c>
      <c r="J803" s="63">
        <f>IF($A803="","",IFERROR(INDEX(부서매핑!$C$5:$C$504,MATCH($D803&amp;"",부서매핑!$A$5:$A$504,0)),"미매핑"))</f>
        <v/>
      </c>
      <c r="K803" s="63">
        <f>IF($A803="","",IFERROR(INDEX(계정매핑!$C$5:$C$504,MATCH($F803&amp;"",계정매핑!$A$5:$A$504,0)),"미매핑"))</f>
        <v/>
      </c>
      <c r="L803" s="4">
        <f>IF($A803="","",VALUE($A803&amp;""))</f>
        <v/>
      </c>
      <c r="M803" s="4">
        <f>IF($A803="","",VALUE($B803&amp;""))</f>
        <v/>
      </c>
      <c r="N803" s="64">
        <f>IF($A803="","",$H803*설정!$C$15)</f>
        <v/>
      </c>
      <c r="O803" s="4">
        <f>IF($A803="","",J803&amp;"|"&amp;K803)</f>
        <v/>
      </c>
      <c r="P803" s="63">
        <f>IF($A803="","",IF(COUNTIFS(예산_원본!$T$5:$T$3004,O803,예산_원본!$B$5:$B$3004,설정!$C$8,예산_원본!$U$5:$U$3004,L803)&gt;0,"Y","N"))</f>
        <v/>
      </c>
      <c r="Q803" s="63">
        <f>IF($A803="","",IF(COUNTIF(집계!$E$7:$E$506,O803)&gt;0,"Y","N"))</f>
        <v/>
      </c>
    </row>
    <row r="804">
      <c r="A804" s="60" t="n">
        <v>2025</v>
      </c>
      <c r="B804" s="60" t="n">
        <v>11</v>
      </c>
      <c r="C804" s="60" t="inlineStr">
        <is>
          <t>1000</t>
        </is>
      </c>
      <c r="D804" s="60" t="n">
        <v>1301</v>
      </c>
      <c r="E804" s="60" t="inlineStr">
        <is>
          <t>인사</t>
        </is>
      </c>
      <c r="F804" s="60" t="n">
        <v>62501000</v>
      </c>
      <c r="G804" s="60" t="inlineStr">
        <is>
          <t>회의비</t>
        </is>
      </c>
      <c r="H804" s="61" t="n">
        <v>618530</v>
      </c>
      <c r="J804" s="63">
        <f>IF($A804="","",IFERROR(INDEX(부서매핑!$C$5:$C$504,MATCH($D804&amp;"",부서매핑!$A$5:$A$504,0)),"미매핑"))</f>
        <v/>
      </c>
      <c r="K804" s="63">
        <f>IF($A804="","",IFERROR(INDEX(계정매핑!$C$5:$C$504,MATCH($F804&amp;"",계정매핑!$A$5:$A$504,0)),"미매핑"))</f>
        <v/>
      </c>
      <c r="L804" s="4">
        <f>IF($A804="","",VALUE($A804&amp;""))</f>
        <v/>
      </c>
      <c r="M804" s="4">
        <f>IF($A804="","",VALUE($B804&amp;""))</f>
        <v/>
      </c>
      <c r="N804" s="64">
        <f>IF($A804="","",$H804*설정!$C$15)</f>
        <v/>
      </c>
      <c r="O804" s="4">
        <f>IF($A804="","",J804&amp;"|"&amp;K804)</f>
        <v/>
      </c>
      <c r="P804" s="63">
        <f>IF($A804="","",IF(COUNTIFS(예산_원본!$T$5:$T$3004,O804,예산_원본!$B$5:$B$3004,설정!$C$8,예산_원본!$U$5:$U$3004,L804)&gt;0,"Y","N"))</f>
        <v/>
      </c>
      <c r="Q804" s="63">
        <f>IF($A804="","",IF(COUNTIF(집계!$E$7:$E$506,O804)&gt;0,"Y","N"))</f>
        <v/>
      </c>
    </row>
    <row r="805">
      <c r="A805" s="60" t="n">
        <v>2025</v>
      </c>
      <c r="B805" s="60" t="n">
        <v>11</v>
      </c>
      <c r="C805" s="60" t="inlineStr">
        <is>
          <t>1000</t>
        </is>
      </c>
      <c r="D805" s="60" t="n">
        <v>1301</v>
      </c>
      <c r="E805" s="60" t="inlineStr">
        <is>
          <t>인사</t>
        </is>
      </c>
      <c r="F805" s="60" t="n">
        <v>62601000</v>
      </c>
      <c r="G805" s="60" t="inlineStr">
        <is>
          <t>업무추진비</t>
        </is>
      </c>
      <c r="H805" s="61" t="n">
        <v>1566480</v>
      </c>
      <c r="J805" s="63">
        <f>IF($A805="","",IFERROR(INDEX(부서매핑!$C$5:$C$504,MATCH($D805&amp;"",부서매핑!$A$5:$A$504,0)),"미매핑"))</f>
        <v/>
      </c>
      <c r="K805" s="63">
        <f>IF($A805="","",IFERROR(INDEX(계정매핑!$C$5:$C$504,MATCH($F805&amp;"",계정매핑!$A$5:$A$504,0)),"미매핑"))</f>
        <v/>
      </c>
      <c r="L805" s="4">
        <f>IF($A805="","",VALUE($A805&amp;""))</f>
        <v/>
      </c>
      <c r="M805" s="4">
        <f>IF($A805="","",VALUE($B805&amp;""))</f>
        <v/>
      </c>
      <c r="N805" s="64">
        <f>IF($A805="","",$H805*설정!$C$15)</f>
        <v/>
      </c>
      <c r="O805" s="4">
        <f>IF($A805="","",J805&amp;"|"&amp;K805)</f>
        <v/>
      </c>
      <c r="P805" s="63">
        <f>IF($A805="","",IF(COUNTIFS(예산_원본!$T$5:$T$3004,O805,예산_원본!$B$5:$B$3004,설정!$C$8,예산_원본!$U$5:$U$3004,L805)&gt;0,"Y","N"))</f>
        <v/>
      </c>
      <c r="Q805" s="63">
        <f>IF($A805="","",IF(COUNTIF(집계!$E$7:$E$506,O805)&gt;0,"Y","N"))</f>
        <v/>
      </c>
    </row>
    <row r="806">
      <c r="A806" s="60" t="n">
        <v>2025</v>
      </c>
      <c r="B806" s="60" t="n">
        <v>11</v>
      </c>
      <c r="C806" s="60" t="inlineStr">
        <is>
          <t>1000</t>
        </is>
      </c>
      <c r="D806" s="60" t="n">
        <v>1301</v>
      </c>
      <c r="E806" s="60" t="inlineStr">
        <is>
          <t>인사</t>
        </is>
      </c>
      <c r="F806" s="60" t="n">
        <v>62801000</v>
      </c>
      <c r="G806" s="60" t="inlineStr">
        <is>
          <t>교육훈련비-사내</t>
        </is>
      </c>
      <c r="H806" s="61" t="n">
        <v>19292610</v>
      </c>
      <c r="J806" s="63">
        <f>IF($A806="","",IFERROR(INDEX(부서매핑!$C$5:$C$504,MATCH($D806&amp;"",부서매핑!$A$5:$A$504,0)),"미매핑"))</f>
        <v/>
      </c>
      <c r="K806" s="63">
        <f>IF($A806="","",IFERROR(INDEX(계정매핑!$C$5:$C$504,MATCH($F806&amp;"",계정매핑!$A$5:$A$504,0)),"미매핑"))</f>
        <v/>
      </c>
      <c r="L806" s="4">
        <f>IF($A806="","",VALUE($A806&amp;""))</f>
        <v/>
      </c>
      <c r="M806" s="4">
        <f>IF($A806="","",VALUE($B806&amp;""))</f>
        <v/>
      </c>
      <c r="N806" s="64">
        <f>IF($A806="","",$H806*설정!$C$15)</f>
        <v/>
      </c>
      <c r="O806" s="4">
        <f>IF($A806="","",J806&amp;"|"&amp;K806)</f>
        <v/>
      </c>
      <c r="P806" s="63">
        <f>IF($A806="","",IF(COUNTIFS(예산_원본!$T$5:$T$3004,O806,예산_원본!$B$5:$B$3004,설정!$C$8,예산_원본!$U$5:$U$3004,L806)&gt;0,"Y","N"))</f>
        <v/>
      </c>
      <c r="Q806" s="63">
        <f>IF($A806="","",IF(COUNTIF(집계!$E$7:$E$506,O806)&gt;0,"Y","N"))</f>
        <v/>
      </c>
    </row>
    <row r="807">
      <c r="A807" s="60" t="n">
        <v>2025</v>
      </c>
      <c r="B807" s="60" t="n">
        <v>11</v>
      </c>
      <c r="C807" s="60" t="inlineStr">
        <is>
          <t>1000</t>
        </is>
      </c>
      <c r="D807" s="60" t="n">
        <v>1301</v>
      </c>
      <c r="E807" s="60" t="inlineStr">
        <is>
          <t>인사</t>
        </is>
      </c>
      <c r="F807" s="60" t="n">
        <v>62802000</v>
      </c>
      <c r="G807" s="60" t="inlineStr">
        <is>
          <t>교육훈련비-외부위탁</t>
        </is>
      </c>
      <c r="H807" s="61" t="n">
        <v>27503200</v>
      </c>
      <c r="J807" s="63">
        <f>IF($A807="","",IFERROR(INDEX(부서매핑!$C$5:$C$504,MATCH($D807&amp;"",부서매핑!$A$5:$A$504,0)),"미매핑"))</f>
        <v/>
      </c>
      <c r="K807" s="63">
        <f>IF($A807="","",IFERROR(INDEX(계정매핑!$C$5:$C$504,MATCH($F807&amp;"",계정매핑!$A$5:$A$504,0)),"미매핑"))</f>
        <v/>
      </c>
      <c r="L807" s="4">
        <f>IF($A807="","",VALUE($A807&amp;""))</f>
        <v/>
      </c>
      <c r="M807" s="4">
        <f>IF($A807="","",VALUE($B807&amp;""))</f>
        <v/>
      </c>
      <c r="N807" s="64">
        <f>IF($A807="","",$H807*설정!$C$15)</f>
        <v/>
      </c>
      <c r="O807" s="4">
        <f>IF($A807="","",J807&amp;"|"&amp;K807)</f>
        <v/>
      </c>
      <c r="P807" s="63">
        <f>IF($A807="","",IF(COUNTIFS(예산_원본!$T$5:$T$3004,O807,예산_원본!$B$5:$B$3004,설정!$C$8,예산_원본!$U$5:$U$3004,L807)&gt;0,"Y","N"))</f>
        <v/>
      </c>
      <c r="Q807" s="63">
        <f>IF($A807="","",IF(COUNTIF(집계!$E$7:$E$506,O807)&gt;0,"Y","N"))</f>
        <v/>
      </c>
    </row>
    <row r="808">
      <c r="A808" s="60" t="n">
        <v>2025</v>
      </c>
      <c r="B808" s="60" t="n">
        <v>11</v>
      </c>
      <c r="C808" s="60" t="inlineStr">
        <is>
          <t>1000</t>
        </is>
      </c>
      <c r="D808" s="60" t="n">
        <v>1401</v>
      </c>
      <c r="E808" s="60" t="inlineStr">
        <is>
          <t>상품개발</t>
        </is>
      </c>
      <c r="F808" s="60" t="n">
        <v>62101000</v>
      </c>
      <c r="G808" s="60" t="inlineStr">
        <is>
          <t>여비교통비-국내</t>
        </is>
      </c>
      <c r="H808" s="61" t="n">
        <v>1686100</v>
      </c>
      <c r="J808" s="63">
        <f>IF($A808="","",IFERROR(INDEX(부서매핑!$C$5:$C$504,MATCH($D808&amp;"",부서매핑!$A$5:$A$504,0)),"미매핑"))</f>
        <v/>
      </c>
      <c r="K808" s="63">
        <f>IF($A808="","",IFERROR(INDEX(계정매핑!$C$5:$C$504,MATCH($F808&amp;"",계정매핑!$A$5:$A$504,0)),"미매핑"))</f>
        <v/>
      </c>
      <c r="L808" s="4">
        <f>IF($A808="","",VALUE($A808&amp;""))</f>
        <v/>
      </c>
      <c r="M808" s="4">
        <f>IF($A808="","",VALUE($B808&amp;""))</f>
        <v/>
      </c>
      <c r="N808" s="64">
        <f>IF($A808="","",$H808*설정!$C$15)</f>
        <v/>
      </c>
      <c r="O808" s="4">
        <f>IF($A808="","",J808&amp;"|"&amp;K808)</f>
        <v/>
      </c>
      <c r="P808" s="63">
        <f>IF($A808="","",IF(COUNTIFS(예산_원본!$T$5:$T$3004,O808,예산_원본!$B$5:$B$3004,설정!$C$8,예산_원본!$U$5:$U$3004,L808)&gt;0,"Y","N"))</f>
        <v/>
      </c>
      <c r="Q808" s="63">
        <f>IF($A808="","",IF(COUNTIF(집계!$E$7:$E$506,O808)&gt;0,"Y","N"))</f>
        <v/>
      </c>
    </row>
    <row r="809">
      <c r="A809" s="60" t="n">
        <v>2025</v>
      </c>
      <c r="B809" s="60" t="n">
        <v>11</v>
      </c>
      <c r="C809" s="60" t="inlineStr">
        <is>
          <t>1000</t>
        </is>
      </c>
      <c r="D809" s="60" t="n">
        <v>1401</v>
      </c>
      <c r="E809" s="60" t="inlineStr">
        <is>
          <t>상품개발</t>
        </is>
      </c>
      <c r="F809" s="60" t="n">
        <v>62102000</v>
      </c>
      <c r="G809" s="60" t="inlineStr">
        <is>
          <t>여비교통비-해외</t>
        </is>
      </c>
      <c r="H809" s="61" t="n">
        <v>331170</v>
      </c>
      <c r="J809" s="63">
        <f>IF($A809="","",IFERROR(INDEX(부서매핑!$C$5:$C$504,MATCH($D809&amp;"",부서매핑!$A$5:$A$504,0)),"미매핑"))</f>
        <v/>
      </c>
      <c r="K809" s="63">
        <f>IF($A809="","",IFERROR(INDEX(계정매핑!$C$5:$C$504,MATCH($F809&amp;"",계정매핑!$A$5:$A$504,0)),"미매핑"))</f>
        <v/>
      </c>
      <c r="L809" s="4">
        <f>IF($A809="","",VALUE($A809&amp;""))</f>
        <v/>
      </c>
      <c r="M809" s="4">
        <f>IF($A809="","",VALUE($B809&amp;""))</f>
        <v/>
      </c>
      <c r="N809" s="64">
        <f>IF($A809="","",$H809*설정!$C$15)</f>
        <v/>
      </c>
      <c r="O809" s="4">
        <f>IF($A809="","",J809&amp;"|"&amp;K809)</f>
        <v/>
      </c>
      <c r="P809" s="63">
        <f>IF($A809="","",IF(COUNTIFS(예산_원본!$T$5:$T$3004,O809,예산_원본!$B$5:$B$3004,설정!$C$8,예산_원본!$U$5:$U$3004,L809)&gt;0,"Y","N"))</f>
        <v/>
      </c>
      <c r="Q809" s="63">
        <f>IF($A809="","",IF(COUNTIF(집계!$E$7:$E$506,O809)&gt;0,"Y","N"))</f>
        <v/>
      </c>
    </row>
    <row r="810">
      <c r="A810" s="60" t="n">
        <v>2025</v>
      </c>
      <c r="B810" s="60" t="n">
        <v>11</v>
      </c>
      <c r="C810" s="60" t="inlineStr">
        <is>
          <t>1000</t>
        </is>
      </c>
      <c r="D810" s="60" t="n">
        <v>1401</v>
      </c>
      <c r="E810" s="60" t="inlineStr">
        <is>
          <t>상품개발</t>
        </is>
      </c>
      <c r="F810" s="60" t="n">
        <v>62201000</v>
      </c>
      <c r="G810" s="60" t="inlineStr">
        <is>
          <t>통신비</t>
        </is>
      </c>
      <c r="H810" s="61" t="n">
        <v>635580</v>
      </c>
      <c r="J810" s="63">
        <f>IF($A810="","",IFERROR(INDEX(부서매핑!$C$5:$C$504,MATCH($D810&amp;"",부서매핑!$A$5:$A$504,0)),"미매핑"))</f>
        <v/>
      </c>
      <c r="K810" s="63">
        <f>IF($A810="","",IFERROR(INDEX(계정매핑!$C$5:$C$504,MATCH($F810&amp;"",계정매핑!$A$5:$A$504,0)),"미매핑"))</f>
        <v/>
      </c>
      <c r="L810" s="4">
        <f>IF($A810="","",VALUE($A810&amp;""))</f>
        <v/>
      </c>
      <c r="M810" s="4">
        <f>IF($A810="","",VALUE($B810&amp;""))</f>
        <v/>
      </c>
      <c r="N810" s="64">
        <f>IF($A810="","",$H810*설정!$C$15)</f>
        <v/>
      </c>
      <c r="O810" s="4">
        <f>IF($A810="","",J810&amp;"|"&amp;K810)</f>
        <v/>
      </c>
      <c r="P810" s="63">
        <f>IF($A810="","",IF(COUNTIFS(예산_원본!$T$5:$T$3004,O810,예산_원본!$B$5:$B$3004,설정!$C$8,예산_원본!$U$5:$U$3004,L810)&gt;0,"Y","N"))</f>
        <v/>
      </c>
      <c r="Q810" s="63">
        <f>IF($A810="","",IF(COUNTIF(집계!$E$7:$E$506,O810)&gt;0,"Y","N"))</f>
        <v/>
      </c>
    </row>
    <row r="811">
      <c r="A811" s="60" t="n">
        <v>2025</v>
      </c>
      <c r="B811" s="60" t="n">
        <v>11</v>
      </c>
      <c r="C811" s="60" t="inlineStr">
        <is>
          <t>1000</t>
        </is>
      </c>
      <c r="D811" s="60" t="n">
        <v>1401</v>
      </c>
      <c r="E811" s="60" t="inlineStr">
        <is>
          <t>상품개발</t>
        </is>
      </c>
      <c r="F811" s="60" t="n">
        <v>62301000</v>
      </c>
      <c r="G811" s="60" t="inlineStr">
        <is>
          <t>소모품비</t>
        </is>
      </c>
      <c r="H811" s="61" t="n">
        <v>378510</v>
      </c>
      <c r="J811" s="63">
        <f>IF($A811="","",IFERROR(INDEX(부서매핑!$C$5:$C$504,MATCH($D811&amp;"",부서매핑!$A$5:$A$504,0)),"미매핑"))</f>
        <v/>
      </c>
      <c r="K811" s="63">
        <f>IF($A811="","",IFERROR(INDEX(계정매핑!$C$5:$C$504,MATCH($F811&amp;"",계정매핑!$A$5:$A$504,0)),"미매핑"))</f>
        <v/>
      </c>
      <c r="L811" s="4">
        <f>IF($A811="","",VALUE($A811&amp;""))</f>
        <v/>
      </c>
      <c r="M811" s="4">
        <f>IF($A811="","",VALUE($B811&amp;""))</f>
        <v/>
      </c>
      <c r="N811" s="64">
        <f>IF($A811="","",$H811*설정!$C$15)</f>
        <v/>
      </c>
      <c r="O811" s="4">
        <f>IF($A811="","",J811&amp;"|"&amp;K811)</f>
        <v/>
      </c>
      <c r="P811" s="63">
        <f>IF($A811="","",IF(COUNTIFS(예산_원본!$T$5:$T$3004,O811,예산_원본!$B$5:$B$3004,설정!$C$8,예산_원본!$U$5:$U$3004,L811)&gt;0,"Y","N"))</f>
        <v/>
      </c>
      <c r="Q811" s="63">
        <f>IF($A811="","",IF(COUNTIF(집계!$E$7:$E$506,O811)&gt;0,"Y","N"))</f>
        <v/>
      </c>
    </row>
    <row r="812">
      <c r="A812" s="60" t="n">
        <v>2025</v>
      </c>
      <c r="B812" s="60" t="n">
        <v>11</v>
      </c>
      <c r="C812" s="60" t="inlineStr">
        <is>
          <t>1000</t>
        </is>
      </c>
      <c r="D812" s="60" t="n">
        <v>1401</v>
      </c>
      <c r="E812" s="60" t="inlineStr">
        <is>
          <t>상품개발</t>
        </is>
      </c>
      <c r="F812" s="60" t="n">
        <v>62401000</v>
      </c>
      <c r="G812" s="60" t="inlineStr">
        <is>
          <t>도서인쇄비</t>
        </is>
      </c>
      <c r="H812" s="61" t="n">
        <v>873150</v>
      </c>
      <c r="J812" s="63">
        <f>IF($A812="","",IFERROR(INDEX(부서매핑!$C$5:$C$504,MATCH($D812&amp;"",부서매핑!$A$5:$A$504,0)),"미매핑"))</f>
        <v/>
      </c>
      <c r="K812" s="63">
        <f>IF($A812="","",IFERROR(INDEX(계정매핑!$C$5:$C$504,MATCH($F812&amp;"",계정매핑!$A$5:$A$504,0)),"미매핑"))</f>
        <v/>
      </c>
      <c r="L812" s="4">
        <f>IF($A812="","",VALUE($A812&amp;""))</f>
        <v/>
      </c>
      <c r="M812" s="4">
        <f>IF($A812="","",VALUE($B812&amp;""))</f>
        <v/>
      </c>
      <c r="N812" s="64">
        <f>IF($A812="","",$H812*설정!$C$15)</f>
        <v/>
      </c>
      <c r="O812" s="4">
        <f>IF($A812="","",J812&amp;"|"&amp;K812)</f>
        <v/>
      </c>
      <c r="P812" s="63">
        <f>IF($A812="","",IF(COUNTIFS(예산_원본!$T$5:$T$3004,O812,예산_원본!$B$5:$B$3004,설정!$C$8,예산_원본!$U$5:$U$3004,L812)&gt;0,"Y","N"))</f>
        <v/>
      </c>
      <c r="Q812" s="63">
        <f>IF($A812="","",IF(COUNTIF(집계!$E$7:$E$506,O812)&gt;0,"Y","N"))</f>
        <v/>
      </c>
    </row>
    <row r="813">
      <c r="A813" s="60" t="n">
        <v>2025</v>
      </c>
      <c r="B813" s="60" t="n">
        <v>11</v>
      </c>
      <c r="C813" s="60" t="inlineStr">
        <is>
          <t>1000</t>
        </is>
      </c>
      <c r="D813" s="60" t="n">
        <v>1401</v>
      </c>
      <c r="E813" s="60" t="inlineStr">
        <is>
          <t>상품개발</t>
        </is>
      </c>
      <c r="F813" s="60" t="n">
        <v>62501000</v>
      </c>
      <c r="G813" s="60" t="inlineStr">
        <is>
          <t>회의비</t>
        </is>
      </c>
      <c r="H813" s="61" t="n">
        <v>554960</v>
      </c>
      <c r="J813" s="63">
        <f>IF($A813="","",IFERROR(INDEX(부서매핑!$C$5:$C$504,MATCH($D813&amp;"",부서매핑!$A$5:$A$504,0)),"미매핑"))</f>
        <v/>
      </c>
      <c r="K813" s="63">
        <f>IF($A813="","",IFERROR(INDEX(계정매핑!$C$5:$C$504,MATCH($F813&amp;"",계정매핑!$A$5:$A$504,0)),"미매핑"))</f>
        <v/>
      </c>
      <c r="L813" s="4">
        <f>IF($A813="","",VALUE($A813&amp;""))</f>
        <v/>
      </c>
      <c r="M813" s="4">
        <f>IF($A813="","",VALUE($B813&amp;""))</f>
        <v/>
      </c>
      <c r="N813" s="64">
        <f>IF($A813="","",$H813*설정!$C$15)</f>
        <v/>
      </c>
      <c r="O813" s="4">
        <f>IF($A813="","",J813&amp;"|"&amp;K813)</f>
        <v/>
      </c>
      <c r="P813" s="63">
        <f>IF($A813="","",IF(COUNTIFS(예산_원본!$T$5:$T$3004,O813,예산_원본!$B$5:$B$3004,설정!$C$8,예산_원본!$U$5:$U$3004,L813)&gt;0,"Y","N"))</f>
        <v/>
      </c>
      <c r="Q813" s="63">
        <f>IF($A813="","",IF(COUNTIF(집계!$E$7:$E$506,O813)&gt;0,"Y","N"))</f>
        <v/>
      </c>
    </row>
    <row r="814">
      <c r="A814" s="60" t="n">
        <v>2025</v>
      </c>
      <c r="B814" s="60" t="n">
        <v>11</v>
      </c>
      <c r="C814" s="60" t="inlineStr">
        <is>
          <t>1000</t>
        </is>
      </c>
      <c r="D814" s="60" t="n">
        <v>1401</v>
      </c>
      <c r="E814" s="60" t="inlineStr">
        <is>
          <t>상품개발</t>
        </is>
      </c>
      <c r="F814" s="60" t="n">
        <v>62901000</v>
      </c>
      <c r="G814" s="60" t="inlineStr">
        <is>
          <t>지급수수료-컨설팅</t>
        </is>
      </c>
      <c r="H814" s="61" t="n">
        <v>17733900</v>
      </c>
      <c r="J814" s="63">
        <f>IF($A814="","",IFERROR(INDEX(부서매핑!$C$5:$C$504,MATCH($D814&amp;"",부서매핑!$A$5:$A$504,0)),"미매핑"))</f>
        <v/>
      </c>
      <c r="K814" s="63">
        <f>IF($A814="","",IFERROR(INDEX(계정매핑!$C$5:$C$504,MATCH($F814&amp;"",계정매핑!$A$5:$A$504,0)),"미매핑"))</f>
        <v/>
      </c>
      <c r="L814" s="4">
        <f>IF($A814="","",VALUE($A814&amp;""))</f>
        <v/>
      </c>
      <c r="M814" s="4">
        <f>IF($A814="","",VALUE($B814&amp;""))</f>
        <v/>
      </c>
      <c r="N814" s="64">
        <f>IF($A814="","",$H814*설정!$C$15)</f>
        <v/>
      </c>
      <c r="O814" s="4">
        <f>IF($A814="","",J814&amp;"|"&amp;K814)</f>
        <v/>
      </c>
      <c r="P814" s="63">
        <f>IF($A814="","",IF(COUNTIFS(예산_원본!$T$5:$T$3004,O814,예산_원본!$B$5:$B$3004,설정!$C$8,예산_원본!$U$5:$U$3004,L814)&gt;0,"Y","N"))</f>
        <v/>
      </c>
      <c r="Q814" s="63">
        <f>IF($A814="","",IF(COUNTIF(집계!$E$7:$E$506,O814)&gt;0,"Y","N"))</f>
        <v/>
      </c>
    </row>
    <row r="815">
      <c r="A815" s="60" t="n">
        <v>2025</v>
      </c>
      <c r="B815" s="60" t="n">
        <v>11</v>
      </c>
      <c r="C815" s="60" t="inlineStr">
        <is>
          <t>1000</t>
        </is>
      </c>
      <c r="D815" s="60" t="n">
        <v>1401</v>
      </c>
      <c r="E815" s="60" t="inlineStr">
        <is>
          <t>상품개발</t>
        </is>
      </c>
      <c r="F815" s="60" t="n">
        <v>62902000</v>
      </c>
      <c r="G815" s="60" t="inlineStr">
        <is>
          <t>지급수수료-기타</t>
        </is>
      </c>
      <c r="H815" s="61" t="n">
        <v>8201060</v>
      </c>
      <c r="J815" s="63">
        <f>IF($A815="","",IFERROR(INDEX(부서매핑!$C$5:$C$504,MATCH($D815&amp;"",부서매핑!$A$5:$A$504,0)),"미매핑"))</f>
        <v/>
      </c>
      <c r="K815" s="63">
        <f>IF($A815="","",IFERROR(INDEX(계정매핑!$C$5:$C$504,MATCH($F815&amp;"",계정매핑!$A$5:$A$504,0)),"미매핑"))</f>
        <v/>
      </c>
      <c r="L815" s="4">
        <f>IF($A815="","",VALUE($A815&amp;""))</f>
        <v/>
      </c>
      <c r="M815" s="4">
        <f>IF($A815="","",VALUE($B815&amp;""))</f>
        <v/>
      </c>
      <c r="N815" s="64">
        <f>IF($A815="","",$H815*설정!$C$15)</f>
        <v/>
      </c>
      <c r="O815" s="4">
        <f>IF($A815="","",J815&amp;"|"&amp;K815)</f>
        <v/>
      </c>
      <c r="P815" s="63">
        <f>IF($A815="","",IF(COUNTIFS(예산_원본!$T$5:$T$3004,O815,예산_원본!$B$5:$B$3004,설정!$C$8,예산_원본!$U$5:$U$3004,L815)&gt;0,"Y","N"))</f>
        <v/>
      </c>
      <c r="Q815" s="63">
        <f>IF($A815="","",IF(COUNTIF(집계!$E$7:$E$506,O815)&gt;0,"Y","N"))</f>
        <v/>
      </c>
    </row>
    <row r="816">
      <c r="A816" s="60" t="n">
        <v>2025</v>
      </c>
      <c r="B816" s="60" t="n">
        <v>11</v>
      </c>
      <c r="C816" s="60" t="inlineStr">
        <is>
          <t>1000</t>
        </is>
      </c>
      <c r="D816" s="60" t="n">
        <v>1501</v>
      </c>
      <c r="E816" s="60" t="inlineStr">
        <is>
          <t>마케팅전략</t>
        </is>
      </c>
      <c r="F816" s="60" t="n">
        <v>62101000</v>
      </c>
      <c r="G816" s="60" t="inlineStr">
        <is>
          <t>여비교통비-국내</t>
        </is>
      </c>
      <c r="H816" s="61" t="n">
        <v>1513910</v>
      </c>
      <c r="J816" s="63">
        <f>IF($A816="","",IFERROR(INDEX(부서매핑!$C$5:$C$504,MATCH($D816&amp;"",부서매핑!$A$5:$A$504,0)),"미매핑"))</f>
        <v/>
      </c>
      <c r="K816" s="63">
        <f>IF($A816="","",IFERROR(INDEX(계정매핑!$C$5:$C$504,MATCH($F816&amp;"",계정매핑!$A$5:$A$504,0)),"미매핑"))</f>
        <v/>
      </c>
      <c r="L816" s="4">
        <f>IF($A816="","",VALUE($A816&amp;""))</f>
        <v/>
      </c>
      <c r="M816" s="4">
        <f>IF($A816="","",VALUE($B816&amp;""))</f>
        <v/>
      </c>
      <c r="N816" s="64">
        <f>IF($A816="","",$H816*설정!$C$15)</f>
        <v/>
      </c>
      <c r="O816" s="4">
        <f>IF($A816="","",J816&amp;"|"&amp;K816)</f>
        <v/>
      </c>
      <c r="P816" s="63">
        <f>IF($A816="","",IF(COUNTIFS(예산_원본!$T$5:$T$3004,O816,예산_원본!$B$5:$B$3004,설정!$C$8,예산_원본!$U$5:$U$3004,L816)&gt;0,"Y","N"))</f>
        <v/>
      </c>
      <c r="Q816" s="63">
        <f>IF($A816="","",IF(COUNTIF(집계!$E$7:$E$506,O816)&gt;0,"Y","N"))</f>
        <v/>
      </c>
    </row>
    <row r="817">
      <c r="A817" s="60" t="n">
        <v>2025</v>
      </c>
      <c r="B817" s="60" t="n">
        <v>11</v>
      </c>
      <c r="C817" s="60" t="inlineStr">
        <is>
          <t>1000</t>
        </is>
      </c>
      <c r="D817" s="60" t="n">
        <v>1501</v>
      </c>
      <c r="E817" s="60" t="inlineStr">
        <is>
          <t>마케팅전략</t>
        </is>
      </c>
      <c r="F817" s="60" t="n">
        <v>62102000</v>
      </c>
      <c r="G817" s="60" t="inlineStr">
        <is>
          <t>여비교통비-해외</t>
        </is>
      </c>
      <c r="H817" s="61" t="n">
        <v>258600</v>
      </c>
      <c r="J817" s="63">
        <f>IF($A817="","",IFERROR(INDEX(부서매핑!$C$5:$C$504,MATCH($D817&amp;"",부서매핑!$A$5:$A$504,0)),"미매핑"))</f>
        <v/>
      </c>
      <c r="K817" s="63">
        <f>IF($A817="","",IFERROR(INDEX(계정매핑!$C$5:$C$504,MATCH($F817&amp;"",계정매핑!$A$5:$A$504,0)),"미매핑"))</f>
        <v/>
      </c>
      <c r="L817" s="4">
        <f>IF($A817="","",VALUE($A817&amp;""))</f>
        <v/>
      </c>
      <c r="M817" s="4">
        <f>IF($A817="","",VALUE($B817&amp;""))</f>
        <v/>
      </c>
      <c r="N817" s="64">
        <f>IF($A817="","",$H817*설정!$C$15)</f>
        <v/>
      </c>
      <c r="O817" s="4">
        <f>IF($A817="","",J817&amp;"|"&amp;K817)</f>
        <v/>
      </c>
      <c r="P817" s="63">
        <f>IF($A817="","",IF(COUNTIFS(예산_원본!$T$5:$T$3004,O817,예산_원본!$B$5:$B$3004,설정!$C$8,예산_원본!$U$5:$U$3004,L817)&gt;0,"Y","N"))</f>
        <v/>
      </c>
      <c r="Q817" s="63">
        <f>IF($A817="","",IF(COUNTIF(집계!$E$7:$E$506,O817)&gt;0,"Y","N"))</f>
        <v/>
      </c>
    </row>
    <row r="818">
      <c r="A818" s="60" t="n">
        <v>2025</v>
      </c>
      <c r="B818" s="60" t="n">
        <v>11</v>
      </c>
      <c r="C818" s="60" t="inlineStr">
        <is>
          <t>1000</t>
        </is>
      </c>
      <c r="D818" s="60" t="n">
        <v>1501</v>
      </c>
      <c r="E818" s="60" t="inlineStr">
        <is>
          <t>마케팅전략</t>
        </is>
      </c>
      <c r="F818" s="60" t="n">
        <v>62201000</v>
      </c>
      <c r="G818" s="60" t="inlineStr">
        <is>
          <t>통신비</t>
        </is>
      </c>
      <c r="H818" s="61" t="n">
        <v>524540</v>
      </c>
      <c r="J818" s="63">
        <f>IF($A818="","",IFERROR(INDEX(부서매핑!$C$5:$C$504,MATCH($D818&amp;"",부서매핑!$A$5:$A$504,0)),"미매핑"))</f>
        <v/>
      </c>
      <c r="K818" s="63">
        <f>IF($A818="","",IFERROR(INDEX(계정매핑!$C$5:$C$504,MATCH($F818&amp;"",계정매핑!$A$5:$A$504,0)),"미매핑"))</f>
        <v/>
      </c>
      <c r="L818" s="4">
        <f>IF($A818="","",VALUE($A818&amp;""))</f>
        <v/>
      </c>
      <c r="M818" s="4">
        <f>IF($A818="","",VALUE($B818&amp;""))</f>
        <v/>
      </c>
      <c r="N818" s="64">
        <f>IF($A818="","",$H818*설정!$C$15)</f>
        <v/>
      </c>
      <c r="O818" s="4">
        <f>IF($A818="","",J818&amp;"|"&amp;K818)</f>
        <v/>
      </c>
      <c r="P818" s="63">
        <f>IF($A818="","",IF(COUNTIFS(예산_원본!$T$5:$T$3004,O818,예산_원본!$B$5:$B$3004,설정!$C$8,예산_원본!$U$5:$U$3004,L818)&gt;0,"Y","N"))</f>
        <v/>
      </c>
      <c r="Q818" s="63">
        <f>IF($A818="","",IF(COUNTIF(집계!$E$7:$E$506,O818)&gt;0,"Y","N"))</f>
        <v/>
      </c>
    </row>
    <row r="819">
      <c r="A819" s="60" t="n">
        <v>2025</v>
      </c>
      <c r="B819" s="60" t="n">
        <v>11</v>
      </c>
      <c r="C819" s="60" t="inlineStr">
        <is>
          <t>1000</t>
        </is>
      </c>
      <c r="D819" s="60" t="n">
        <v>1501</v>
      </c>
      <c r="E819" s="60" t="inlineStr">
        <is>
          <t>마케팅전략</t>
        </is>
      </c>
      <c r="F819" s="60" t="n">
        <v>62301000</v>
      </c>
      <c r="G819" s="60" t="inlineStr">
        <is>
          <t>소모품비</t>
        </is>
      </c>
      <c r="H819" s="61" t="n">
        <v>464630</v>
      </c>
      <c r="J819" s="63">
        <f>IF($A819="","",IFERROR(INDEX(부서매핑!$C$5:$C$504,MATCH($D819&amp;"",부서매핑!$A$5:$A$504,0)),"미매핑"))</f>
        <v/>
      </c>
      <c r="K819" s="63">
        <f>IF($A819="","",IFERROR(INDEX(계정매핑!$C$5:$C$504,MATCH($F819&amp;"",계정매핑!$A$5:$A$504,0)),"미매핑"))</f>
        <v/>
      </c>
      <c r="L819" s="4">
        <f>IF($A819="","",VALUE($A819&amp;""))</f>
        <v/>
      </c>
      <c r="M819" s="4">
        <f>IF($A819="","",VALUE($B819&amp;""))</f>
        <v/>
      </c>
      <c r="N819" s="64">
        <f>IF($A819="","",$H819*설정!$C$15)</f>
        <v/>
      </c>
      <c r="O819" s="4">
        <f>IF($A819="","",J819&amp;"|"&amp;K819)</f>
        <v/>
      </c>
      <c r="P819" s="63">
        <f>IF($A819="","",IF(COUNTIFS(예산_원본!$T$5:$T$3004,O819,예산_원본!$B$5:$B$3004,설정!$C$8,예산_원본!$U$5:$U$3004,L819)&gt;0,"Y","N"))</f>
        <v/>
      </c>
      <c r="Q819" s="63">
        <f>IF($A819="","",IF(COUNTIF(집계!$E$7:$E$506,O819)&gt;0,"Y","N"))</f>
        <v/>
      </c>
    </row>
    <row r="820">
      <c r="A820" s="60" t="n">
        <v>2025</v>
      </c>
      <c r="B820" s="60" t="n">
        <v>11</v>
      </c>
      <c r="C820" s="60" t="inlineStr">
        <is>
          <t>1000</t>
        </is>
      </c>
      <c r="D820" s="60" t="n">
        <v>1501</v>
      </c>
      <c r="E820" s="60" t="inlineStr">
        <is>
          <t>마케팅전략</t>
        </is>
      </c>
      <c r="F820" s="60" t="n">
        <v>62401000</v>
      </c>
      <c r="G820" s="60" t="inlineStr">
        <is>
          <t>도서인쇄비</t>
        </is>
      </c>
      <c r="H820" s="61" t="n">
        <v>3819640</v>
      </c>
      <c r="J820" s="63">
        <f>IF($A820="","",IFERROR(INDEX(부서매핑!$C$5:$C$504,MATCH($D820&amp;"",부서매핑!$A$5:$A$504,0)),"미매핑"))</f>
        <v/>
      </c>
      <c r="K820" s="63">
        <f>IF($A820="","",IFERROR(INDEX(계정매핑!$C$5:$C$504,MATCH($F820&amp;"",계정매핑!$A$5:$A$504,0)),"미매핑"))</f>
        <v/>
      </c>
      <c r="L820" s="4">
        <f>IF($A820="","",VALUE($A820&amp;""))</f>
        <v/>
      </c>
      <c r="M820" s="4">
        <f>IF($A820="","",VALUE($B820&amp;""))</f>
        <v/>
      </c>
      <c r="N820" s="64">
        <f>IF($A820="","",$H820*설정!$C$15)</f>
        <v/>
      </c>
      <c r="O820" s="4">
        <f>IF($A820="","",J820&amp;"|"&amp;K820)</f>
        <v/>
      </c>
      <c r="P820" s="63">
        <f>IF($A820="","",IF(COUNTIFS(예산_원본!$T$5:$T$3004,O820,예산_원본!$B$5:$B$3004,설정!$C$8,예산_원본!$U$5:$U$3004,L820)&gt;0,"Y","N"))</f>
        <v/>
      </c>
      <c r="Q820" s="63">
        <f>IF($A820="","",IF(COUNTIF(집계!$E$7:$E$506,O820)&gt;0,"Y","N"))</f>
        <v/>
      </c>
    </row>
    <row r="821">
      <c r="A821" s="60" t="n">
        <v>2025</v>
      </c>
      <c r="B821" s="60" t="n">
        <v>11</v>
      </c>
      <c r="C821" s="60" t="inlineStr">
        <is>
          <t>1000</t>
        </is>
      </c>
      <c r="D821" s="60" t="n">
        <v>1501</v>
      </c>
      <c r="E821" s="60" t="inlineStr">
        <is>
          <t>마케팅전략</t>
        </is>
      </c>
      <c r="F821" s="60" t="n">
        <v>62501000</v>
      </c>
      <c r="G821" s="60" t="inlineStr">
        <is>
          <t>회의비</t>
        </is>
      </c>
      <c r="H821" s="61" t="n">
        <v>684830</v>
      </c>
      <c r="J821" s="63">
        <f>IF($A821="","",IFERROR(INDEX(부서매핑!$C$5:$C$504,MATCH($D821&amp;"",부서매핑!$A$5:$A$504,0)),"미매핑"))</f>
        <v/>
      </c>
      <c r="K821" s="63">
        <f>IF($A821="","",IFERROR(INDEX(계정매핑!$C$5:$C$504,MATCH($F821&amp;"",계정매핑!$A$5:$A$504,0)),"미매핑"))</f>
        <v/>
      </c>
      <c r="L821" s="4">
        <f>IF($A821="","",VALUE($A821&amp;""))</f>
        <v/>
      </c>
      <c r="M821" s="4">
        <f>IF($A821="","",VALUE($B821&amp;""))</f>
        <v/>
      </c>
      <c r="N821" s="64">
        <f>IF($A821="","",$H821*설정!$C$15)</f>
        <v/>
      </c>
      <c r="O821" s="4">
        <f>IF($A821="","",J821&amp;"|"&amp;K821)</f>
        <v/>
      </c>
      <c r="P821" s="63">
        <f>IF($A821="","",IF(COUNTIFS(예산_원본!$T$5:$T$3004,O821,예산_원본!$B$5:$B$3004,설정!$C$8,예산_원본!$U$5:$U$3004,L821)&gt;0,"Y","N"))</f>
        <v/>
      </c>
      <c r="Q821" s="63">
        <f>IF($A821="","",IF(COUNTIF(집계!$E$7:$E$506,O821)&gt;0,"Y","N"))</f>
        <v/>
      </c>
    </row>
    <row r="822">
      <c r="A822" s="60" t="n">
        <v>2025</v>
      </c>
      <c r="B822" s="60" t="n">
        <v>11</v>
      </c>
      <c r="C822" s="60" t="inlineStr">
        <is>
          <t>1000</t>
        </is>
      </c>
      <c r="D822" s="60" t="n">
        <v>1501</v>
      </c>
      <c r="E822" s="60" t="inlineStr">
        <is>
          <t>마케팅전략</t>
        </is>
      </c>
      <c r="F822" s="60" t="n">
        <v>62601000</v>
      </c>
      <c r="G822" s="60" t="inlineStr">
        <is>
          <t>업무추진비</t>
        </is>
      </c>
      <c r="H822" s="61" t="n">
        <v>1542350</v>
      </c>
      <c r="J822" s="63">
        <f>IF($A822="","",IFERROR(INDEX(부서매핑!$C$5:$C$504,MATCH($D822&amp;"",부서매핑!$A$5:$A$504,0)),"미매핑"))</f>
        <v/>
      </c>
      <c r="K822" s="63">
        <f>IF($A822="","",IFERROR(INDEX(계정매핑!$C$5:$C$504,MATCH($F822&amp;"",계정매핑!$A$5:$A$504,0)),"미매핑"))</f>
        <v/>
      </c>
      <c r="L822" s="4">
        <f>IF($A822="","",VALUE($A822&amp;""))</f>
        <v/>
      </c>
      <c r="M822" s="4">
        <f>IF($A822="","",VALUE($B822&amp;""))</f>
        <v/>
      </c>
      <c r="N822" s="64">
        <f>IF($A822="","",$H822*설정!$C$15)</f>
        <v/>
      </c>
      <c r="O822" s="4">
        <f>IF($A822="","",J822&amp;"|"&amp;K822)</f>
        <v/>
      </c>
      <c r="P822" s="63">
        <f>IF($A822="","",IF(COUNTIFS(예산_원본!$T$5:$T$3004,O822,예산_원본!$B$5:$B$3004,설정!$C$8,예산_원본!$U$5:$U$3004,L822)&gt;0,"Y","N"))</f>
        <v/>
      </c>
      <c r="Q822" s="63">
        <f>IF($A822="","",IF(COUNTIF(집계!$E$7:$E$506,O822)&gt;0,"Y","N"))</f>
        <v/>
      </c>
    </row>
    <row r="823">
      <c r="A823" s="60" t="n">
        <v>2025</v>
      </c>
      <c r="B823" s="60" t="n">
        <v>11</v>
      </c>
      <c r="C823" s="60" t="inlineStr">
        <is>
          <t>1000</t>
        </is>
      </c>
      <c r="D823" s="60" t="n">
        <v>1501</v>
      </c>
      <c r="E823" s="60" t="inlineStr">
        <is>
          <t>마케팅전략</t>
        </is>
      </c>
      <c r="F823" s="60" t="n">
        <v>62701000</v>
      </c>
      <c r="G823" s="60" t="inlineStr">
        <is>
          <t>광고선전비</t>
        </is>
      </c>
      <c r="H823" s="61" t="n">
        <v>77984370</v>
      </c>
      <c r="J823" s="63">
        <f>IF($A823="","",IFERROR(INDEX(부서매핑!$C$5:$C$504,MATCH($D823&amp;"",부서매핑!$A$5:$A$504,0)),"미매핑"))</f>
        <v/>
      </c>
      <c r="K823" s="63">
        <f>IF($A823="","",IFERROR(INDEX(계정매핑!$C$5:$C$504,MATCH($F823&amp;"",계정매핑!$A$5:$A$504,0)),"미매핑"))</f>
        <v/>
      </c>
      <c r="L823" s="4">
        <f>IF($A823="","",VALUE($A823&amp;""))</f>
        <v/>
      </c>
      <c r="M823" s="4">
        <f>IF($A823="","",VALUE($B823&amp;""))</f>
        <v/>
      </c>
      <c r="N823" s="64">
        <f>IF($A823="","",$H823*설정!$C$15)</f>
        <v/>
      </c>
      <c r="O823" s="4">
        <f>IF($A823="","",J823&amp;"|"&amp;K823)</f>
        <v/>
      </c>
      <c r="P823" s="63">
        <f>IF($A823="","",IF(COUNTIFS(예산_원본!$T$5:$T$3004,O823,예산_원본!$B$5:$B$3004,설정!$C$8,예산_원본!$U$5:$U$3004,L823)&gt;0,"Y","N"))</f>
        <v/>
      </c>
      <c r="Q823" s="63">
        <f>IF($A823="","",IF(COUNTIF(집계!$E$7:$E$506,O823)&gt;0,"Y","N"))</f>
        <v/>
      </c>
    </row>
    <row r="824">
      <c r="A824" s="60" t="n">
        <v>2025</v>
      </c>
      <c r="B824" s="60" t="n">
        <v>11</v>
      </c>
      <c r="C824" s="60" t="inlineStr">
        <is>
          <t>1000</t>
        </is>
      </c>
      <c r="D824" s="60" t="n">
        <v>1502</v>
      </c>
      <c r="E824" s="60" t="inlineStr">
        <is>
          <t>디지털마케팅</t>
        </is>
      </c>
      <c r="F824" s="60" t="n">
        <v>62101000</v>
      </c>
      <c r="G824" s="60" t="inlineStr">
        <is>
          <t>여비교통비-국내</t>
        </is>
      </c>
      <c r="H824" s="61" t="n">
        <v>914630</v>
      </c>
      <c r="J824" s="63">
        <f>IF($A824="","",IFERROR(INDEX(부서매핑!$C$5:$C$504,MATCH($D824&amp;"",부서매핑!$A$5:$A$504,0)),"미매핑"))</f>
        <v/>
      </c>
      <c r="K824" s="63">
        <f>IF($A824="","",IFERROR(INDEX(계정매핑!$C$5:$C$504,MATCH($F824&amp;"",계정매핑!$A$5:$A$504,0)),"미매핑"))</f>
        <v/>
      </c>
      <c r="L824" s="4">
        <f>IF($A824="","",VALUE($A824&amp;""))</f>
        <v/>
      </c>
      <c r="M824" s="4">
        <f>IF($A824="","",VALUE($B824&amp;""))</f>
        <v/>
      </c>
      <c r="N824" s="64">
        <f>IF($A824="","",$H824*설정!$C$15)</f>
        <v/>
      </c>
      <c r="O824" s="4">
        <f>IF($A824="","",J824&amp;"|"&amp;K824)</f>
        <v/>
      </c>
      <c r="P824" s="63">
        <f>IF($A824="","",IF(COUNTIFS(예산_원본!$T$5:$T$3004,O824,예산_원본!$B$5:$B$3004,설정!$C$8,예산_원본!$U$5:$U$3004,L824)&gt;0,"Y","N"))</f>
        <v/>
      </c>
      <c r="Q824" s="63">
        <f>IF($A824="","",IF(COUNTIF(집계!$E$7:$E$506,O824)&gt;0,"Y","N"))</f>
        <v/>
      </c>
    </row>
    <row r="825">
      <c r="A825" s="60" t="n">
        <v>2025</v>
      </c>
      <c r="B825" s="60" t="n">
        <v>11</v>
      </c>
      <c r="C825" s="60" t="inlineStr">
        <is>
          <t>1000</t>
        </is>
      </c>
      <c r="D825" s="60" t="n">
        <v>1502</v>
      </c>
      <c r="E825" s="60" t="inlineStr">
        <is>
          <t>디지털마케팅</t>
        </is>
      </c>
      <c r="F825" s="60" t="n">
        <v>62102000</v>
      </c>
      <c r="G825" s="60" t="inlineStr">
        <is>
          <t>여비교통비-해외</t>
        </is>
      </c>
      <c r="H825" s="61" t="n">
        <v>183500</v>
      </c>
      <c r="J825" s="63">
        <f>IF($A825="","",IFERROR(INDEX(부서매핑!$C$5:$C$504,MATCH($D825&amp;"",부서매핑!$A$5:$A$504,0)),"미매핑"))</f>
        <v/>
      </c>
      <c r="K825" s="63">
        <f>IF($A825="","",IFERROR(INDEX(계정매핑!$C$5:$C$504,MATCH($F825&amp;"",계정매핑!$A$5:$A$504,0)),"미매핑"))</f>
        <v/>
      </c>
      <c r="L825" s="4">
        <f>IF($A825="","",VALUE($A825&amp;""))</f>
        <v/>
      </c>
      <c r="M825" s="4">
        <f>IF($A825="","",VALUE($B825&amp;""))</f>
        <v/>
      </c>
      <c r="N825" s="64">
        <f>IF($A825="","",$H825*설정!$C$15)</f>
        <v/>
      </c>
      <c r="O825" s="4">
        <f>IF($A825="","",J825&amp;"|"&amp;K825)</f>
        <v/>
      </c>
      <c r="P825" s="63">
        <f>IF($A825="","",IF(COUNTIFS(예산_원본!$T$5:$T$3004,O825,예산_원본!$B$5:$B$3004,설정!$C$8,예산_원본!$U$5:$U$3004,L825)&gt;0,"Y","N"))</f>
        <v/>
      </c>
      <c r="Q825" s="63">
        <f>IF($A825="","",IF(COUNTIF(집계!$E$7:$E$506,O825)&gt;0,"Y","N"))</f>
        <v/>
      </c>
    </row>
    <row r="826">
      <c r="A826" s="60" t="n">
        <v>2025</v>
      </c>
      <c r="B826" s="60" t="n">
        <v>11</v>
      </c>
      <c r="C826" s="60" t="inlineStr">
        <is>
          <t>1000</t>
        </is>
      </c>
      <c r="D826" s="60" t="n">
        <v>1502</v>
      </c>
      <c r="E826" s="60" t="inlineStr">
        <is>
          <t>디지털마케팅</t>
        </is>
      </c>
      <c r="F826" s="60" t="n">
        <v>62201000</v>
      </c>
      <c r="G826" s="60" t="inlineStr">
        <is>
          <t>통신비</t>
        </is>
      </c>
      <c r="H826" s="61" t="n">
        <v>382590</v>
      </c>
      <c r="J826" s="63">
        <f>IF($A826="","",IFERROR(INDEX(부서매핑!$C$5:$C$504,MATCH($D826&amp;"",부서매핑!$A$5:$A$504,0)),"미매핑"))</f>
        <v/>
      </c>
      <c r="K826" s="63">
        <f>IF($A826="","",IFERROR(INDEX(계정매핑!$C$5:$C$504,MATCH($F826&amp;"",계정매핑!$A$5:$A$504,0)),"미매핑"))</f>
        <v/>
      </c>
      <c r="L826" s="4">
        <f>IF($A826="","",VALUE($A826&amp;""))</f>
        <v/>
      </c>
      <c r="M826" s="4">
        <f>IF($A826="","",VALUE($B826&amp;""))</f>
        <v/>
      </c>
      <c r="N826" s="64">
        <f>IF($A826="","",$H826*설정!$C$15)</f>
        <v/>
      </c>
      <c r="O826" s="4">
        <f>IF($A826="","",J826&amp;"|"&amp;K826)</f>
        <v/>
      </c>
      <c r="P826" s="63">
        <f>IF($A826="","",IF(COUNTIFS(예산_원본!$T$5:$T$3004,O826,예산_원본!$B$5:$B$3004,설정!$C$8,예산_원본!$U$5:$U$3004,L826)&gt;0,"Y","N"))</f>
        <v/>
      </c>
      <c r="Q826" s="63">
        <f>IF($A826="","",IF(COUNTIF(집계!$E$7:$E$506,O826)&gt;0,"Y","N"))</f>
        <v/>
      </c>
    </row>
    <row r="827">
      <c r="A827" s="60" t="n">
        <v>2025</v>
      </c>
      <c r="B827" s="60" t="n">
        <v>11</v>
      </c>
      <c r="C827" s="60" t="inlineStr">
        <is>
          <t>1000</t>
        </is>
      </c>
      <c r="D827" s="60" t="n">
        <v>1502</v>
      </c>
      <c r="E827" s="60" t="inlineStr">
        <is>
          <t>디지털마케팅</t>
        </is>
      </c>
      <c r="F827" s="60" t="n">
        <v>62301000</v>
      </c>
      <c r="G827" s="60" t="inlineStr">
        <is>
          <t>소모품비</t>
        </is>
      </c>
      <c r="H827" s="61" t="n">
        <v>267800</v>
      </c>
      <c r="J827" s="63">
        <f>IF($A827="","",IFERROR(INDEX(부서매핑!$C$5:$C$504,MATCH($D827&amp;"",부서매핑!$A$5:$A$504,0)),"미매핑"))</f>
        <v/>
      </c>
      <c r="K827" s="63">
        <f>IF($A827="","",IFERROR(INDEX(계정매핑!$C$5:$C$504,MATCH($F827&amp;"",계정매핑!$A$5:$A$504,0)),"미매핑"))</f>
        <v/>
      </c>
      <c r="L827" s="4">
        <f>IF($A827="","",VALUE($A827&amp;""))</f>
        <v/>
      </c>
      <c r="M827" s="4">
        <f>IF($A827="","",VALUE($B827&amp;""))</f>
        <v/>
      </c>
      <c r="N827" s="64">
        <f>IF($A827="","",$H827*설정!$C$15)</f>
        <v/>
      </c>
      <c r="O827" s="4">
        <f>IF($A827="","",J827&amp;"|"&amp;K827)</f>
        <v/>
      </c>
      <c r="P827" s="63">
        <f>IF($A827="","",IF(COUNTIFS(예산_원본!$T$5:$T$3004,O827,예산_원본!$B$5:$B$3004,설정!$C$8,예산_원본!$U$5:$U$3004,L827)&gt;0,"Y","N"))</f>
        <v/>
      </c>
      <c r="Q827" s="63">
        <f>IF($A827="","",IF(COUNTIF(집계!$E$7:$E$506,O827)&gt;0,"Y","N"))</f>
        <v/>
      </c>
    </row>
    <row r="828">
      <c r="A828" s="60" t="n">
        <v>2025</v>
      </c>
      <c r="B828" s="60" t="n">
        <v>11</v>
      </c>
      <c r="C828" s="60" t="inlineStr">
        <is>
          <t>1000</t>
        </is>
      </c>
      <c r="D828" s="60" t="n">
        <v>1502</v>
      </c>
      <c r="E828" s="60" t="inlineStr">
        <is>
          <t>디지털마케팅</t>
        </is>
      </c>
      <c r="F828" s="60" t="n">
        <v>62401000</v>
      </c>
      <c r="G828" s="60" t="inlineStr">
        <is>
          <t>도서인쇄비</t>
        </is>
      </c>
      <c r="H828" s="61" t="n">
        <v>2925570</v>
      </c>
      <c r="J828" s="63">
        <f>IF($A828="","",IFERROR(INDEX(부서매핑!$C$5:$C$504,MATCH($D828&amp;"",부서매핑!$A$5:$A$504,0)),"미매핑"))</f>
        <v/>
      </c>
      <c r="K828" s="63">
        <f>IF($A828="","",IFERROR(INDEX(계정매핑!$C$5:$C$504,MATCH($F828&amp;"",계정매핑!$A$5:$A$504,0)),"미매핑"))</f>
        <v/>
      </c>
      <c r="L828" s="4">
        <f>IF($A828="","",VALUE($A828&amp;""))</f>
        <v/>
      </c>
      <c r="M828" s="4">
        <f>IF($A828="","",VALUE($B828&amp;""))</f>
        <v/>
      </c>
      <c r="N828" s="64">
        <f>IF($A828="","",$H828*설정!$C$15)</f>
        <v/>
      </c>
      <c r="O828" s="4">
        <f>IF($A828="","",J828&amp;"|"&amp;K828)</f>
        <v/>
      </c>
      <c r="P828" s="63">
        <f>IF($A828="","",IF(COUNTIFS(예산_원본!$T$5:$T$3004,O828,예산_원본!$B$5:$B$3004,설정!$C$8,예산_원본!$U$5:$U$3004,L828)&gt;0,"Y","N"))</f>
        <v/>
      </c>
      <c r="Q828" s="63">
        <f>IF($A828="","",IF(COUNTIF(집계!$E$7:$E$506,O828)&gt;0,"Y","N"))</f>
        <v/>
      </c>
    </row>
    <row r="829">
      <c r="A829" s="60" t="n">
        <v>2025</v>
      </c>
      <c r="B829" s="60" t="n">
        <v>11</v>
      </c>
      <c r="C829" s="60" t="inlineStr">
        <is>
          <t>1000</t>
        </is>
      </c>
      <c r="D829" s="60" t="n">
        <v>1502</v>
      </c>
      <c r="E829" s="60" t="inlineStr">
        <is>
          <t>디지털마케팅</t>
        </is>
      </c>
      <c r="F829" s="60" t="n">
        <v>62501000</v>
      </c>
      <c r="G829" s="60" t="inlineStr">
        <is>
          <t>회의비</t>
        </is>
      </c>
      <c r="H829" s="61" t="n">
        <v>431020</v>
      </c>
      <c r="J829" s="63">
        <f>IF($A829="","",IFERROR(INDEX(부서매핑!$C$5:$C$504,MATCH($D829&amp;"",부서매핑!$A$5:$A$504,0)),"미매핑"))</f>
        <v/>
      </c>
      <c r="K829" s="63">
        <f>IF($A829="","",IFERROR(INDEX(계정매핑!$C$5:$C$504,MATCH($F829&amp;"",계정매핑!$A$5:$A$504,0)),"미매핑"))</f>
        <v/>
      </c>
      <c r="L829" s="4">
        <f>IF($A829="","",VALUE($A829&amp;""))</f>
        <v/>
      </c>
      <c r="M829" s="4">
        <f>IF($A829="","",VALUE($B829&amp;""))</f>
        <v/>
      </c>
      <c r="N829" s="64">
        <f>IF($A829="","",$H829*설정!$C$15)</f>
        <v/>
      </c>
      <c r="O829" s="4">
        <f>IF($A829="","",J829&amp;"|"&amp;K829)</f>
        <v/>
      </c>
      <c r="P829" s="63">
        <f>IF($A829="","",IF(COUNTIFS(예산_원본!$T$5:$T$3004,O829,예산_원본!$B$5:$B$3004,설정!$C$8,예산_원본!$U$5:$U$3004,L829)&gt;0,"Y","N"))</f>
        <v/>
      </c>
      <c r="Q829" s="63">
        <f>IF($A829="","",IF(COUNTIF(집계!$E$7:$E$506,O829)&gt;0,"Y","N"))</f>
        <v/>
      </c>
    </row>
    <row r="830">
      <c r="A830" s="60" t="n">
        <v>2025</v>
      </c>
      <c r="B830" s="60" t="n">
        <v>11</v>
      </c>
      <c r="C830" s="60" t="inlineStr">
        <is>
          <t>1000</t>
        </is>
      </c>
      <c r="D830" s="60" t="n">
        <v>1502</v>
      </c>
      <c r="E830" s="60" t="inlineStr">
        <is>
          <t>디지털마케팅</t>
        </is>
      </c>
      <c r="F830" s="60" t="n">
        <v>62601000</v>
      </c>
      <c r="G830" s="60" t="inlineStr">
        <is>
          <t>업무추진비</t>
        </is>
      </c>
      <c r="H830" s="61" t="n">
        <v>1086640</v>
      </c>
      <c r="J830" s="63">
        <f>IF($A830="","",IFERROR(INDEX(부서매핑!$C$5:$C$504,MATCH($D830&amp;"",부서매핑!$A$5:$A$504,0)),"미매핑"))</f>
        <v/>
      </c>
      <c r="K830" s="63">
        <f>IF($A830="","",IFERROR(INDEX(계정매핑!$C$5:$C$504,MATCH($F830&amp;"",계정매핑!$A$5:$A$504,0)),"미매핑"))</f>
        <v/>
      </c>
      <c r="L830" s="4">
        <f>IF($A830="","",VALUE($A830&amp;""))</f>
        <v/>
      </c>
      <c r="M830" s="4">
        <f>IF($A830="","",VALUE($B830&amp;""))</f>
        <v/>
      </c>
      <c r="N830" s="64">
        <f>IF($A830="","",$H830*설정!$C$15)</f>
        <v/>
      </c>
      <c r="O830" s="4">
        <f>IF($A830="","",J830&amp;"|"&amp;K830)</f>
        <v/>
      </c>
      <c r="P830" s="63">
        <f>IF($A830="","",IF(COUNTIFS(예산_원본!$T$5:$T$3004,O830,예산_원본!$B$5:$B$3004,설정!$C$8,예산_원본!$U$5:$U$3004,L830)&gt;0,"Y","N"))</f>
        <v/>
      </c>
      <c r="Q830" s="63">
        <f>IF($A830="","",IF(COUNTIF(집계!$E$7:$E$506,O830)&gt;0,"Y","N"))</f>
        <v/>
      </c>
    </row>
    <row r="831">
      <c r="A831" s="60" t="n">
        <v>2025</v>
      </c>
      <c r="B831" s="60" t="n">
        <v>11</v>
      </c>
      <c r="C831" s="60" t="inlineStr">
        <is>
          <t>1000</t>
        </is>
      </c>
      <c r="D831" s="60" t="n">
        <v>1502</v>
      </c>
      <c r="E831" s="60" t="inlineStr">
        <is>
          <t>디지털마케팅</t>
        </is>
      </c>
      <c r="F831" s="60" t="n">
        <v>62701000</v>
      </c>
      <c r="G831" s="60" t="inlineStr">
        <is>
          <t>광고선전비</t>
        </is>
      </c>
      <c r="H831" s="61" t="n">
        <v>51836170</v>
      </c>
      <c r="J831" s="63">
        <f>IF($A831="","",IFERROR(INDEX(부서매핑!$C$5:$C$504,MATCH($D831&amp;"",부서매핑!$A$5:$A$504,0)),"미매핑"))</f>
        <v/>
      </c>
      <c r="K831" s="63">
        <f>IF($A831="","",IFERROR(INDEX(계정매핑!$C$5:$C$504,MATCH($F831&amp;"",계정매핑!$A$5:$A$504,0)),"미매핑"))</f>
        <v/>
      </c>
      <c r="L831" s="4">
        <f>IF($A831="","",VALUE($A831&amp;""))</f>
        <v/>
      </c>
      <c r="M831" s="4">
        <f>IF($A831="","",VALUE($B831&amp;""))</f>
        <v/>
      </c>
      <c r="N831" s="64">
        <f>IF($A831="","",$H831*설정!$C$15)</f>
        <v/>
      </c>
      <c r="O831" s="4">
        <f>IF($A831="","",J831&amp;"|"&amp;K831)</f>
        <v/>
      </c>
      <c r="P831" s="63">
        <f>IF($A831="","",IF(COUNTIFS(예산_원본!$T$5:$T$3004,O831,예산_원본!$B$5:$B$3004,설정!$C$8,예산_원본!$U$5:$U$3004,L831)&gt;0,"Y","N"))</f>
        <v/>
      </c>
      <c r="Q831" s="63">
        <f>IF($A831="","",IF(COUNTIF(집계!$E$7:$E$506,O831)&gt;0,"Y","N"))</f>
        <v/>
      </c>
    </row>
    <row r="832">
      <c r="A832" s="60" t="n">
        <v>2025</v>
      </c>
      <c r="B832" s="60" t="n">
        <v>11</v>
      </c>
      <c r="C832" s="60" t="inlineStr">
        <is>
          <t>1000</t>
        </is>
      </c>
      <c r="D832" s="60" t="n">
        <v>1601</v>
      </c>
      <c r="E832" s="60" t="inlineStr">
        <is>
          <t>영업지원-본사</t>
        </is>
      </c>
      <c r="F832" s="60" t="n">
        <v>62101000</v>
      </c>
      <c r="G832" s="60" t="inlineStr">
        <is>
          <t>여비교통비-국내</t>
        </is>
      </c>
      <c r="H832" s="61" t="n">
        <v>2928200</v>
      </c>
      <c r="J832" s="63">
        <f>IF($A832="","",IFERROR(INDEX(부서매핑!$C$5:$C$504,MATCH($D832&amp;"",부서매핑!$A$5:$A$504,0)),"미매핑"))</f>
        <v/>
      </c>
      <c r="K832" s="63">
        <f>IF($A832="","",IFERROR(INDEX(계정매핑!$C$5:$C$504,MATCH($F832&amp;"",계정매핑!$A$5:$A$504,0)),"미매핑"))</f>
        <v/>
      </c>
      <c r="L832" s="4">
        <f>IF($A832="","",VALUE($A832&amp;""))</f>
        <v/>
      </c>
      <c r="M832" s="4">
        <f>IF($A832="","",VALUE($B832&amp;""))</f>
        <v/>
      </c>
      <c r="N832" s="64">
        <f>IF($A832="","",$H832*설정!$C$15)</f>
        <v/>
      </c>
      <c r="O832" s="4">
        <f>IF($A832="","",J832&amp;"|"&amp;K832)</f>
        <v/>
      </c>
      <c r="P832" s="63">
        <f>IF($A832="","",IF(COUNTIFS(예산_원본!$T$5:$T$3004,O832,예산_원본!$B$5:$B$3004,설정!$C$8,예산_원본!$U$5:$U$3004,L832)&gt;0,"Y","N"))</f>
        <v/>
      </c>
      <c r="Q832" s="63">
        <f>IF($A832="","",IF(COUNTIF(집계!$E$7:$E$506,O832)&gt;0,"Y","N"))</f>
        <v/>
      </c>
    </row>
    <row r="833">
      <c r="A833" s="60" t="n">
        <v>2025</v>
      </c>
      <c r="B833" s="60" t="n">
        <v>11</v>
      </c>
      <c r="C833" s="60" t="inlineStr">
        <is>
          <t>1000</t>
        </is>
      </c>
      <c r="D833" s="60" t="n">
        <v>1601</v>
      </c>
      <c r="E833" s="60" t="inlineStr">
        <is>
          <t>영업지원-본사</t>
        </is>
      </c>
      <c r="F833" s="60" t="n">
        <v>62102000</v>
      </c>
      <c r="G833" s="60" t="inlineStr">
        <is>
          <t>여비교통비-해외</t>
        </is>
      </c>
      <c r="H833" s="61" t="n">
        <v>491160</v>
      </c>
      <c r="J833" s="63">
        <f>IF($A833="","",IFERROR(INDEX(부서매핑!$C$5:$C$504,MATCH($D833&amp;"",부서매핑!$A$5:$A$504,0)),"미매핑"))</f>
        <v/>
      </c>
      <c r="K833" s="63">
        <f>IF($A833="","",IFERROR(INDEX(계정매핑!$C$5:$C$504,MATCH($F833&amp;"",계정매핑!$A$5:$A$504,0)),"미매핑"))</f>
        <v/>
      </c>
      <c r="L833" s="4">
        <f>IF($A833="","",VALUE($A833&amp;""))</f>
        <v/>
      </c>
      <c r="M833" s="4">
        <f>IF($A833="","",VALUE($B833&amp;""))</f>
        <v/>
      </c>
      <c r="N833" s="64">
        <f>IF($A833="","",$H833*설정!$C$15)</f>
        <v/>
      </c>
      <c r="O833" s="4">
        <f>IF($A833="","",J833&amp;"|"&amp;K833)</f>
        <v/>
      </c>
      <c r="P833" s="63">
        <f>IF($A833="","",IF(COUNTIFS(예산_원본!$T$5:$T$3004,O833,예산_원본!$B$5:$B$3004,설정!$C$8,예산_원본!$U$5:$U$3004,L833)&gt;0,"Y","N"))</f>
        <v/>
      </c>
      <c r="Q833" s="63">
        <f>IF($A833="","",IF(COUNTIF(집계!$E$7:$E$506,O833)&gt;0,"Y","N"))</f>
        <v/>
      </c>
    </row>
    <row r="834">
      <c r="A834" s="60" t="n">
        <v>2025</v>
      </c>
      <c r="B834" s="60" t="n">
        <v>11</v>
      </c>
      <c r="C834" s="60" t="inlineStr">
        <is>
          <t>1000</t>
        </is>
      </c>
      <c r="D834" s="60" t="n">
        <v>1601</v>
      </c>
      <c r="E834" s="60" t="inlineStr">
        <is>
          <t>영업지원-본사</t>
        </is>
      </c>
      <c r="F834" s="60" t="n">
        <v>62201000</v>
      </c>
      <c r="G834" s="60" t="inlineStr">
        <is>
          <t>통신비</t>
        </is>
      </c>
      <c r="H834" s="61" t="n">
        <v>1006380</v>
      </c>
      <c r="J834" s="63">
        <f>IF($A834="","",IFERROR(INDEX(부서매핑!$C$5:$C$504,MATCH($D834&amp;"",부서매핑!$A$5:$A$504,0)),"미매핑"))</f>
        <v/>
      </c>
      <c r="K834" s="63">
        <f>IF($A834="","",IFERROR(INDEX(계정매핑!$C$5:$C$504,MATCH($F834&amp;"",계정매핑!$A$5:$A$504,0)),"미매핑"))</f>
        <v/>
      </c>
      <c r="L834" s="4">
        <f>IF($A834="","",VALUE($A834&amp;""))</f>
        <v/>
      </c>
      <c r="M834" s="4">
        <f>IF($A834="","",VALUE($B834&amp;""))</f>
        <v/>
      </c>
      <c r="N834" s="64">
        <f>IF($A834="","",$H834*설정!$C$15)</f>
        <v/>
      </c>
      <c r="O834" s="4">
        <f>IF($A834="","",J834&amp;"|"&amp;K834)</f>
        <v/>
      </c>
      <c r="P834" s="63">
        <f>IF($A834="","",IF(COUNTIFS(예산_원본!$T$5:$T$3004,O834,예산_원본!$B$5:$B$3004,설정!$C$8,예산_원본!$U$5:$U$3004,L834)&gt;0,"Y","N"))</f>
        <v/>
      </c>
      <c r="Q834" s="63">
        <f>IF($A834="","",IF(COUNTIF(집계!$E$7:$E$506,O834)&gt;0,"Y","N"))</f>
        <v/>
      </c>
    </row>
    <row r="835">
      <c r="A835" s="60" t="n">
        <v>2025</v>
      </c>
      <c r="B835" s="60" t="n">
        <v>11</v>
      </c>
      <c r="C835" s="60" t="inlineStr">
        <is>
          <t>1000</t>
        </is>
      </c>
      <c r="D835" s="60" t="n">
        <v>1601</v>
      </c>
      <c r="E835" s="60" t="inlineStr">
        <is>
          <t>영업지원-본사</t>
        </is>
      </c>
      <c r="F835" s="60" t="n">
        <v>62301000</v>
      </c>
      <c r="G835" s="60" t="inlineStr">
        <is>
          <t>소모품비</t>
        </is>
      </c>
      <c r="H835" s="61" t="n">
        <v>615150</v>
      </c>
      <c r="J835" s="63">
        <f>IF($A835="","",IFERROR(INDEX(부서매핑!$C$5:$C$504,MATCH($D835&amp;"",부서매핑!$A$5:$A$504,0)),"미매핑"))</f>
        <v/>
      </c>
      <c r="K835" s="63">
        <f>IF($A835="","",IFERROR(INDEX(계정매핑!$C$5:$C$504,MATCH($F835&amp;"",계정매핑!$A$5:$A$504,0)),"미매핑"))</f>
        <v/>
      </c>
      <c r="L835" s="4">
        <f>IF($A835="","",VALUE($A835&amp;""))</f>
        <v/>
      </c>
      <c r="M835" s="4">
        <f>IF($A835="","",VALUE($B835&amp;""))</f>
        <v/>
      </c>
      <c r="N835" s="64">
        <f>IF($A835="","",$H835*설정!$C$15)</f>
        <v/>
      </c>
      <c r="O835" s="4">
        <f>IF($A835="","",J835&amp;"|"&amp;K835)</f>
        <v/>
      </c>
      <c r="P835" s="63">
        <f>IF($A835="","",IF(COUNTIFS(예산_원본!$T$5:$T$3004,O835,예산_원본!$B$5:$B$3004,설정!$C$8,예산_원본!$U$5:$U$3004,L835)&gt;0,"Y","N"))</f>
        <v/>
      </c>
      <c r="Q835" s="63">
        <f>IF($A835="","",IF(COUNTIF(집계!$E$7:$E$506,O835)&gt;0,"Y","N"))</f>
        <v/>
      </c>
    </row>
    <row r="836">
      <c r="A836" s="60" t="n">
        <v>2025</v>
      </c>
      <c r="B836" s="60" t="n">
        <v>11</v>
      </c>
      <c r="C836" s="60" t="inlineStr">
        <is>
          <t>1000</t>
        </is>
      </c>
      <c r="D836" s="60" t="n">
        <v>1601</v>
      </c>
      <c r="E836" s="60" t="inlineStr">
        <is>
          <t>영업지원-본사</t>
        </is>
      </c>
      <c r="F836" s="60" t="n">
        <v>62501000</v>
      </c>
      <c r="G836" s="60" t="inlineStr">
        <is>
          <t>회의비</t>
        </is>
      </c>
      <c r="H836" s="61" t="n">
        <v>645430</v>
      </c>
      <c r="J836" s="63">
        <f>IF($A836="","",IFERROR(INDEX(부서매핑!$C$5:$C$504,MATCH($D836&amp;"",부서매핑!$A$5:$A$504,0)),"미매핑"))</f>
        <v/>
      </c>
      <c r="K836" s="63">
        <f>IF($A836="","",IFERROR(INDEX(계정매핑!$C$5:$C$504,MATCH($F836&amp;"",계정매핑!$A$5:$A$504,0)),"미매핑"))</f>
        <v/>
      </c>
      <c r="L836" s="4">
        <f>IF($A836="","",VALUE($A836&amp;""))</f>
        <v/>
      </c>
      <c r="M836" s="4">
        <f>IF($A836="","",VALUE($B836&amp;""))</f>
        <v/>
      </c>
      <c r="N836" s="64">
        <f>IF($A836="","",$H836*설정!$C$15)</f>
        <v/>
      </c>
      <c r="O836" s="4">
        <f>IF($A836="","",J836&amp;"|"&amp;K836)</f>
        <v/>
      </c>
      <c r="P836" s="63">
        <f>IF($A836="","",IF(COUNTIFS(예산_원본!$T$5:$T$3004,O836,예산_원본!$B$5:$B$3004,설정!$C$8,예산_원본!$U$5:$U$3004,L836)&gt;0,"Y","N"))</f>
        <v/>
      </c>
      <c r="Q836" s="63">
        <f>IF($A836="","",IF(COUNTIF(집계!$E$7:$E$506,O836)&gt;0,"Y","N"))</f>
        <v/>
      </c>
    </row>
    <row r="837">
      <c r="A837" s="60" t="n">
        <v>2025</v>
      </c>
      <c r="B837" s="60" t="n">
        <v>11</v>
      </c>
      <c r="C837" s="60" t="inlineStr">
        <is>
          <t>1000</t>
        </is>
      </c>
      <c r="D837" s="60" t="n">
        <v>1601</v>
      </c>
      <c r="E837" s="60" t="inlineStr">
        <is>
          <t>영업지원-본사</t>
        </is>
      </c>
      <c r="F837" s="60" t="n">
        <v>62601000</v>
      </c>
      <c r="G837" s="60" t="inlineStr">
        <is>
          <t>업무추진비</t>
        </is>
      </c>
      <c r="H837" s="61" t="n">
        <v>1721200</v>
      </c>
      <c r="J837" s="63">
        <f>IF($A837="","",IFERROR(INDEX(부서매핑!$C$5:$C$504,MATCH($D837&amp;"",부서매핑!$A$5:$A$504,0)),"미매핑"))</f>
        <v/>
      </c>
      <c r="K837" s="63">
        <f>IF($A837="","",IFERROR(INDEX(계정매핑!$C$5:$C$504,MATCH($F837&amp;"",계정매핑!$A$5:$A$504,0)),"미매핑"))</f>
        <v/>
      </c>
      <c r="L837" s="4">
        <f>IF($A837="","",VALUE($A837&amp;""))</f>
        <v/>
      </c>
      <c r="M837" s="4">
        <f>IF($A837="","",VALUE($B837&amp;""))</f>
        <v/>
      </c>
      <c r="N837" s="64">
        <f>IF($A837="","",$H837*설정!$C$15)</f>
        <v/>
      </c>
      <c r="O837" s="4">
        <f>IF($A837="","",J837&amp;"|"&amp;K837)</f>
        <v/>
      </c>
      <c r="P837" s="63">
        <f>IF($A837="","",IF(COUNTIFS(예산_원본!$T$5:$T$3004,O837,예산_원본!$B$5:$B$3004,설정!$C$8,예산_원본!$U$5:$U$3004,L837)&gt;0,"Y","N"))</f>
        <v/>
      </c>
      <c r="Q837" s="63">
        <f>IF($A837="","",IF(COUNTIF(집계!$E$7:$E$506,O837)&gt;0,"Y","N"))</f>
        <v/>
      </c>
    </row>
    <row r="838">
      <c r="A838" s="60" t="n">
        <v>2025</v>
      </c>
      <c r="B838" s="60" t="n">
        <v>11</v>
      </c>
      <c r="C838" s="60" t="inlineStr">
        <is>
          <t>1000</t>
        </is>
      </c>
      <c r="D838" s="60" t="n">
        <v>1601</v>
      </c>
      <c r="E838" s="60" t="inlineStr">
        <is>
          <t>영업지원-본사</t>
        </is>
      </c>
      <c r="F838" s="60" t="n">
        <v>63101000</v>
      </c>
      <c r="G838" s="60" t="inlineStr">
        <is>
          <t>임차료</t>
        </is>
      </c>
      <c r="H838" s="61" t="n">
        <v>10433920</v>
      </c>
      <c r="J838" s="63">
        <f>IF($A838="","",IFERROR(INDEX(부서매핑!$C$5:$C$504,MATCH($D838&amp;"",부서매핑!$A$5:$A$504,0)),"미매핑"))</f>
        <v/>
      </c>
      <c r="K838" s="63">
        <f>IF($A838="","",IFERROR(INDEX(계정매핑!$C$5:$C$504,MATCH($F838&amp;"",계정매핑!$A$5:$A$504,0)),"미매핑"))</f>
        <v/>
      </c>
      <c r="L838" s="4">
        <f>IF($A838="","",VALUE($A838&amp;""))</f>
        <v/>
      </c>
      <c r="M838" s="4">
        <f>IF($A838="","",VALUE($B838&amp;""))</f>
        <v/>
      </c>
      <c r="N838" s="64">
        <f>IF($A838="","",$H838*설정!$C$15)</f>
        <v/>
      </c>
      <c r="O838" s="4">
        <f>IF($A838="","",J838&amp;"|"&amp;K838)</f>
        <v/>
      </c>
      <c r="P838" s="63">
        <f>IF($A838="","",IF(COUNTIFS(예산_원본!$T$5:$T$3004,O838,예산_원본!$B$5:$B$3004,설정!$C$8,예산_원본!$U$5:$U$3004,L838)&gt;0,"Y","N"))</f>
        <v/>
      </c>
      <c r="Q838" s="63">
        <f>IF($A838="","",IF(COUNTIF(집계!$E$7:$E$506,O838)&gt;0,"Y","N"))</f>
        <v/>
      </c>
    </row>
    <row r="839">
      <c r="A839" s="60" t="n">
        <v>2025</v>
      </c>
      <c r="B839" s="60" t="n">
        <v>11</v>
      </c>
      <c r="C839" s="60" t="inlineStr">
        <is>
          <t>1000</t>
        </is>
      </c>
      <c r="D839" s="60" t="n">
        <v>1601</v>
      </c>
      <c r="E839" s="60" t="inlineStr">
        <is>
          <t>영업지원-본사</t>
        </is>
      </c>
      <c r="F839" s="60" t="n">
        <v>63201000</v>
      </c>
      <c r="G839" s="60" t="inlineStr">
        <is>
          <t>차량유지비</t>
        </is>
      </c>
      <c r="H839" s="61" t="n">
        <v>3618020</v>
      </c>
      <c r="J839" s="63">
        <f>IF($A839="","",IFERROR(INDEX(부서매핑!$C$5:$C$504,MATCH($D839&amp;"",부서매핑!$A$5:$A$504,0)),"미매핑"))</f>
        <v/>
      </c>
      <c r="K839" s="63">
        <f>IF($A839="","",IFERROR(INDEX(계정매핑!$C$5:$C$504,MATCH($F839&amp;"",계정매핑!$A$5:$A$504,0)),"미매핑"))</f>
        <v/>
      </c>
      <c r="L839" s="4">
        <f>IF($A839="","",VALUE($A839&amp;""))</f>
        <v/>
      </c>
      <c r="M839" s="4">
        <f>IF($A839="","",VALUE($B839&amp;""))</f>
        <v/>
      </c>
      <c r="N839" s="64">
        <f>IF($A839="","",$H839*설정!$C$15)</f>
        <v/>
      </c>
      <c r="O839" s="4">
        <f>IF($A839="","",J839&amp;"|"&amp;K839)</f>
        <v/>
      </c>
      <c r="P839" s="63">
        <f>IF($A839="","",IF(COUNTIFS(예산_원본!$T$5:$T$3004,O839,예산_원본!$B$5:$B$3004,설정!$C$8,예산_원본!$U$5:$U$3004,L839)&gt;0,"Y","N"))</f>
        <v/>
      </c>
      <c r="Q839" s="63">
        <f>IF($A839="","",IF(COUNTIF(집계!$E$7:$E$506,O839)&gt;0,"Y","N"))</f>
        <v/>
      </c>
    </row>
    <row r="840">
      <c r="A840" s="60" t="n">
        <v>2025</v>
      </c>
      <c r="B840" s="60" t="n">
        <v>11</v>
      </c>
      <c r="C840" s="60" t="inlineStr">
        <is>
          <t>1000</t>
        </is>
      </c>
      <c r="D840" s="60" t="n">
        <v>1602</v>
      </c>
      <c r="E840" s="60" t="inlineStr">
        <is>
          <t>영업지원-지역본부</t>
        </is>
      </c>
      <c r="F840" s="60" t="n">
        <v>62101000</v>
      </c>
      <c r="G840" s="60" t="inlineStr">
        <is>
          <t>여비교통비-국내</t>
        </is>
      </c>
      <c r="H840" s="61" t="n">
        <v>2359250</v>
      </c>
      <c r="J840" s="63">
        <f>IF($A840="","",IFERROR(INDEX(부서매핑!$C$5:$C$504,MATCH($D840&amp;"",부서매핑!$A$5:$A$504,0)),"미매핑"))</f>
        <v/>
      </c>
      <c r="K840" s="63">
        <f>IF($A840="","",IFERROR(INDEX(계정매핑!$C$5:$C$504,MATCH($F840&amp;"",계정매핑!$A$5:$A$504,0)),"미매핑"))</f>
        <v/>
      </c>
      <c r="L840" s="4">
        <f>IF($A840="","",VALUE($A840&amp;""))</f>
        <v/>
      </c>
      <c r="M840" s="4">
        <f>IF($A840="","",VALUE($B840&amp;""))</f>
        <v/>
      </c>
      <c r="N840" s="64">
        <f>IF($A840="","",$H840*설정!$C$15)</f>
        <v/>
      </c>
      <c r="O840" s="4">
        <f>IF($A840="","",J840&amp;"|"&amp;K840)</f>
        <v/>
      </c>
      <c r="P840" s="63">
        <f>IF($A840="","",IF(COUNTIFS(예산_원본!$T$5:$T$3004,O840,예산_원본!$B$5:$B$3004,설정!$C$8,예산_원본!$U$5:$U$3004,L840)&gt;0,"Y","N"))</f>
        <v/>
      </c>
      <c r="Q840" s="63">
        <f>IF($A840="","",IF(COUNTIF(집계!$E$7:$E$506,O840)&gt;0,"Y","N"))</f>
        <v/>
      </c>
    </row>
    <row r="841">
      <c r="A841" s="60" t="n">
        <v>2025</v>
      </c>
      <c r="B841" s="60" t="n">
        <v>11</v>
      </c>
      <c r="C841" s="60" t="inlineStr">
        <is>
          <t>1000</t>
        </is>
      </c>
      <c r="D841" s="60" t="n">
        <v>1602</v>
      </c>
      <c r="E841" s="60" t="inlineStr">
        <is>
          <t>영업지원-지역본부</t>
        </is>
      </c>
      <c r="F841" s="60" t="n">
        <v>62102000</v>
      </c>
      <c r="G841" s="60" t="inlineStr">
        <is>
          <t>여비교통비-해외</t>
        </is>
      </c>
      <c r="H841" s="61" t="n">
        <v>374960</v>
      </c>
      <c r="J841" s="63">
        <f>IF($A841="","",IFERROR(INDEX(부서매핑!$C$5:$C$504,MATCH($D841&amp;"",부서매핑!$A$5:$A$504,0)),"미매핑"))</f>
        <v/>
      </c>
      <c r="K841" s="63">
        <f>IF($A841="","",IFERROR(INDEX(계정매핑!$C$5:$C$504,MATCH($F841&amp;"",계정매핑!$A$5:$A$504,0)),"미매핑"))</f>
        <v/>
      </c>
      <c r="L841" s="4">
        <f>IF($A841="","",VALUE($A841&amp;""))</f>
        <v/>
      </c>
      <c r="M841" s="4">
        <f>IF($A841="","",VALUE($B841&amp;""))</f>
        <v/>
      </c>
      <c r="N841" s="64">
        <f>IF($A841="","",$H841*설정!$C$15)</f>
        <v/>
      </c>
      <c r="O841" s="4">
        <f>IF($A841="","",J841&amp;"|"&amp;K841)</f>
        <v/>
      </c>
      <c r="P841" s="63">
        <f>IF($A841="","",IF(COUNTIFS(예산_원본!$T$5:$T$3004,O841,예산_원본!$B$5:$B$3004,설정!$C$8,예산_원본!$U$5:$U$3004,L841)&gt;0,"Y","N"))</f>
        <v/>
      </c>
      <c r="Q841" s="63">
        <f>IF($A841="","",IF(COUNTIF(집계!$E$7:$E$506,O841)&gt;0,"Y","N"))</f>
        <v/>
      </c>
    </row>
    <row r="842">
      <c r="A842" s="60" t="n">
        <v>2025</v>
      </c>
      <c r="B842" s="60" t="n">
        <v>11</v>
      </c>
      <c r="C842" s="60" t="inlineStr">
        <is>
          <t>1000</t>
        </is>
      </c>
      <c r="D842" s="60" t="n">
        <v>1602</v>
      </c>
      <c r="E842" s="60" t="inlineStr">
        <is>
          <t>영업지원-지역본부</t>
        </is>
      </c>
      <c r="F842" s="60" t="n">
        <v>62201000</v>
      </c>
      <c r="G842" s="60" t="inlineStr">
        <is>
          <t>통신비</t>
        </is>
      </c>
      <c r="H842" s="61" t="n">
        <v>905620</v>
      </c>
      <c r="J842" s="63">
        <f>IF($A842="","",IFERROR(INDEX(부서매핑!$C$5:$C$504,MATCH($D842&amp;"",부서매핑!$A$5:$A$504,0)),"미매핑"))</f>
        <v/>
      </c>
      <c r="K842" s="63">
        <f>IF($A842="","",IFERROR(INDEX(계정매핑!$C$5:$C$504,MATCH($F842&amp;"",계정매핑!$A$5:$A$504,0)),"미매핑"))</f>
        <v/>
      </c>
      <c r="L842" s="4">
        <f>IF($A842="","",VALUE($A842&amp;""))</f>
        <v/>
      </c>
      <c r="M842" s="4">
        <f>IF($A842="","",VALUE($B842&amp;""))</f>
        <v/>
      </c>
      <c r="N842" s="64">
        <f>IF($A842="","",$H842*설정!$C$15)</f>
        <v/>
      </c>
      <c r="O842" s="4">
        <f>IF($A842="","",J842&amp;"|"&amp;K842)</f>
        <v/>
      </c>
      <c r="P842" s="63">
        <f>IF($A842="","",IF(COUNTIFS(예산_원본!$T$5:$T$3004,O842,예산_원본!$B$5:$B$3004,설정!$C$8,예산_원본!$U$5:$U$3004,L842)&gt;0,"Y","N"))</f>
        <v/>
      </c>
      <c r="Q842" s="63">
        <f>IF($A842="","",IF(COUNTIF(집계!$E$7:$E$506,O842)&gt;0,"Y","N"))</f>
        <v/>
      </c>
    </row>
    <row r="843">
      <c r="A843" s="60" t="n">
        <v>2025</v>
      </c>
      <c r="B843" s="60" t="n">
        <v>11</v>
      </c>
      <c r="C843" s="60" t="inlineStr">
        <is>
          <t>1000</t>
        </is>
      </c>
      <c r="D843" s="60" t="n">
        <v>1602</v>
      </c>
      <c r="E843" s="60" t="inlineStr">
        <is>
          <t>영업지원-지역본부</t>
        </is>
      </c>
      <c r="F843" s="60" t="n">
        <v>62301000</v>
      </c>
      <c r="G843" s="60" t="inlineStr">
        <is>
          <t>소모품비</t>
        </is>
      </c>
      <c r="H843" s="61" t="n">
        <v>512690</v>
      </c>
      <c r="J843" s="63">
        <f>IF($A843="","",IFERROR(INDEX(부서매핑!$C$5:$C$504,MATCH($D843&amp;"",부서매핑!$A$5:$A$504,0)),"미매핑"))</f>
        <v/>
      </c>
      <c r="K843" s="63">
        <f>IF($A843="","",IFERROR(INDEX(계정매핑!$C$5:$C$504,MATCH($F843&amp;"",계정매핑!$A$5:$A$504,0)),"미매핑"))</f>
        <v/>
      </c>
      <c r="L843" s="4">
        <f>IF($A843="","",VALUE($A843&amp;""))</f>
        <v/>
      </c>
      <c r="M843" s="4">
        <f>IF($A843="","",VALUE($B843&amp;""))</f>
        <v/>
      </c>
      <c r="N843" s="64">
        <f>IF($A843="","",$H843*설정!$C$15)</f>
        <v/>
      </c>
      <c r="O843" s="4">
        <f>IF($A843="","",J843&amp;"|"&amp;K843)</f>
        <v/>
      </c>
      <c r="P843" s="63">
        <f>IF($A843="","",IF(COUNTIFS(예산_원본!$T$5:$T$3004,O843,예산_원본!$B$5:$B$3004,설정!$C$8,예산_원본!$U$5:$U$3004,L843)&gt;0,"Y","N"))</f>
        <v/>
      </c>
      <c r="Q843" s="63">
        <f>IF($A843="","",IF(COUNTIF(집계!$E$7:$E$506,O843)&gt;0,"Y","N"))</f>
        <v/>
      </c>
    </row>
    <row r="844">
      <c r="A844" s="60" t="n">
        <v>2025</v>
      </c>
      <c r="B844" s="60" t="n">
        <v>11</v>
      </c>
      <c r="C844" s="60" t="inlineStr">
        <is>
          <t>1000</t>
        </is>
      </c>
      <c r="D844" s="60" t="n">
        <v>1602</v>
      </c>
      <c r="E844" s="60" t="inlineStr">
        <is>
          <t>영업지원-지역본부</t>
        </is>
      </c>
      <c r="F844" s="60" t="n">
        <v>62501000</v>
      </c>
      <c r="G844" s="60" t="inlineStr">
        <is>
          <t>회의비</t>
        </is>
      </c>
      <c r="H844" s="61" t="n">
        <v>570400</v>
      </c>
      <c r="J844" s="63">
        <f>IF($A844="","",IFERROR(INDEX(부서매핑!$C$5:$C$504,MATCH($D844&amp;"",부서매핑!$A$5:$A$504,0)),"미매핑"))</f>
        <v/>
      </c>
      <c r="K844" s="63">
        <f>IF($A844="","",IFERROR(INDEX(계정매핑!$C$5:$C$504,MATCH($F844&amp;"",계정매핑!$A$5:$A$504,0)),"미매핑"))</f>
        <v/>
      </c>
      <c r="L844" s="4">
        <f>IF($A844="","",VALUE($A844&amp;""))</f>
        <v/>
      </c>
      <c r="M844" s="4">
        <f>IF($A844="","",VALUE($B844&amp;""))</f>
        <v/>
      </c>
      <c r="N844" s="64">
        <f>IF($A844="","",$H844*설정!$C$15)</f>
        <v/>
      </c>
      <c r="O844" s="4">
        <f>IF($A844="","",J844&amp;"|"&amp;K844)</f>
        <v/>
      </c>
      <c r="P844" s="63">
        <f>IF($A844="","",IF(COUNTIFS(예산_원본!$T$5:$T$3004,O844,예산_원본!$B$5:$B$3004,설정!$C$8,예산_원본!$U$5:$U$3004,L844)&gt;0,"Y","N"))</f>
        <v/>
      </c>
      <c r="Q844" s="63">
        <f>IF($A844="","",IF(COUNTIF(집계!$E$7:$E$506,O844)&gt;0,"Y","N"))</f>
        <v/>
      </c>
    </row>
    <row r="845">
      <c r="A845" s="60" t="n">
        <v>2025</v>
      </c>
      <c r="B845" s="60" t="n">
        <v>11</v>
      </c>
      <c r="C845" s="60" t="inlineStr">
        <is>
          <t>1000</t>
        </is>
      </c>
      <c r="D845" s="60" t="n">
        <v>1602</v>
      </c>
      <c r="E845" s="60" t="inlineStr">
        <is>
          <t>영업지원-지역본부</t>
        </is>
      </c>
      <c r="F845" s="60" t="n">
        <v>62601000</v>
      </c>
      <c r="G845" s="60" t="inlineStr">
        <is>
          <t>업무추진비</t>
        </is>
      </c>
      <c r="H845" s="61" t="n">
        <v>1508520</v>
      </c>
      <c r="J845" s="63">
        <f>IF($A845="","",IFERROR(INDEX(부서매핑!$C$5:$C$504,MATCH($D845&amp;"",부서매핑!$A$5:$A$504,0)),"미매핑"))</f>
        <v/>
      </c>
      <c r="K845" s="63">
        <f>IF($A845="","",IFERROR(INDEX(계정매핑!$C$5:$C$504,MATCH($F845&amp;"",계정매핑!$A$5:$A$504,0)),"미매핑"))</f>
        <v/>
      </c>
      <c r="L845" s="4">
        <f>IF($A845="","",VALUE($A845&amp;""))</f>
        <v/>
      </c>
      <c r="M845" s="4">
        <f>IF($A845="","",VALUE($B845&amp;""))</f>
        <v/>
      </c>
      <c r="N845" s="64">
        <f>IF($A845="","",$H845*설정!$C$15)</f>
        <v/>
      </c>
      <c r="O845" s="4">
        <f>IF($A845="","",J845&amp;"|"&amp;K845)</f>
        <v/>
      </c>
      <c r="P845" s="63">
        <f>IF($A845="","",IF(COUNTIFS(예산_원본!$T$5:$T$3004,O845,예산_원본!$B$5:$B$3004,설정!$C$8,예산_원본!$U$5:$U$3004,L845)&gt;0,"Y","N"))</f>
        <v/>
      </c>
      <c r="Q845" s="63">
        <f>IF($A845="","",IF(COUNTIF(집계!$E$7:$E$506,O845)&gt;0,"Y","N"))</f>
        <v/>
      </c>
    </row>
    <row r="846">
      <c r="A846" s="60" t="n">
        <v>2025</v>
      </c>
      <c r="B846" s="60" t="n">
        <v>11</v>
      </c>
      <c r="C846" s="60" t="inlineStr">
        <is>
          <t>1000</t>
        </is>
      </c>
      <c r="D846" s="60" t="n">
        <v>1602</v>
      </c>
      <c r="E846" s="60" t="inlineStr">
        <is>
          <t>영업지원-지역본부</t>
        </is>
      </c>
      <c r="F846" s="60" t="n">
        <v>63101000</v>
      </c>
      <c r="G846" s="60" t="inlineStr">
        <is>
          <t>임차료</t>
        </is>
      </c>
      <c r="H846" s="61" t="n">
        <v>8563570</v>
      </c>
      <c r="J846" s="63">
        <f>IF($A846="","",IFERROR(INDEX(부서매핑!$C$5:$C$504,MATCH($D846&amp;"",부서매핑!$A$5:$A$504,0)),"미매핑"))</f>
        <v/>
      </c>
      <c r="K846" s="63">
        <f>IF($A846="","",IFERROR(INDEX(계정매핑!$C$5:$C$504,MATCH($F846&amp;"",계정매핑!$A$5:$A$504,0)),"미매핑"))</f>
        <v/>
      </c>
      <c r="L846" s="4">
        <f>IF($A846="","",VALUE($A846&amp;""))</f>
        <v/>
      </c>
      <c r="M846" s="4">
        <f>IF($A846="","",VALUE($B846&amp;""))</f>
        <v/>
      </c>
      <c r="N846" s="64">
        <f>IF($A846="","",$H846*설정!$C$15)</f>
        <v/>
      </c>
      <c r="O846" s="4">
        <f>IF($A846="","",J846&amp;"|"&amp;K846)</f>
        <v/>
      </c>
      <c r="P846" s="63">
        <f>IF($A846="","",IF(COUNTIFS(예산_원본!$T$5:$T$3004,O846,예산_원본!$B$5:$B$3004,설정!$C$8,예산_원본!$U$5:$U$3004,L846)&gt;0,"Y","N"))</f>
        <v/>
      </c>
      <c r="Q846" s="63">
        <f>IF($A846="","",IF(COUNTIF(집계!$E$7:$E$506,O846)&gt;0,"Y","N"))</f>
        <v/>
      </c>
    </row>
    <row r="847">
      <c r="A847" s="60" t="n">
        <v>2025</v>
      </c>
      <c r="B847" s="60" t="n">
        <v>11</v>
      </c>
      <c r="C847" s="60" t="inlineStr">
        <is>
          <t>1000</t>
        </is>
      </c>
      <c r="D847" s="60" t="n">
        <v>1602</v>
      </c>
      <c r="E847" s="60" t="inlineStr">
        <is>
          <t>영업지원-지역본부</t>
        </is>
      </c>
      <c r="F847" s="60" t="n">
        <v>63201000</v>
      </c>
      <c r="G847" s="60" t="inlineStr">
        <is>
          <t>차량유지비</t>
        </is>
      </c>
      <c r="H847" s="61" t="n">
        <v>3057110</v>
      </c>
      <c r="J847" s="63">
        <f>IF($A847="","",IFERROR(INDEX(부서매핑!$C$5:$C$504,MATCH($D847&amp;"",부서매핑!$A$5:$A$504,0)),"미매핑"))</f>
        <v/>
      </c>
      <c r="K847" s="63">
        <f>IF($A847="","",IFERROR(INDEX(계정매핑!$C$5:$C$504,MATCH($F847&amp;"",계정매핑!$A$5:$A$504,0)),"미매핑"))</f>
        <v/>
      </c>
      <c r="L847" s="4">
        <f>IF($A847="","",VALUE($A847&amp;""))</f>
        <v/>
      </c>
      <c r="M847" s="4">
        <f>IF($A847="","",VALUE($B847&amp;""))</f>
        <v/>
      </c>
      <c r="N847" s="64">
        <f>IF($A847="","",$H847*설정!$C$15)</f>
        <v/>
      </c>
      <c r="O847" s="4">
        <f>IF($A847="","",J847&amp;"|"&amp;K847)</f>
        <v/>
      </c>
      <c r="P847" s="63">
        <f>IF($A847="","",IF(COUNTIFS(예산_원본!$T$5:$T$3004,O847,예산_원본!$B$5:$B$3004,설정!$C$8,예산_원본!$U$5:$U$3004,L847)&gt;0,"Y","N"))</f>
        <v/>
      </c>
      <c r="Q847" s="63">
        <f>IF($A847="","",IF(COUNTIF(집계!$E$7:$E$506,O847)&gt;0,"Y","N"))</f>
        <v/>
      </c>
    </row>
    <row r="848">
      <c r="A848" s="60" t="n">
        <v>2025</v>
      </c>
      <c r="B848" s="60" t="n">
        <v>11</v>
      </c>
      <c r="C848" s="60" t="inlineStr">
        <is>
          <t>1000</t>
        </is>
      </c>
      <c r="D848" s="60" t="n">
        <v>1701</v>
      </c>
      <c r="E848" s="60" t="inlineStr">
        <is>
          <t>IT운영</t>
        </is>
      </c>
      <c r="F848" s="60" t="n">
        <v>62101000</v>
      </c>
      <c r="G848" s="60" t="inlineStr">
        <is>
          <t>여비교통비-국내</t>
        </is>
      </c>
      <c r="H848" s="61" t="n">
        <v>798870</v>
      </c>
      <c r="J848" s="63">
        <f>IF($A848="","",IFERROR(INDEX(부서매핑!$C$5:$C$504,MATCH($D848&amp;"",부서매핑!$A$5:$A$504,0)),"미매핑"))</f>
        <v/>
      </c>
      <c r="K848" s="63">
        <f>IF($A848="","",IFERROR(INDEX(계정매핑!$C$5:$C$504,MATCH($F848&amp;"",계정매핑!$A$5:$A$504,0)),"미매핑"))</f>
        <v/>
      </c>
      <c r="L848" s="4">
        <f>IF($A848="","",VALUE($A848&amp;""))</f>
        <v/>
      </c>
      <c r="M848" s="4">
        <f>IF($A848="","",VALUE($B848&amp;""))</f>
        <v/>
      </c>
      <c r="N848" s="64">
        <f>IF($A848="","",$H848*설정!$C$15)</f>
        <v/>
      </c>
      <c r="O848" s="4">
        <f>IF($A848="","",J848&amp;"|"&amp;K848)</f>
        <v/>
      </c>
      <c r="P848" s="63">
        <f>IF($A848="","",IF(COUNTIFS(예산_원본!$T$5:$T$3004,O848,예산_원본!$B$5:$B$3004,설정!$C$8,예산_원본!$U$5:$U$3004,L848)&gt;0,"Y","N"))</f>
        <v/>
      </c>
      <c r="Q848" s="63">
        <f>IF($A848="","",IF(COUNTIF(집계!$E$7:$E$506,O848)&gt;0,"Y","N"))</f>
        <v/>
      </c>
    </row>
    <row r="849">
      <c r="A849" s="60" t="n">
        <v>2025</v>
      </c>
      <c r="B849" s="60" t="n">
        <v>11</v>
      </c>
      <c r="C849" s="60" t="inlineStr">
        <is>
          <t>1000</t>
        </is>
      </c>
      <c r="D849" s="60" t="n">
        <v>1701</v>
      </c>
      <c r="E849" s="60" t="inlineStr">
        <is>
          <t>IT운영</t>
        </is>
      </c>
      <c r="F849" s="60" t="n">
        <v>62102000</v>
      </c>
      <c r="G849" s="60" t="inlineStr">
        <is>
          <t>여비교통비-해외</t>
        </is>
      </c>
      <c r="H849" s="61" t="n">
        <v>164660</v>
      </c>
      <c r="J849" s="63">
        <f>IF($A849="","",IFERROR(INDEX(부서매핑!$C$5:$C$504,MATCH($D849&amp;"",부서매핑!$A$5:$A$504,0)),"미매핑"))</f>
        <v/>
      </c>
      <c r="K849" s="63">
        <f>IF($A849="","",IFERROR(INDEX(계정매핑!$C$5:$C$504,MATCH($F849&amp;"",계정매핑!$A$5:$A$504,0)),"미매핑"))</f>
        <v/>
      </c>
      <c r="L849" s="4">
        <f>IF($A849="","",VALUE($A849&amp;""))</f>
        <v/>
      </c>
      <c r="M849" s="4">
        <f>IF($A849="","",VALUE($B849&amp;""))</f>
        <v/>
      </c>
      <c r="N849" s="64">
        <f>IF($A849="","",$H849*설정!$C$15)</f>
        <v/>
      </c>
      <c r="O849" s="4">
        <f>IF($A849="","",J849&amp;"|"&amp;K849)</f>
        <v/>
      </c>
      <c r="P849" s="63">
        <f>IF($A849="","",IF(COUNTIFS(예산_원본!$T$5:$T$3004,O849,예산_원본!$B$5:$B$3004,설정!$C$8,예산_원본!$U$5:$U$3004,L849)&gt;0,"Y","N"))</f>
        <v/>
      </c>
      <c r="Q849" s="63">
        <f>IF($A849="","",IF(COUNTIF(집계!$E$7:$E$506,O849)&gt;0,"Y","N"))</f>
        <v/>
      </c>
    </row>
    <row r="850">
      <c r="A850" s="60" t="n">
        <v>2025</v>
      </c>
      <c r="B850" s="60" t="n">
        <v>11</v>
      </c>
      <c r="C850" s="60" t="inlineStr">
        <is>
          <t>1000</t>
        </is>
      </c>
      <c r="D850" s="60" t="n">
        <v>1701</v>
      </c>
      <c r="E850" s="60" t="inlineStr">
        <is>
          <t>IT운영</t>
        </is>
      </c>
      <c r="F850" s="60" t="n">
        <v>62201000</v>
      </c>
      <c r="G850" s="60" t="inlineStr">
        <is>
          <t>통신비</t>
        </is>
      </c>
      <c r="H850" s="61" t="n">
        <v>12447840</v>
      </c>
      <c r="J850" s="63">
        <f>IF($A850="","",IFERROR(INDEX(부서매핑!$C$5:$C$504,MATCH($D850&amp;"",부서매핑!$A$5:$A$504,0)),"미매핑"))</f>
        <v/>
      </c>
      <c r="K850" s="63">
        <f>IF($A850="","",IFERROR(INDEX(계정매핑!$C$5:$C$504,MATCH($F850&amp;"",계정매핑!$A$5:$A$504,0)),"미매핑"))</f>
        <v/>
      </c>
      <c r="L850" s="4">
        <f>IF($A850="","",VALUE($A850&amp;""))</f>
        <v/>
      </c>
      <c r="M850" s="4">
        <f>IF($A850="","",VALUE($B850&amp;""))</f>
        <v/>
      </c>
      <c r="N850" s="64">
        <f>IF($A850="","",$H850*설정!$C$15)</f>
        <v/>
      </c>
      <c r="O850" s="4">
        <f>IF($A850="","",J850&amp;"|"&amp;K850)</f>
        <v/>
      </c>
      <c r="P850" s="63">
        <f>IF($A850="","",IF(COUNTIFS(예산_원본!$T$5:$T$3004,O850,예산_원본!$B$5:$B$3004,설정!$C$8,예산_원본!$U$5:$U$3004,L850)&gt;0,"Y","N"))</f>
        <v/>
      </c>
      <c r="Q850" s="63">
        <f>IF($A850="","",IF(COUNTIF(집계!$E$7:$E$506,O850)&gt;0,"Y","N"))</f>
        <v/>
      </c>
    </row>
    <row r="851">
      <c r="A851" s="60" t="n">
        <v>2025</v>
      </c>
      <c r="B851" s="60" t="n">
        <v>11</v>
      </c>
      <c r="C851" s="60" t="inlineStr">
        <is>
          <t>1000</t>
        </is>
      </c>
      <c r="D851" s="60" t="n">
        <v>1701</v>
      </c>
      <c r="E851" s="60" t="inlineStr">
        <is>
          <t>IT운영</t>
        </is>
      </c>
      <c r="F851" s="60" t="n">
        <v>62301000</v>
      </c>
      <c r="G851" s="60" t="inlineStr">
        <is>
          <t>소모품비</t>
        </is>
      </c>
      <c r="H851" s="61" t="n">
        <v>853960</v>
      </c>
      <c r="J851" s="63">
        <f>IF($A851="","",IFERROR(INDEX(부서매핑!$C$5:$C$504,MATCH($D851&amp;"",부서매핑!$A$5:$A$504,0)),"미매핑"))</f>
        <v/>
      </c>
      <c r="K851" s="63">
        <f>IF($A851="","",IFERROR(INDEX(계정매핑!$C$5:$C$504,MATCH($F851&amp;"",계정매핑!$A$5:$A$504,0)),"미매핑"))</f>
        <v/>
      </c>
      <c r="L851" s="4">
        <f>IF($A851="","",VALUE($A851&amp;""))</f>
        <v/>
      </c>
      <c r="M851" s="4">
        <f>IF($A851="","",VALUE($B851&amp;""))</f>
        <v/>
      </c>
      <c r="N851" s="64">
        <f>IF($A851="","",$H851*설정!$C$15)</f>
        <v/>
      </c>
      <c r="O851" s="4">
        <f>IF($A851="","",J851&amp;"|"&amp;K851)</f>
        <v/>
      </c>
      <c r="P851" s="63">
        <f>IF($A851="","",IF(COUNTIFS(예산_원본!$T$5:$T$3004,O851,예산_원본!$B$5:$B$3004,설정!$C$8,예산_원본!$U$5:$U$3004,L851)&gt;0,"Y","N"))</f>
        <v/>
      </c>
      <c r="Q851" s="63">
        <f>IF($A851="","",IF(COUNTIF(집계!$E$7:$E$506,O851)&gt;0,"Y","N"))</f>
        <v/>
      </c>
    </row>
    <row r="852">
      <c r="A852" s="60" t="n">
        <v>2025</v>
      </c>
      <c r="B852" s="60" t="n">
        <v>11</v>
      </c>
      <c r="C852" s="60" t="inlineStr">
        <is>
          <t>1000</t>
        </is>
      </c>
      <c r="D852" s="60" t="n">
        <v>1701</v>
      </c>
      <c r="E852" s="60" t="inlineStr">
        <is>
          <t>IT운영</t>
        </is>
      </c>
      <c r="F852" s="60" t="n">
        <v>62501000</v>
      </c>
      <c r="G852" s="60" t="inlineStr">
        <is>
          <t>회의비</t>
        </is>
      </c>
      <c r="H852" s="61" t="n">
        <v>303950</v>
      </c>
      <c r="J852" s="63">
        <f>IF($A852="","",IFERROR(INDEX(부서매핑!$C$5:$C$504,MATCH($D852&amp;"",부서매핑!$A$5:$A$504,0)),"미매핑"))</f>
        <v/>
      </c>
      <c r="K852" s="63">
        <f>IF($A852="","",IFERROR(INDEX(계정매핑!$C$5:$C$504,MATCH($F852&amp;"",계정매핑!$A$5:$A$504,0)),"미매핑"))</f>
        <v/>
      </c>
      <c r="L852" s="4">
        <f>IF($A852="","",VALUE($A852&amp;""))</f>
        <v/>
      </c>
      <c r="M852" s="4">
        <f>IF($A852="","",VALUE($B852&amp;""))</f>
        <v/>
      </c>
      <c r="N852" s="64">
        <f>IF($A852="","",$H852*설정!$C$15)</f>
        <v/>
      </c>
      <c r="O852" s="4">
        <f>IF($A852="","",J852&amp;"|"&amp;K852)</f>
        <v/>
      </c>
      <c r="P852" s="63">
        <f>IF($A852="","",IF(COUNTIFS(예산_원본!$T$5:$T$3004,O852,예산_원본!$B$5:$B$3004,설정!$C$8,예산_원본!$U$5:$U$3004,L852)&gt;0,"Y","N"))</f>
        <v/>
      </c>
      <c r="Q852" s="63">
        <f>IF($A852="","",IF(COUNTIF(집계!$E$7:$E$506,O852)&gt;0,"Y","N"))</f>
        <v/>
      </c>
    </row>
    <row r="853">
      <c r="A853" s="60" t="n">
        <v>2025</v>
      </c>
      <c r="B853" s="60" t="n">
        <v>11</v>
      </c>
      <c r="C853" s="60" t="inlineStr">
        <is>
          <t>1000</t>
        </is>
      </c>
      <c r="D853" s="60" t="n">
        <v>1701</v>
      </c>
      <c r="E853" s="60" t="inlineStr">
        <is>
          <t>IT운영</t>
        </is>
      </c>
      <c r="F853" s="60" t="n">
        <v>63001000</v>
      </c>
      <c r="G853" s="60" t="inlineStr">
        <is>
          <t>전산운영비-SW유지보수</t>
        </is>
      </c>
      <c r="H853" s="61" t="n">
        <v>105736630</v>
      </c>
      <c r="J853" s="63">
        <f>IF($A853="","",IFERROR(INDEX(부서매핑!$C$5:$C$504,MATCH($D853&amp;"",부서매핑!$A$5:$A$504,0)),"미매핑"))</f>
        <v/>
      </c>
      <c r="K853" s="63">
        <f>IF($A853="","",IFERROR(INDEX(계정매핑!$C$5:$C$504,MATCH($F853&amp;"",계정매핑!$A$5:$A$504,0)),"미매핑"))</f>
        <v/>
      </c>
      <c r="L853" s="4">
        <f>IF($A853="","",VALUE($A853&amp;""))</f>
        <v/>
      </c>
      <c r="M853" s="4">
        <f>IF($A853="","",VALUE($B853&amp;""))</f>
        <v/>
      </c>
      <c r="N853" s="64">
        <f>IF($A853="","",$H853*설정!$C$15)</f>
        <v/>
      </c>
      <c r="O853" s="4">
        <f>IF($A853="","",J853&amp;"|"&amp;K853)</f>
        <v/>
      </c>
      <c r="P853" s="63">
        <f>IF($A853="","",IF(COUNTIFS(예산_원본!$T$5:$T$3004,O853,예산_원본!$B$5:$B$3004,설정!$C$8,예산_원본!$U$5:$U$3004,L853)&gt;0,"Y","N"))</f>
        <v/>
      </c>
      <c r="Q853" s="63">
        <f>IF($A853="","",IF(COUNTIF(집계!$E$7:$E$506,O853)&gt;0,"Y","N"))</f>
        <v/>
      </c>
    </row>
    <row r="854">
      <c r="A854" s="60" t="n">
        <v>2025</v>
      </c>
      <c r="B854" s="60" t="n">
        <v>11</v>
      </c>
      <c r="C854" s="60" t="inlineStr">
        <is>
          <t>1000</t>
        </is>
      </c>
      <c r="D854" s="60" t="n">
        <v>1701</v>
      </c>
      <c r="E854" s="60" t="inlineStr">
        <is>
          <t>IT운영</t>
        </is>
      </c>
      <c r="F854" s="60" t="n">
        <v>63002000</v>
      </c>
      <c r="G854" s="60" t="inlineStr">
        <is>
          <t>전산운영비-클라우드</t>
        </is>
      </c>
      <c r="H854" s="61" t="n">
        <v>81262040</v>
      </c>
      <c r="J854" s="63">
        <f>IF($A854="","",IFERROR(INDEX(부서매핑!$C$5:$C$504,MATCH($D854&amp;"",부서매핑!$A$5:$A$504,0)),"미매핑"))</f>
        <v/>
      </c>
      <c r="K854" s="63">
        <f>IF($A854="","",IFERROR(INDEX(계정매핑!$C$5:$C$504,MATCH($F854&amp;"",계정매핑!$A$5:$A$504,0)),"미매핑"))</f>
        <v/>
      </c>
      <c r="L854" s="4">
        <f>IF($A854="","",VALUE($A854&amp;""))</f>
        <v/>
      </c>
      <c r="M854" s="4">
        <f>IF($A854="","",VALUE($B854&amp;""))</f>
        <v/>
      </c>
      <c r="N854" s="64">
        <f>IF($A854="","",$H854*설정!$C$15)</f>
        <v/>
      </c>
      <c r="O854" s="4">
        <f>IF($A854="","",J854&amp;"|"&amp;K854)</f>
        <v/>
      </c>
      <c r="P854" s="63">
        <f>IF($A854="","",IF(COUNTIFS(예산_원본!$T$5:$T$3004,O854,예산_원본!$B$5:$B$3004,설정!$C$8,예산_원본!$U$5:$U$3004,L854)&gt;0,"Y","N"))</f>
        <v/>
      </c>
      <c r="Q854" s="63">
        <f>IF($A854="","",IF(COUNTIF(집계!$E$7:$E$506,O854)&gt;0,"Y","N"))</f>
        <v/>
      </c>
    </row>
    <row r="855">
      <c r="A855" s="60" t="n">
        <v>2025</v>
      </c>
      <c r="B855" s="60" t="n">
        <v>11</v>
      </c>
      <c r="C855" s="60" t="inlineStr">
        <is>
          <t>1000</t>
        </is>
      </c>
      <c r="D855" s="60" t="n">
        <v>1801</v>
      </c>
      <c r="E855" s="60" t="inlineStr">
        <is>
          <t>고객서비스</t>
        </is>
      </c>
      <c r="F855" s="60" t="n">
        <v>62101000</v>
      </c>
      <c r="G855" s="60" t="inlineStr">
        <is>
          <t>여비교통비-국내</t>
        </is>
      </c>
      <c r="H855" s="61" t="n">
        <v>754670</v>
      </c>
      <c r="J855" s="63">
        <f>IF($A855="","",IFERROR(INDEX(부서매핑!$C$5:$C$504,MATCH($D855&amp;"",부서매핑!$A$5:$A$504,0)),"미매핑"))</f>
        <v/>
      </c>
      <c r="K855" s="63">
        <f>IF($A855="","",IFERROR(INDEX(계정매핑!$C$5:$C$504,MATCH($F855&amp;"",계정매핑!$A$5:$A$504,0)),"미매핑"))</f>
        <v/>
      </c>
      <c r="L855" s="4">
        <f>IF($A855="","",VALUE($A855&amp;""))</f>
        <v/>
      </c>
      <c r="M855" s="4">
        <f>IF($A855="","",VALUE($B855&amp;""))</f>
        <v/>
      </c>
      <c r="N855" s="64">
        <f>IF($A855="","",$H855*설정!$C$15)</f>
        <v/>
      </c>
      <c r="O855" s="4">
        <f>IF($A855="","",J855&amp;"|"&amp;K855)</f>
        <v/>
      </c>
      <c r="P855" s="63">
        <f>IF($A855="","",IF(COUNTIFS(예산_원본!$T$5:$T$3004,O855,예산_원본!$B$5:$B$3004,설정!$C$8,예산_원본!$U$5:$U$3004,L855)&gt;0,"Y","N"))</f>
        <v/>
      </c>
      <c r="Q855" s="63">
        <f>IF($A855="","",IF(COUNTIF(집계!$E$7:$E$506,O855)&gt;0,"Y","N"))</f>
        <v/>
      </c>
    </row>
    <row r="856">
      <c r="A856" s="60" t="n">
        <v>2025</v>
      </c>
      <c r="B856" s="60" t="n">
        <v>11</v>
      </c>
      <c r="C856" s="60" t="inlineStr">
        <is>
          <t>1000</t>
        </is>
      </c>
      <c r="D856" s="60" t="n">
        <v>1801</v>
      </c>
      <c r="E856" s="60" t="inlineStr">
        <is>
          <t>고객서비스</t>
        </is>
      </c>
      <c r="F856" s="60" t="n">
        <v>62102000</v>
      </c>
      <c r="G856" s="60" t="inlineStr">
        <is>
          <t>여비교통비-해외</t>
        </is>
      </c>
      <c r="H856" s="61" t="n">
        <v>133030</v>
      </c>
      <c r="J856" s="63">
        <f>IF($A856="","",IFERROR(INDEX(부서매핑!$C$5:$C$504,MATCH($D856&amp;"",부서매핑!$A$5:$A$504,0)),"미매핑"))</f>
        <v/>
      </c>
      <c r="K856" s="63">
        <f>IF($A856="","",IFERROR(INDEX(계정매핑!$C$5:$C$504,MATCH($F856&amp;"",계정매핑!$A$5:$A$504,0)),"미매핑"))</f>
        <v/>
      </c>
      <c r="L856" s="4">
        <f>IF($A856="","",VALUE($A856&amp;""))</f>
        <v/>
      </c>
      <c r="M856" s="4">
        <f>IF($A856="","",VALUE($B856&amp;""))</f>
        <v/>
      </c>
      <c r="N856" s="64">
        <f>IF($A856="","",$H856*설정!$C$15)</f>
        <v/>
      </c>
      <c r="O856" s="4">
        <f>IF($A856="","",J856&amp;"|"&amp;K856)</f>
        <v/>
      </c>
      <c r="P856" s="63">
        <f>IF($A856="","",IF(COUNTIFS(예산_원본!$T$5:$T$3004,O856,예산_원본!$B$5:$B$3004,설정!$C$8,예산_원본!$U$5:$U$3004,L856)&gt;0,"Y","N"))</f>
        <v/>
      </c>
      <c r="Q856" s="63">
        <f>IF($A856="","",IF(COUNTIF(집계!$E$7:$E$506,O856)&gt;0,"Y","N"))</f>
        <v/>
      </c>
    </row>
    <row r="857">
      <c r="A857" s="60" t="n">
        <v>2025</v>
      </c>
      <c r="B857" s="60" t="n">
        <v>11</v>
      </c>
      <c r="C857" s="60" t="inlineStr">
        <is>
          <t>1000</t>
        </is>
      </c>
      <c r="D857" s="60" t="n">
        <v>1801</v>
      </c>
      <c r="E857" s="60" t="inlineStr">
        <is>
          <t>고객서비스</t>
        </is>
      </c>
      <c r="F857" s="60" t="n">
        <v>62201000</v>
      </c>
      <c r="G857" s="60" t="inlineStr">
        <is>
          <t>통신비</t>
        </is>
      </c>
      <c r="H857" s="61" t="n">
        <v>16509000</v>
      </c>
      <c r="J857" s="63">
        <f>IF($A857="","",IFERROR(INDEX(부서매핑!$C$5:$C$504,MATCH($D857&amp;"",부서매핑!$A$5:$A$504,0)),"미매핑"))</f>
        <v/>
      </c>
      <c r="K857" s="63">
        <f>IF($A857="","",IFERROR(INDEX(계정매핑!$C$5:$C$504,MATCH($F857&amp;"",계정매핑!$A$5:$A$504,0)),"미매핑"))</f>
        <v/>
      </c>
      <c r="L857" s="4">
        <f>IF($A857="","",VALUE($A857&amp;""))</f>
        <v/>
      </c>
      <c r="M857" s="4">
        <f>IF($A857="","",VALUE($B857&amp;""))</f>
        <v/>
      </c>
      <c r="N857" s="64">
        <f>IF($A857="","",$H857*설정!$C$15)</f>
        <v/>
      </c>
      <c r="O857" s="4">
        <f>IF($A857="","",J857&amp;"|"&amp;K857)</f>
        <v/>
      </c>
      <c r="P857" s="63">
        <f>IF($A857="","",IF(COUNTIFS(예산_원본!$T$5:$T$3004,O857,예산_원본!$B$5:$B$3004,설정!$C$8,예산_원본!$U$5:$U$3004,L857)&gt;0,"Y","N"))</f>
        <v/>
      </c>
      <c r="Q857" s="63">
        <f>IF($A857="","",IF(COUNTIF(집계!$E$7:$E$506,O857)&gt;0,"Y","N"))</f>
        <v/>
      </c>
    </row>
    <row r="858">
      <c r="A858" s="60" t="n">
        <v>2025</v>
      </c>
      <c r="B858" s="60" t="n">
        <v>11</v>
      </c>
      <c r="C858" s="60" t="inlineStr">
        <is>
          <t>1000</t>
        </is>
      </c>
      <c r="D858" s="60" t="n">
        <v>1801</v>
      </c>
      <c r="E858" s="60" t="inlineStr">
        <is>
          <t>고객서비스</t>
        </is>
      </c>
      <c r="F858" s="60" t="n">
        <v>62301000</v>
      </c>
      <c r="G858" s="60" t="inlineStr">
        <is>
          <t>소모품비</t>
        </is>
      </c>
      <c r="H858" s="61" t="n">
        <v>1276140</v>
      </c>
      <c r="J858" s="63">
        <f>IF($A858="","",IFERROR(INDEX(부서매핑!$C$5:$C$504,MATCH($D858&amp;"",부서매핑!$A$5:$A$504,0)),"미매핑"))</f>
        <v/>
      </c>
      <c r="K858" s="63">
        <f>IF($A858="","",IFERROR(INDEX(계정매핑!$C$5:$C$504,MATCH($F858&amp;"",계정매핑!$A$5:$A$504,0)),"미매핑"))</f>
        <v/>
      </c>
      <c r="L858" s="4">
        <f>IF($A858="","",VALUE($A858&amp;""))</f>
        <v/>
      </c>
      <c r="M858" s="4">
        <f>IF($A858="","",VALUE($B858&amp;""))</f>
        <v/>
      </c>
      <c r="N858" s="64">
        <f>IF($A858="","",$H858*설정!$C$15)</f>
        <v/>
      </c>
      <c r="O858" s="4">
        <f>IF($A858="","",J858&amp;"|"&amp;K858)</f>
        <v/>
      </c>
      <c r="P858" s="63">
        <f>IF($A858="","",IF(COUNTIFS(예산_원본!$T$5:$T$3004,O858,예산_원본!$B$5:$B$3004,설정!$C$8,예산_원본!$U$5:$U$3004,L858)&gt;0,"Y","N"))</f>
        <v/>
      </c>
      <c r="Q858" s="63">
        <f>IF($A858="","",IF(COUNTIF(집계!$E$7:$E$506,O858)&gt;0,"Y","N"))</f>
        <v/>
      </c>
    </row>
    <row r="859">
      <c r="A859" s="60" t="n">
        <v>2025</v>
      </c>
      <c r="B859" s="60" t="n">
        <v>11</v>
      </c>
      <c r="C859" s="60" t="inlineStr">
        <is>
          <t>1000</t>
        </is>
      </c>
      <c r="D859" s="60" t="n">
        <v>1801</v>
      </c>
      <c r="E859" s="60" t="inlineStr">
        <is>
          <t>고객서비스</t>
        </is>
      </c>
      <c r="F859" s="60" t="n">
        <v>62401000</v>
      </c>
      <c r="G859" s="60" t="inlineStr">
        <is>
          <t>도서인쇄비</t>
        </is>
      </c>
      <c r="H859" s="61" t="n">
        <v>7303810</v>
      </c>
      <c r="J859" s="63">
        <f>IF($A859="","",IFERROR(INDEX(부서매핑!$C$5:$C$504,MATCH($D859&amp;"",부서매핑!$A$5:$A$504,0)),"미매핑"))</f>
        <v/>
      </c>
      <c r="K859" s="63">
        <f>IF($A859="","",IFERROR(INDEX(계정매핑!$C$5:$C$504,MATCH($F859&amp;"",계정매핑!$A$5:$A$504,0)),"미매핑"))</f>
        <v/>
      </c>
      <c r="L859" s="4">
        <f>IF($A859="","",VALUE($A859&amp;""))</f>
        <v/>
      </c>
      <c r="M859" s="4">
        <f>IF($A859="","",VALUE($B859&amp;""))</f>
        <v/>
      </c>
      <c r="N859" s="64">
        <f>IF($A859="","",$H859*설정!$C$15)</f>
        <v/>
      </c>
      <c r="O859" s="4">
        <f>IF($A859="","",J859&amp;"|"&amp;K859)</f>
        <v/>
      </c>
      <c r="P859" s="63">
        <f>IF($A859="","",IF(COUNTIFS(예산_원본!$T$5:$T$3004,O859,예산_원본!$B$5:$B$3004,설정!$C$8,예산_원본!$U$5:$U$3004,L859)&gt;0,"Y","N"))</f>
        <v/>
      </c>
      <c r="Q859" s="63">
        <f>IF($A859="","",IF(COUNTIF(집계!$E$7:$E$506,O859)&gt;0,"Y","N"))</f>
        <v/>
      </c>
    </row>
    <row r="860">
      <c r="A860" s="60" t="n">
        <v>2025</v>
      </c>
      <c r="B860" s="60" t="n">
        <v>11</v>
      </c>
      <c r="C860" s="60" t="inlineStr">
        <is>
          <t>1000</t>
        </is>
      </c>
      <c r="D860" s="60" t="n">
        <v>1801</v>
      </c>
      <c r="E860" s="60" t="inlineStr">
        <is>
          <t>고객서비스</t>
        </is>
      </c>
      <c r="F860" s="60" t="n">
        <v>62501000</v>
      </c>
      <c r="G860" s="60" t="inlineStr">
        <is>
          <t>회의비</t>
        </is>
      </c>
      <c r="H860" s="61" t="n">
        <v>489410</v>
      </c>
      <c r="J860" s="63">
        <f>IF($A860="","",IFERROR(INDEX(부서매핑!$C$5:$C$504,MATCH($D860&amp;"",부서매핑!$A$5:$A$504,0)),"미매핑"))</f>
        <v/>
      </c>
      <c r="K860" s="63">
        <f>IF($A860="","",IFERROR(INDEX(계정매핑!$C$5:$C$504,MATCH($F860&amp;"",계정매핑!$A$5:$A$504,0)),"미매핑"))</f>
        <v/>
      </c>
      <c r="L860" s="4">
        <f>IF($A860="","",VALUE($A860&amp;""))</f>
        <v/>
      </c>
      <c r="M860" s="4">
        <f>IF($A860="","",VALUE($B860&amp;""))</f>
        <v/>
      </c>
      <c r="N860" s="64">
        <f>IF($A860="","",$H860*설정!$C$15)</f>
        <v/>
      </c>
      <c r="O860" s="4">
        <f>IF($A860="","",J860&amp;"|"&amp;K860)</f>
        <v/>
      </c>
      <c r="P860" s="63">
        <f>IF($A860="","",IF(COUNTIFS(예산_원본!$T$5:$T$3004,O860,예산_원본!$B$5:$B$3004,설정!$C$8,예산_원본!$U$5:$U$3004,L860)&gt;0,"Y","N"))</f>
        <v/>
      </c>
      <c r="Q860" s="63">
        <f>IF($A860="","",IF(COUNTIF(집계!$E$7:$E$506,O860)&gt;0,"Y","N"))</f>
        <v/>
      </c>
    </row>
    <row r="861">
      <c r="A861" s="60" t="n">
        <v>2025</v>
      </c>
      <c r="B861" s="60" t="n">
        <v>11</v>
      </c>
      <c r="C861" s="60" t="inlineStr">
        <is>
          <t>1000</t>
        </is>
      </c>
      <c r="D861" s="60" t="n">
        <v>1801</v>
      </c>
      <c r="E861" s="60" t="inlineStr">
        <is>
          <t>고객서비스</t>
        </is>
      </c>
      <c r="F861" s="60" t="n">
        <v>62901000</v>
      </c>
      <c r="G861" s="60" t="inlineStr">
        <is>
          <t>지급수수료-컨설팅</t>
        </is>
      </c>
      <c r="H861" s="61" t="n">
        <v>34317060</v>
      </c>
      <c r="J861" s="63">
        <f>IF($A861="","",IFERROR(INDEX(부서매핑!$C$5:$C$504,MATCH($D861&amp;"",부서매핑!$A$5:$A$504,0)),"미매핑"))</f>
        <v/>
      </c>
      <c r="K861" s="63">
        <f>IF($A861="","",IFERROR(INDEX(계정매핑!$C$5:$C$504,MATCH($F861&amp;"",계정매핑!$A$5:$A$504,0)),"미매핑"))</f>
        <v/>
      </c>
      <c r="L861" s="4">
        <f>IF($A861="","",VALUE($A861&amp;""))</f>
        <v/>
      </c>
      <c r="M861" s="4">
        <f>IF($A861="","",VALUE($B861&amp;""))</f>
        <v/>
      </c>
      <c r="N861" s="64">
        <f>IF($A861="","",$H861*설정!$C$15)</f>
        <v/>
      </c>
      <c r="O861" s="4">
        <f>IF($A861="","",J861&amp;"|"&amp;K861)</f>
        <v/>
      </c>
      <c r="P861" s="63">
        <f>IF($A861="","",IF(COUNTIFS(예산_원본!$T$5:$T$3004,O861,예산_원본!$B$5:$B$3004,설정!$C$8,예산_원본!$U$5:$U$3004,L861)&gt;0,"Y","N"))</f>
        <v/>
      </c>
      <c r="Q861" s="63">
        <f>IF($A861="","",IF(COUNTIF(집계!$E$7:$E$506,O861)&gt;0,"Y","N"))</f>
        <v/>
      </c>
    </row>
    <row r="862">
      <c r="A862" s="60" t="n">
        <v>2025</v>
      </c>
      <c r="B862" s="60" t="n">
        <v>11</v>
      </c>
      <c r="C862" s="60" t="inlineStr">
        <is>
          <t>1000</t>
        </is>
      </c>
      <c r="D862" s="60" t="n">
        <v>1801</v>
      </c>
      <c r="E862" s="60" t="inlineStr">
        <is>
          <t>고객서비스</t>
        </is>
      </c>
      <c r="F862" s="60" t="n">
        <v>62902000</v>
      </c>
      <c r="G862" s="60" t="inlineStr">
        <is>
          <t>지급수수료-기타</t>
        </is>
      </c>
      <c r="H862" s="61" t="n">
        <v>14711670</v>
      </c>
      <c r="J862" s="63">
        <f>IF($A862="","",IFERROR(INDEX(부서매핑!$C$5:$C$504,MATCH($D862&amp;"",부서매핑!$A$5:$A$504,0)),"미매핑"))</f>
        <v/>
      </c>
      <c r="K862" s="63">
        <f>IF($A862="","",IFERROR(INDEX(계정매핑!$C$5:$C$504,MATCH($F862&amp;"",계정매핑!$A$5:$A$504,0)),"미매핑"))</f>
        <v/>
      </c>
      <c r="L862" s="4">
        <f>IF($A862="","",VALUE($A862&amp;""))</f>
        <v/>
      </c>
      <c r="M862" s="4">
        <f>IF($A862="","",VALUE($B862&amp;""))</f>
        <v/>
      </c>
      <c r="N862" s="64">
        <f>IF($A862="","",$H862*설정!$C$15)</f>
        <v/>
      </c>
      <c r="O862" s="4">
        <f>IF($A862="","",J862&amp;"|"&amp;K862)</f>
        <v/>
      </c>
      <c r="P862" s="63">
        <f>IF($A862="","",IF(COUNTIFS(예산_원본!$T$5:$T$3004,O862,예산_원본!$B$5:$B$3004,설정!$C$8,예산_원본!$U$5:$U$3004,L862)&gt;0,"Y","N"))</f>
        <v/>
      </c>
      <c r="Q862" s="63">
        <f>IF($A862="","",IF(COUNTIF(집계!$E$7:$E$506,O862)&gt;0,"Y","N"))</f>
        <v/>
      </c>
    </row>
    <row r="863">
      <c r="A863" s="60" t="n">
        <v>2025</v>
      </c>
      <c r="B863" s="60" t="n">
        <v>12</v>
      </c>
      <c r="C863" s="60" t="inlineStr">
        <is>
          <t>1000</t>
        </is>
      </c>
      <c r="D863" s="60" t="n">
        <v>1101</v>
      </c>
      <c r="E863" s="60" t="inlineStr">
        <is>
          <t>경영기획</t>
        </is>
      </c>
      <c r="F863" s="60" t="n">
        <v>62101000</v>
      </c>
      <c r="G863" s="60" t="inlineStr">
        <is>
          <t>여비교통비-국내</t>
        </is>
      </c>
      <c r="H863" s="61" t="n">
        <v>2102110</v>
      </c>
      <c r="J863" s="63">
        <f>IF($A863="","",IFERROR(INDEX(부서매핑!$C$5:$C$504,MATCH($D863&amp;"",부서매핑!$A$5:$A$504,0)),"미매핑"))</f>
        <v/>
      </c>
      <c r="K863" s="63">
        <f>IF($A863="","",IFERROR(INDEX(계정매핑!$C$5:$C$504,MATCH($F863&amp;"",계정매핑!$A$5:$A$504,0)),"미매핑"))</f>
        <v/>
      </c>
      <c r="L863" s="4">
        <f>IF($A863="","",VALUE($A863&amp;""))</f>
        <v/>
      </c>
      <c r="M863" s="4">
        <f>IF($A863="","",VALUE($B863&amp;""))</f>
        <v/>
      </c>
      <c r="N863" s="64">
        <f>IF($A863="","",$H863*설정!$C$15)</f>
        <v/>
      </c>
      <c r="O863" s="4">
        <f>IF($A863="","",J863&amp;"|"&amp;K863)</f>
        <v/>
      </c>
      <c r="P863" s="63">
        <f>IF($A863="","",IF(COUNTIFS(예산_원본!$T$5:$T$3004,O863,예산_원본!$B$5:$B$3004,설정!$C$8,예산_원본!$U$5:$U$3004,L863)&gt;0,"Y","N"))</f>
        <v/>
      </c>
      <c r="Q863" s="63">
        <f>IF($A863="","",IF(COUNTIF(집계!$E$7:$E$506,O863)&gt;0,"Y","N"))</f>
        <v/>
      </c>
    </row>
    <row r="864">
      <c r="A864" s="60" t="n">
        <v>2025</v>
      </c>
      <c r="B864" s="60" t="n">
        <v>12</v>
      </c>
      <c r="C864" s="60" t="inlineStr">
        <is>
          <t>1000</t>
        </is>
      </c>
      <c r="D864" s="60" t="n">
        <v>1101</v>
      </c>
      <c r="E864" s="60" t="inlineStr">
        <is>
          <t>경영기획</t>
        </is>
      </c>
      <c r="F864" s="60" t="n">
        <v>62102000</v>
      </c>
      <c r="G864" s="60" t="inlineStr">
        <is>
          <t>여비교통비-해외</t>
        </is>
      </c>
      <c r="H864" s="61" t="n">
        <v>352860</v>
      </c>
      <c r="J864" s="63">
        <f>IF($A864="","",IFERROR(INDEX(부서매핑!$C$5:$C$504,MATCH($D864&amp;"",부서매핑!$A$5:$A$504,0)),"미매핑"))</f>
        <v/>
      </c>
      <c r="K864" s="63">
        <f>IF($A864="","",IFERROR(INDEX(계정매핑!$C$5:$C$504,MATCH($F864&amp;"",계정매핑!$A$5:$A$504,0)),"미매핑"))</f>
        <v/>
      </c>
      <c r="L864" s="4">
        <f>IF($A864="","",VALUE($A864&amp;""))</f>
        <v/>
      </c>
      <c r="M864" s="4">
        <f>IF($A864="","",VALUE($B864&amp;""))</f>
        <v/>
      </c>
      <c r="N864" s="64">
        <f>IF($A864="","",$H864*설정!$C$15)</f>
        <v/>
      </c>
      <c r="O864" s="4">
        <f>IF($A864="","",J864&amp;"|"&amp;K864)</f>
        <v/>
      </c>
      <c r="P864" s="63">
        <f>IF($A864="","",IF(COUNTIFS(예산_원본!$T$5:$T$3004,O864,예산_원본!$B$5:$B$3004,설정!$C$8,예산_원본!$U$5:$U$3004,L864)&gt;0,"Y","N"))</f>
        <v/>
      </c>
      <c r="Q864" s="63">
        <f>IF($A864="","",IF(COUNTIF(집계!$E$7:$E$506,O864)&gt;0,"Y","N"))</f>
        <v/>
      </c>
    </row>
    <row r="865">
      <c r="A865" s="60" t="n">
        <v>2025</v>
      </c>
      <c r="B865" s="60" t="n">
        <v>12</v>
      </c>
      <c r="C865" s="60" t="inlineStr">
        <is>
          <t>1000</t>
        </is>
      </c>
      <c r="D865" s="60" t="n">
        <v>1101</v>
      </c>
      <c r="E865" s="60" t="inlineStr">
        <is>
          <t>경영기획</t>
        </is>
      </c>
      <c r="F865" s="60" t="n">
        <v>62201000</v>
      </c>
      <c r="G865" s="60" t="inlineStr">
        <is>
          <t>통신비</t>
        </is>
      </c>
      <c r="H865" s="61" t="n">
        <v>776500</v>
      </c>
      <c r="J865" s="63">
        <f>IF($A865="","",IFERROR(INDEX(부서매핑!$C$5:$C$504,MATCH($D865&amp;"",부서매핑!$A$5:$A$504,0)),"미매핑"))</f>
        <v/>
      </c>
      <c r="K865" s="63">
        <f>IF($A865="","",IFERROR(INDEX(계정매핑!$C$5:$C$504,MATCH($F865&amp;"",계정매핑!$A$5:$A$504,0)),"미매핑"))</f>
        <v/>
      </c>
      <c r="L865" s="4">
        <f>IF($A865="","",VALUE($A865&amp;""))</f>
        <v/>
      </c>
      <c r="M865" s="4">
        <f>IF($A865="","",VALUE($B865&amp;""))</f>
        <v/>
      </c>
      <c r="N865" s="64">
        <f>IF($A865="","",$H865*설정!$C$15)</f>
        <v/>
      </c>
      <c r="O865" s="4">
        <f>IF($A865="","",J865&amp;"|"&amp;K865)</f>
        <v/>
      </c>
      <c r="P865" s="63">
        <f>IF($A865="","",IF(COUNTIFS(예산_원본!$T$5:$T$3004,O865,예산_원본!$B$5:$B$3004,설정!$C$8,예산_원본!$U$5:$U$3004,L865)&gt;0,"Y","N"))</f>
        <v/>
      </c>
      <c r="Q865" s="63">
        <f>IF($A865="","",IF(COUNTIF(집계!$E$7:$E$506,O865)&gt;0,"Y","N"))</f>
        <v/>
      </c>
    </row>
    <row r="866">
      <c r="A866" s="60" t="n">
        <v>2025</v>
      </c>
      <c r="B866" s="60" t="n">
        <v>12</v>
      </c>
      <c r="C866" s="60" t="inlineStr">
        <is>
          <t>1000</t>
        </is>
      </c>
      <c r="D866" s="60" t="n">
        <v>1101</v>
      </c>
      <c r="E866" s="60" t="inlineStr">
        <is>
          <t>경영기획</t>
        </is>
      </c>
      <c r="F866" s="60" t="n">
        <v>62301000</v>
      </c>
      <c r="G866" s="60" t="inlineStr">
        <is>
          <t>소모품비</t>
        </is>
      </c>
      <c r="H866" s="61" t="n">
        <v>430980</v>
      </c>
      <c r="J866" s="63">
        <f>IF($A866="","",IFERROR(INDEX(부서매핑!$C$5:$C$504,MATCH($D866&amp;"",부서매핑!$A$5:$A$504,0)),"미매핑"))</f>
        <v/>
      </c>
      <c r="K866" s="63">
        <f>IF($A866="","",IFERROR(INDEX(계정매핑!$C$5:$C$504,MATCH($F866&amp;"",계정매핑!$A$5:$A$504,0)),"미매핑"))</f>
        <v/>
      </c>
      <c r="L866" s="4">
        <f>IF($A866="","",VALUE($A866&amp;""))</f>
        <v/>
      </c>
      <c r="M866" s="4">
        <f>IF($A866="","",VALUE($B866&amp;""))</f>
        <v/>
      </c>
      <c r="N866" s="64">
        <f>IF($A866="","",$H866*설정!$C$15)</f>
        <v/>
      </c>
      <c r="O866" s="4">
        <f>IF($A866="","",J866&amp;"|"&amp;K866)</f>
        <v/>
      </c>
      <c r="P866" s="63">
        <f>IF($A866="","",IF(COUNTIFS(예산_원본!$T$5:$T$3004,O866,예산_원본!$B$5:$B$3004,설정!$C$8,예산_원본!$U$5:$U$3004,L866)&gt;0,"Y","N"))</f>
        <v/>
      </c>
      <c r="Q866" s="63">
        <f>IF($A866="","",IF(COUNTIF(집계!$E$7:$E$506,O866)&gt;0,"Y","N"))</f>
        <v/>
      </c>
    </row>
    <row r="867">
      <c r="A867" s="60" t="n">
        <v>2025</v>
      </c>
      <c r="B867" s="60" t="n">
        <v>12</v>
      </c>
      <c r="C867" s="60" t="inlineStr">
        <is>
          <t>1000</t>
        </is>
      </c>
      <c r="D867" s="60" t="n">
        <v>1101</v>
      </c>
      <c r="E867" s="60" t="inlineStr">
        <is>
          <t>경영기획</t>
        </is>
      </c>
      <c r="F867" s="60" t="n">
        <v>62501000</v>
      </c>
      <c r="G867" s="60" t="inlineStr">
        <is>
          <t>회의비</t>
        </is>
      </c>
      <c r="H867" s="61" t="n">
        <v>907170</v>
      </c>
      <c r="J867" s="63">
        <f>IF($A867="","",IFERROR(INDEX(부서매핑!$C$5:$C$504,MATCH($D867&amp;"",부서매핑!$A$5:$A$504,0)),"미매핑"))</f>
        <v/>
      </c>
      <c r="K867" s="63">
        <f>IF($A867="","",IFERROR(INDEX(계정매핑!$C$5:$C$504,MATCH($F867&amp;"",계정매핑!$A$5:$A$504,0)),"미매핑"))</f>
        <v/>
      </c>
      <c r="L867" s="4">
        <f>IF($A867="","",VALUE($A867&amp;""))</f>
        <v/>
      </c>
      <c r="M867" s="4">
        <f>IF($A867="","",VALUE($B867&amp;""))</f>
        <v/>
      </c>
      <c r="N867" s="64">
        <f>IF($A867="","",$H867*설정!$C$15)</f>
        <v/>
      </c>
      <c r="O867" s="4">
        <f>IF($A867="","",J867&amp;"|"&amp;K867)</f>
        <v/>
      </c>
      <c r="P867" s="63">
        <f>IF($A867="","",IF(COUNTIFS(예산_원본!$T$5:$T$3004,O867,예산_원본!$B$5:$B$3004,설정!$C$8,예산_원본!$U$5:$U$3004,L867)&gt;0,"Y","N"))</f>
        <v/>
      </c>
      <c r="Q867" s="63">
        <f>IF($A867="","",IF(COUNTIF(집계!$E$7:$E$506,O867)&gt;0,"Y","N"))</f>
        <v/>
      </c>
    </row>
    <row r="868">
      <c r="A868" s="60" t="n">
        <v>2025</v>
      </c>
      <c r="B868" s="60" t="n">
        <v>12</v>
      </c>
      <c r="C868" s="60" t="inlineStr">
        <is>
          <t>1000</t>
        </is>
      </c>
      <c r="D868" s="60" t="n">
        <v>1101</v>
      </c>
      <c r="E868" s="60" t="inlineStr">
        <is>
          <t>경영기획</t>
        </is>
      </c>
      <c r="F868" s="60" t="n">
        <v>62601000</v>
      </c>
      <c r="G868" s="60" t="inlineStr">
        <is>
          <t>업무추진비</t>
        </is>
      </c>
      <c r="H868" s="61" t="n">
        <v>4563130</v>
      </c>
      <c r="J868" s="63">
        <f>IF($A868="","",IFERROR(INDEX(부서매핑!$C$5:$C$504,MATCH($D868&amp;"",부서매핑!$A$5:$A$504,0)),"미매핑"))</f>
        <v/>
      </c>
      <c r="K868" s="63">
        <f>IF($A868="","",IFERROR(INDEX(계정매핑!$C$5:$C$504,MATCH($F868&amp;"",계정매핑!$A$5:$A$504,0)),"미매핑"))</f>
        <v/>
      </c>
      <c r="L868" s="4">
        <f>IF($A868="","",VALUE($A868&amp;""))</f>
        <v/>
      </c>
      <c r="M868" s="4">
        <f>IF($A868="","",VALUE($B868&amp;""))</f>
        <v/>
      </c>
      <c r="N868" s="64">
        <f>IF($A868="","",$H868*설정!$C$15)</f>
        <v/>
      </c>
      <c r="O868" s="4">
        <f>IF($A868="","",J868&amp;"|"&amp;K868)</f>
        <v/>
      </c>
      <c r="P868" s="63">
        <f>IF($A868="","",IF(COUNTIFS(예산_원본!$T$5:$T$3004,O868,예산_원본!$B$5:$B$3004,설정!$C$8,예산_원본!$U$5:$U$3004,L868)&gt;0,"Y","N"))</f>
        <v/>
      </c>
      <c r="Q868" s="63">
        <f>IF($A868="","",IF(COUNTIF(집계!$E$7:$E$506,O868)&gt;0,"Y","N"))</f>
        <v/>
      </c>
    </row>
    <row r="869">
      <c r="A869" s="60" t="n">
        <v>2025</v>
      </c>
      <c r="B869" s="60" t="n">
        <v>12</v>
      </c>
      <c r="C869" s="60" t="inlineStr">
        <is>
          <t>1000</t>
        </is>
      </c>
      <c r="D869" s="60" t="n">
        <v>1101</v>
      </c>
      <c r="E869" s="60" t="inlineStr">
        <is>
          <t>경영기획</t>
        </is>
      </c>
      <c r="F869" s="60" t="n">
        <v>62901000</v>
      </c>
      <c r="G869" s="60" t="inlineStr">
        <is>
          <t>지급수수료-컨설팅</t>
        </is>
      </c>
      <c r="H869" s="61" t="n">
        <v>12600250</v>
      </c>
      <c r="J869" s="63">
        <f>IF($A869="","",IFERROR(INDEX(부서매핑!$C$5:$C$504,MATCH($D869&amp;"",부서매핑!$A$5:$A$504,0)),"미매핑"))</f>
        <v/>
      </c>
      <c r="K869" s="63">
        <f>IF($A869="","",IFERROR(INDEX(계정매핑!$C$5:$C$504,MATCH($F869&amp;"",계정매핑!$A$5:$A$504,0)),"미매핑"))</f>
        <v/>
      </c>
      <c r="L869" s="4">
        <f>IF($A869="","",VALUE($A869&amp;""))</f>
        <v/>
      </c>
      <c r="M869" s="4">
        <f>IF($A869="","",VALUE($B869&amp;""))</f>
        <v/>
      </c>
      <c r="N869" s="64">
        <f>IF($A869="","",$H869*설정!$C$15)</f>
        <v/>
      </c>
      <c r="O869" s="4">
        <f>IF($A869="","",J869&amp;"|"&amp;K869)</f>
        <v/>
      </c>
      <c r="P869" s="63">
        <f>IF($A869="","",IF(COUNTIFS(예산_원본!$T$5:$T$3004,O869,예산_원본!$B$5:$B$3004,설정!$C$8,예산_원본!$U$5:$U$3004,L869)&gt;0,"Y","N"))</f>
        <v/>
      </c>
      <c r="Q869" s="63">
        <f>IF($A869="","",IF(COUNTIF(집계!$E$7:$E$506,O869)&gt;0,"Y","N"))</f>
        <v/>
      </c>
    </row>
    <row r="870">
      <c r="A870" s="60" t="n">
        <v>2025</v>
      </c>
      <c r="B870" s="60" t="n">
        <v>12</v>
      </c>
      <c r="C870" s="60" t="inlineStr">
        <is>
          <t>1000</t>
        </is>
      </c>
      <c r="D870" s="60" t="n">
        <v>1101</v>
      </c>
      <c r="E870" s="60" t="inlineStr">
        <is>
          <t>경영기획</t>
        </is>
      </c>
      <c r="F870" s="60" t="n">
        <v>62902000</v>
      </c>
      <c r="G870" s="60" t="inlineStr">
        <is>
          <t>지급수수료-기타</t>
        </is>
      </c>
      <c r="H870" s="61" t="n">
        <v>5407240</v>
      </c>
      <c r="J870" s="63">
        <f>IF($A870="","",IFERROR(INDEX(부서매핑!$C$5:$C$504,MATCH($D870&amp;"",부서매핑!$A$5:$A$504,0)),"미매핑"))</f>
        <v/>
      </c>
      <c r="K870" s="63">
        <f>IF($A870="","",IFERROR(INDEX(계정매핑!$C$5:$C$504,MATCH($F870&amp;"",계정매핑!$A$5:$A$504,0)),"미매핑"))</f>
        <v/>
      </c>
      <c r="L870" s="4">
        <f>IF($A870="","",VALUE($A870&amp;""))</f>
        <v/>
      </c>
      <c r="M870" s="4">
        <f>IF($A870="","",VALUE($B870&amp;""))</f>
        <v/>
      </c>
      <c r="N870" s="64">
        <f>IF($A870="","",$H870*설정!$C$15)</f>
        <v/>
      </c>
      <c r="O870" s="4">
        <f>IF($A870="","",J870&amp;"|"&amp;K870)</f>
        <v/>
      </c>
      <c r="P870" s="63">
        <f>IF($A870="","",IF(COUNTIFS(예산_원본!$T$5:$T$3004,O870,예산_원본!$B$5:$B$3004,설정!$C$8,예산_원본!$U$5:$U$3004,L870)&gt;0,"Y","N"))</f>
        <v/>
      </c>
      <c r="Q870" s="63">
        <f>IF($A870="","",IF(COUNTIF(집계!$E$7:$E$506,O870)&gt;0,"Y","N"))</f>
        <v/>
      </c>
    </row>
    <row r="871">
      <c r="A871" s="60" t="n">
        <v>2025</v>
      </c>
      <c r="B871" s="60" t="n">
        <v>12</v>
      </c>
      <c r="C871" s="60" t="inlineStr">
        <is>
          <t>1000</t>
        </is>
      </c>
      <c r="D871" s="60" t="n">
        <v>1201</v>
      </c>
      <c r="E871" s="60" t="inlineStr">
        <is>
          <t>재무회계</t>
        </is>
      </c>
      <c r="F871" s="60" t="n">
        <v>62101000</v>
      </c>
      <c r="G871" s="60" t="inlineStr">
        <is>
          <t>여비교통비-국내</t>
        </is>
      </c>
      <c r="H871" s="61" t="n">
        <v>1445230</v>
      </c>
      <c r="J871" s="63">
        <f>IF($A871="","",IFERROR(INDEX(부서매핑!$C$5:$C$504,MATCH($D871&amp;"",부서매핑!$A$5:$A$504,0)),"미매핑"))</f>
        <v/>
      </c>
      <c r="K871" s="63">
        <f>IF($A871="","",IFERROR(INDEX(계정매핑!$C$5:$C$504,MATCH($F871&amp;"",계정매핑!$A$5:$A$504,0)),"미매핑"))</f>
        <v/>
      </c>
      <c r="L871" s="4">
        <f>IF($A871="","",VALUE($A871&amp;""))</f>
        <v/>
      </c>
      <c r="M871" s="4">
        <f>IF($A871="","",VALUE($B871&amp;""))</f>
        <v/>
      </c>
      <c r="N871" s="64">
        <f>IF($A871="","",$H871*설정!$C$15)</f>
        <v/>
      </c>
      <c r="O871" s="4">
        <f>IF($A871="","",J871&amp;"|"&amp;K871)</f>
        <v/>
      </c>
      <c r="P871" s="63">
        <f>IF($A871="","",IF(COUNTIFS(예산_원본!$T$5:$T$3004,O871,예산_원본!$B$5:$B$3004,설정!$C$8,예산_원본!$U$5:$U$3004,L871)&gt;0,"Y","N"))</f>
        <v/>
      </c>
      <c r="Q871" s="63">
        <f>IF($A871="","",IF(COUNTIF(집계!$E$7:$E$506,O871)&gt;0,"Y","N"))</f>
        <v/>
      </c>
    </row>
    <row r="872">
      <c r="A872" s="60" t="n">
        <v>2025</v>
      </c>
      <c r="B872" s="60" t="n">
        <v>12</v>
      </c>
      <c r="C872" s="60" t="inlineStr">
        <is>
          <t>1000</t>
        </is>
      </c>
      <c r="D872" s="60" t="n">
        <v>1201</v>
      </c>
      <c r="E872" s="60" t="inlineStr">
        <is>
          <t>재무회계</t>
        </is>
      </c>
      <c r="F872" s="60" t="n">
        <v>62102000</v>
      </c>
      <c r="G872" s="60" t="inlineStr">
        <is>
          <t>여비교통비-해외</t>
        </is>
      </c>
      <c r="H872" s="61" t="n">
        <v>261570</v>
      </c>
      <c r="J872" s="63">
        <f>IF($A872="","",IFERROR(INDEX(부서매핑!$C$5:$C$504,MATCH($D872&amp;"",부서매핑!$A$5:$A$504,0)),"미매핑"))</f>
        <v/>
      </c>
      <c r="K872" s="63">
        <f>IF($A872="","",IFERROR(INDEX(계정매핑!$C$5:$C$504,MATCH($F872&amp;"",계정매핑!$A$5:$A$504,0)),"미매핑"))</f>
        <v/>
      </c>
      <c r="L872" s="4">
        <f>IF($A872="","",VALUE($A872&amp;""))</f>
        <v/>
      </c>
      <c r="M872" s="4">
        <f>IF($A872="","",VALUE($B872&amp;""))</f>
        <v/>
      </c>
      <c r="N872" s="64">
        <f>IF($A872="","",$H872*설정!$C$15)</f>
        <v/>
      </c>
      <c r="O872" s="4">
        <f>IF($A872="","",J872&amp;"|"&amp;K872)</f>
        <v/>
      </c>
      <c r="P872" s="63">
        <f>IF($A872="","",IF(COUNTIFS(예산_원본!$T$5:$T$3004,O872,예산_원본!$B$5:$B$3004,설정!$C$8,예산_원본!$U$5:$U$3004,L872)&gt;0,"Y","N"))</f>
        <v/>
      </c>
      <c r="Q872" s="63">
        <f>IF($A872="","",IF(COUNTIF(집계!$E$7:$E$506,O872)&gt;0,"Y","N"))</f>
        <v/>
      </c>
    </row>
    <row r="873">
      <c r="A873" s="60" t="n">
        <v>2025</v>
      </c>
      <c r="B873" s="60" t="n">
        <v>12</v>
      </c>
      <c r="C873" s="60" t="inlineStr">
        <is>
          <t>1000</t>
        </is>
      </c>
      <c r="D873" s="60" t="n">
        <v>1201</v>
      </c>
      <c r="E873" s="60" t="inlineStr">
        <is>
          <t>재무회계</t>
        </is>
      </c>
      <c r="F873" s="60" t="n">
        <v>62201000</v>
      </c>
      <c r="G873" s="60" t="inlineStr">
        <is>
          <t>통신비</t>
        </is>
      </c>
      <c r="H873" s="61" t="n">
        <v>566640</v>
      </c>
      <c r="J873" s="63">
        <f>IF($A873="","",IFERROR(INDEX(부서매핑!$C$5:$C$504,MATCH($D873&amp;"",부서매핑!$A$5:$A$504,0)),"미매핑"))</f>
        <v/>
      </c>
      <c r="K873" s="63">
        <f>IF($A873="","",IFERROR(INDEX(계정매핑!$C$5:$C$504,MATCH($F873&amp;"",계정매핑!$A$5:$A$504,0)),"미매핑"))</f>
        <v/>
      </c>
      <c r="L873" s="4">
        <f>IF($A873="","",VALUE($A873&amp;""))</f>
        <v/>
      </c>
      <c r="M873" s="4">
        <f>IF($A873="","",VALUE($B873&amp;""))</f>
        <v/>
      </c>
      <c r="N873" s="64">
        <f>IF($A873="","",$H873*설정!$C$15)</f>
        <v/>
      </c>
      <c r="O873" s="4">
        <f>IF($A873="","",J873&amp;"|"&amp;K873)</f>
        <v/>
      </c>
      <c r="P873" s="63">
        <f>IF($A873="","",IF(COUNTIFS(예산_원본!$T$5:$T$3004,O873,예산_원본!$B$5:$B$3004,설정!$C$8,예산_원본!$U$5:$U$3004,L873)&gt;0,"Y","N"))</f>
        <v/>
      </c>
      <c r="Q873" s="63">
        <f>IF($A873="","",IF(COUNTIF(집계!$E$7:$E$506,O873)&gt;0,"Y","N"))</f>
        <v/>
      </c>
    </row>
    <row r="874">
      <c r="A874" s="60" t="n">
        <v>2025</v>
      </c>
      <c r="B874" s="60" t="n">
        <v>12</v>
      </c>
      <c r="C874" s="60" t="inlineStr">
        <is>
          <t>1000</t>
        </is>
      </c>
      <c r="D874" s="60" t="n">
        <v>1201</v>
      </c>
      <c r="E874" s="60" t="inlineStr">
        <is>
          <t>재무회계</t>
        </is>
      </c>
      <c r="F874" s="60" t="n">
        <v>62301000</v>
      </c>
      <c r="G874" s="60" t="inlineStr">
        <is>
          <t>소모품비</t>
        </is>
      </c>
      <c r="H874" s="61" t="n">
        <v>652810</v>
      </c>
      <c r="J874" s="63">
        <f>IF($A874="","",IFERROR(INDEX(부서매핑!$C$5:$C$504,MATCH($D874&amp;"",부서매핑!$A$5:$A$504,0)),"미매핑"))</f>
        <v/>
      </c>
      <c r="K874" s="63">
        <f>IF($A874="","",IFERROR(INDEX(계정매핑!$C$5:$C$504,MATCH($F874&amp;"",계정매핑!$A$5:$A$504,0)),"미매핑"))</f>
        <v/>
      </c>
      <c r="L874" s="4">
        <f>IF($A874="","",VALUE($A874&amp;""))</f>
        <v/>
      </c>
      <c r="M874" s="4">
        <f>IF($A874="","",VALUE($B874&amp;""))</f>
        <v/>
      </c>
      <c r="N874" s="64">
        <f>IF($A874="","",$H874*설정!$C$15)</f>
        <v/>
      </c>
      <c r="O874" s="4">
        <f>IF($A874="","",J874&amp;"|"&amp;K874)</f>
        <v/>
      </c>
      <c r="P874" s="63">
        <f>IF($A874="","",IF(COUNTIFS(예산_원본!$T$5:$T$3004,O874,예산_원본!$B$5:$B$3004,설정!$C$8,예산_원본!$U$5:$U$3004,L874)&gt;0,"Y","N"))</f>
        <v/>
      </c>
      <c r="Q874" s="63">
        <f>IF($A874="","",IF(COUNTIF(집계!$E$7:$E$506,O874)&gt;0,"Y","N"))</f>
        <v/>
      </c>
    </row>
    <row r="875">
      <c r="A875" s="60" t="n">
        <v>2025</v>
      </c>
      <c r="B875" s="60" t="n">
        <v>12</v>
      </c>
      <c r="C875" s="60" t="inlineStr">
        <is>
          <t>1000</t>
        </is>
      </c>
      <c r="D875" s="60" t="n">
        <v>1201</v>
      </c>
      <c r="E875" s="60" t="inlineStr">
        <is>
          <t>재무회계</t>
        </is>
      </c>
      <c r="F875" s="60" t="n">
        <v>62501000</v>
      </c>
      <c r="G875" s="60" t="inlineStr">
        <is>
          <t>회의비</t>
        </is>
      </c>
      <c r="H875" s="61" t="n">
        <v>397020</v>
      </c>
      <c r="J875" s="63">
        <f>IF($A875="","",IFERROR(INDEX(부서매핑!$C$5:$C$504,MATCH($D875&amp;"",부서매핑!$A$5:$A$504,0)),"미매핑"))</f>
        <v/>
      </c>
      <c r="K875" s="63">
        <f>IF($A875="","",IFERROR(INDEX(계정매핑!$C$5:$C$504,MATCH($F875&amp;"",계정매핑!$A$5:$A$504,0)),"미매핑"))</f>
        <v/>
      </c>
      <c r="L875" s="4">
        <f>IF($A875="","",VALUE($A875&amp;""))</f>
        <v/>
      </c>
      <c r="M875" s="4">
        <f>IF($A875="","",VALUE($B875&amp;""))</f>
        <v/>
      </c>
      <c r="N875" s="64">
        <f>IF($A875="","",$H875*설정!$C$15)</f>
        <v/>
      </c>
      <c r="O875" s="4">
        <f>IF($A875="","",J875&amp;"|"&amp;K875)</f>
        <v/>
      </c>
      <c r="P875" s="63">
        <f>IF($A875="","",IF(COUNTIFS(예산_원본!$T$5:$T$3004,O875,예산_원본!$B$5:$B$3004,설정!$C$8,예산_원본!$U$5:$U$3004,L875)&gt;0,"Y","N"))</f>
        <v/>
      </c>
      <c r="Q875" s="63">
        <f>IF($A875="","",IF(COUNTIF(집계!$E$7:$E$506,O875)&gt;0,"Y","N"))</f>
        <v/>
      </c>
    </row>
    <row r="876">
      <c r="A876" s="60" t="n">
        <v>2025</v>
      </c>
      <c r="B876" s="60" t="n">
        <v>12</v>
      </c>
      <c r="C876" s="60" t="inlineStr">
        <is>
          <t>1000</t>
        </is>
      </c>
      <c r="D876" s="60" t="n">
        <v>1201</v>
      </c>
      <c r="E876" s="60" t="inlineStr">
        <is>
          <t>재무회계</t>
        </is>
      </c>
      <c r="F876" s="60" t="n">
        <v>62901000</v>
      </c>
      <c r="G876" s="60" t="inlineStr">
        <is>
          <t>지급수수료-컨설팅</t>
        </is>
      </c>
      <c r="H876" s="61" t="n">
        <v>18968480</v>
      </c>
      <c r="J876" s="63">
        <f>IF($A876="","",IFERROR(INDEX(부서매핑!$C$5:$C$504,MATCH($D876&amp;"",부서매핑!$A$5:$A$504,0)),"미매핑"))</f>
        <v/>
      </c>
      <c r="K876" s="63">
        <f>IF($A876="","",IFERROR(INDEX(계정매핑!$C$5:$C$504,MATCH($F876&amp;"",계정매핑!$A$5:$A$504,0)),"미매핑"))</f>
        <v/>
      </c>
      <c r="L876" s="4">
        <f>IF($A876="","",VALUE($A876&amp;""))</f>
        <v/>
      </c>
      <c r="M876" s="4">
        <f>IF($A876="","",VALUE($B876&amp;""))</f>
        <v/>
      </c>
      <c r="N876" s="64">
        <f>IF($A876="","",$H876*설정!$C$15)</f>
        <v/>
      </c>
      <c r="O876" s="4">
        <f>IF($A876="","",J876&amp;"|"&amp;K876)</f>
        <v/>
      </c>
      <c r="P876" s="63">
        <f>IF($A876="","",IF(COUNTIFS(예산_원본!$T$5:$T$3004,O876,예산_원본!$B$5:$B$3004,설정!$C$8,예산_원본!$U$5:$U$3004,L876)&gt;0,"Y","N"))</f>
        <v/>
      </c>
      <c r="Q876" s="63">
        <f>IF($A876="","",IF(COUNTIF(집계!$E$7:$E$506,O876)&gt;0,"Y","N"))</f>
        <v/>
      </c>
    </row>
    <row r="877">
      <c r="A877" s="60" t="n">
        <v>2025</v>
      </c>
      <c r="B877" s="60" t="n">
        <v>12</v>
      </c>
      <c r="C877" s="60" t="inlineStr">
        <is>
          <t>1000</t>
        </is>
      </c>
      <c r="D877" s="60" t="n">
        <v>1201</v>
      </c>
      <c r="E877" s="60" t="inlineStr">
        <is>
          <t>재무회계</t>
        </is>
      </c>
      <c r="F877" s="60" t="n">
        <v>62902000</v>
      </c>
      <c r="G877" s="60" t="inlineStr">
        <is>
          <t>지급수수료-기타</t>
        </is>
      </c>
      <c r="H877" s="61" t="n">
        <v>8091180</v>
      </c>
      <c r="J877" s="63">
        <f>IF($A877="","",IFERROR(INDEX(부서매핑!$C$5:$C$504,MATCH($D877&amp;"",부서매핑!$A$5:$A$504,0)),"미매핑"))</f>
        <v/>
      </c>
      <c r="K877" s="63">
        <f>IF($A877="","",IFERROR(INDEX(계정매핑!$C$5:$C$504,MATCH($F877&amp;"",계정매핑!$A$5:$A$504,0)),"미매핑"))</f>
        <v/>
      </c>
      <c r="L877" s="4">
        <f>IF($A877="","",VALUE($A877&amp;""))</f>
        <v/>
      </c>
      <c r="M877" s="4">
        <f>IF($A877="","",VALUE($B877&amp;""))</f>
        <v/>
      </c>
      <c r="N877" s="64">
        <f>IF($A877="","",$H877*설정!$C$15)</f>
        <v/>
      </c>
      <c r="O877" s="4">
        <f>IF($A877="","",J877&amp;"|"&amp;K877)</f>
        <v/>
      </c>
      <c r="P877" s="63">
        <f>IF($A877="","",IF(COUNTIFS(예산_원본!$T$5:$T$3004,O877,예산_원본!$B$5:$B$3004,설정!$C$8,예산_원본!$U$5:$U$3004,L877)&gt;0,"Y","N"))</f>
        <v/>
      </c>
      <c r="Q877" s="63">
        <f>IF($A877="","",IF(COUNTIF(집계!$E$7:$E$506,O877)&gt;0,"Y","N"))</f>
        <v/>
      </c>
    </row>
    <row r="878">
      <c r="A878" s="60" t="n">
        <v>2025</v>
      </c>
      <c r="B878" s="60" t="n">
        <v>12</v>
      </c>
      <c r="C878" s="60" t="inlineStr">
        <is>
          <t>1000</t>
        </is>
      </c>
      <c r="D878" s="60" t="n">
        <v>1301</v>
      </c>
      <c r="E878" s="60" t="inlineStr">
        <is>
          <t>인사</t>
        </is>
      </c>
      <c r="F878" s="60" t="n">
        <v>62101000</v>
      </c>
      <c r="G878" s="60" t="inlineStr">
        <is>
          <t>여비교통비-국내</t>
        </is>
      </c>
      <c r="H878" s="61" t="n">
        <v>1696000</v>
      </c>
      <c r="J878" s="63">
        <f>IF($A878="","",IFERROR(INDEX(부서매핑!$C$5:$C$504,MATCH($D878&amp;"",부서매핑!$A$5:$A$504,0)),"미매핑"))</f>
        <v/>
      </c>
      <c r="K878" s="63">
        <f>IF($A878="","",IFERROR(INDEX(계정매핑!$C$5:$C$504,MATCH($F878&amp;"",계정매핑!$A$5:$A$504,0)),"미매핑"))</f>
        <v/>
      </c>
      <c r="L878" s="4">
        <f>IF($A878="","",VALUE($A878&amp;""))</f>
        <v/>
      </c>
      <c r="M878" s="4">
        <f>IF($A878="","",VALUE($B878&amp;""))</f>
        <v/>
      </c>
      <c r="N878" s="64">
        <f>IF($A878="","",$H878*설정!$C$15)</f>
        <v/>
      </c>
      <c r="O878" s="4">
        <f>IF($A878="","",J878&amp;"|"&amp;K878)</f>
        <v/>
      </c>
      <c r="P878" s="63">
        <f>IF($A878="","",IF(COUNTIFS(예산_원본!$T$5:$T$3004,O878,예산_원본!$B$5:$B$3004,설정!$C$8,예산_원본!$U$5:$U$3004,L878)&gt;0,"Y","N"))</f>
        <v/>
      </c>
      <c r="Q878" s="63">
        <f>IF($A878="","",IF(COUNTIF(집계!$E$7:$E$506,O878)&gt;0,"Y","N"))</f>
        <v/>
      </c>
    </row>
    <row r="879">
      <c r="A879" s="60" t="n">
        <v>2025</v>
      </c>
      <c r="B879" s="60" t="n">
        <v>12</v>
      </c>
      <c r="C879" s="60" t="inlineStr">
        <is>
          <t>1000</t>
        </is>
      </c>
      <c r="D879" s="60" t="n">
        <v>1301</v>
      </c>
      <c r="E879" s="60" t="inlineStr">
        <is>
          <t>인사</t>
        </is>
      </c>
      <c r="F879" s="60" t="n">
        <v>62102000</v>
      </c>
      <c r="G879" s="60" t="inlineStr">
        <is>
          <t>여비교통비-해외</t>
        </is>
      </c>
      <c r="H879" s="61" t="n">
        <v>282700</v>
      </c>
      <c r="J879" s="63">
        <f>IF($A879="","",IFERROR(INDEX(부서매핑!$C$5:$C$504,MATCH($D879&amp;"",부서매핑!$A$5:$A$504,0)),"미매핑"))</f>
        <v/>
      </c>
      <c r="K879" s="63">
        <f>IF($A879="","",IFERROR(INDEX(계정매핑!$C$5:$C$504,MATCH($F879&amp;"",계정매핑!$A$5:$A$504,0)),"미매핑"))</f>
        <v/>
      </c>
      <c r="L879" s="4">
        <f>IF($A879="","",VALUE($A879&amp;""))</f>
        <v/>
      </c>
      <c r="M879" s="4">
        <f>IF($A879="","",VALUE($B879&amp;""))</f>
        <v/>
      </c>
      <c r="N879" s="64">
        <f>IF($A879="","",$H879*설정!$C$15)</f>
        <v/>
      </c>
      <c r="O879" s="4">
        <f>IF($A879="","",J879&amp;"|"&amp;K879)</f>
        <v/>
      </c>
      <c r="P879" s="63">
        <f>IF($A879="","",IF(COUNTIFS(예산_원본!$T$5:$T$3004,O879,예산_원본!$B$5:$B$3004,설정!$C$8,예산_원본!$U$5:$U$3004,L879)&gt;0,"Y","N"))</f>
        <v/>
      </c>
      <c r="Q879" s="63">
        <f>IF($A879="","",IF(COUNTIF(집계!$E$7:$E$506,O879)&gt;0,"Y","N"))</f>
        <v/>
      </c>
    </row>
    <row r="880">
      <c r="A880" s="60" t="n">
        <v>2025</v>
      </c>
      <c r="B880" s="60" t="n">
        <v>12</v>
      </c>
      <c r="C880" s="60" t="inlineStr">
        <is>
          <t>1000</t>
        </is>
      </c>
      <c r="D880" s="60" t="n">
        <v>1301</v>
      </c>
      <c r="E880" s="60" t="inlineStr">
        <is>
          <t>인사</t>
        </is>
      </c>
      <c r="F880" s="60" t="n">
        <v>62201000</v>
      </c>
      <c r="G880" s="60" t="inlineStr">
        <is>
          <t>통신비</t>
        </is>
      </c>
      <c r="H880" s="61" t="n">
        <v>699370</v>
      </c>
      <c r="J880" s="63">
        <f>IF($A880="","",IFERROR(INDEX(부서매핑!$C$5:$C$504,MATCH($D880&amp;"",부서매핑!$A$5:$A$504,0)),"미매핑"))</f>
        <v/>
      </c>
      <c r="K880" s="63">
        <f>IF($A880="","",IFERROR(INDEX(계정매핑!$C$5:$C$504,MATCH($F880&amp;"",계정매핑!$A$5:$A$504,0)),"미매핑"))</f>
        <v/>
      </c>
      <c r="L880" s="4">
        <f>IF($A880="","",VALUE($A880&amp;""))</f>
        <v/>
      </c>
      <c r="M880" s="4">
        <f>IF($A880="","",VALUE($B880&amp;""))</f>
        <v/>
      </c>
      <c r="N880" s="64">
        <f>IF($A880="","",$H880*설정!$C$15)</f>
        <v/>
      </c>
      <c r="O880" s="4">
        <f>IF($A880="","",J880&amp;"|"&amp;K880)</f>
        <v/>
      </c>
      <c r="P880" s="63">
        <f>IF($A880="","",IF(COUNTIFS(예산_원본!$T$5:$T$3004,O880,예산_원본!$B$5:$B$3004,설정!$C$8,예산_원본!$U$5:$U$3004,L880)&gt;0,"Y","N"))</f>
        <v/>
      </c>
      <c r="Q880" s="63">
        <f>IF($A880="","",IF(COUNTIF(집계!$E$7:$E$506,O880)&gt;0,"Y","N"))</f>
        <v/>
      </c>
    </row>
    <row r="881">
      <c r="A881" s="60" t="n">
        <v>2025</v>
      </c>
      <c r="B881" s="60" t="n">
        <v>12</v>
      </c>
      <c r="C881" s="60" t="inlineStr">
        <is>
          <t>1000</t>
        </is>
      </c>
      <c r="D881" s="60" t="n">
        <v>1301</v>
      </c>
      <c r="E881" s="60" t="inlineStr">
        <is>
          <t>인사</t>
        </is>
      </c>
      <c r="F881" s="60" t="n">
        <v>62301000</v>
      </c>
      <c r="G881" s="60" t="inlineStr">
        <is>
          <t>소모품비</t>
        </is>
      </c>
      <c r="H881" s="61" t="n">
        <v>761010</v>
      </c>
      <c r="J881" s="63">
        <f>IF($A881="","",IFERROR(INDEX(부서매핑!$C$5:$C$504,MATCH($D881&amp;"",부서매핑!$A$5:$A$504,0)),"미매핑"))</f>
        <v/>
      </c>
      <c r="K881" s="63">
        <f>IF($A881="","",IFERROR(INDEX(계정매핑!$C$5:$C$504,MATCH($F881&amp;"",계정매핑!$A$5:$A$504,0)),"미매핑"))</f>
        <v/>
      </c>
      <c r="L881" s="4">
        <f>IF($A881="","",VALUE($A881&amp;""))</f>
        <v/>
      </c>
      <c r="M881" s="4">
        <f>IF($A881="","",VALUE($B881&amp;""))</f>
        <v/>
      </c>
      <c r="N881" s="64">
        <f>IF($A881="","",$H881*설정!$C$15)</f>
        <v/>
      </c>
      <c r="O881" s="4">
        <f>IF($A881="","",J881&amp;"|"&amp;K881)</f>
        <v/>
      </c>
      <c r="P881" s="63">
        <f>IF($A881="","",IF(COUNTIFS(예산_원본!$T$5:$T$3004,O881,예산_원본!$B$5:$B$3004,설정!$C$8,예산_원본!$U$5:$U$3004,L881)&gt;0,"Y","N"))</f>
        <v/>
      </c>
      <c r="Q881" s="63">
        <f>IF($A881="","",IF(COUNTIF(집계!$E$7:$E$506,O881)&gt;0,"Y","N"))</f>
        <v/>
      </c>
    </row>
    <row r="882">
      <c r="A882" s="60" t="n">
        <v>2025</v>
      </c>
      <c r="B882" s="60" t="n">
        <v>12</v>
      </c>
      <c r="C882" s="60" t="inlineStr">
        <is>
          <t>1000</t>
        </is>
      </c>
      <c r="D882" s="60" t="n">
        <v>1301</v>
      </c>
      <c r="E882" s="60" t="inlineStr">
        <is>
          <t>인사</t>
        </is>
      </c>
      <c r="F882" s="60" t="n">
        <v>62501000</v>
      </c>
      <c r="G882" s="60" t="inlineStr">
        <is>
          <t>회의비</t>
        </is>
      </c>
      <c r="H882" s="61" t="n">
        <v>567390</v>
      </c>
      <c r="J882" s="63">
        <f>IF($A882="","",IFERROR(INDEX(부서매핑!$C$5:$C$504,MATCH($D882&amp;"",부서매핑!$A$5:$A$504,0)),"미매핑"))</f>
        <v/>
      </c>
      <c r="K882" s="63">
        <f>IF($A882="","",IFERROR(INDEX(계정매핑!$C$5:$C$504,MATCH($F882&amp;"",계정매핑!$A$5:$A$504,0)),"미매핑"))</f>
        <v/>
      </c>
      <c r="L882" s="4">
        <f>IF($A882="","",VALUE($A882&amp;""))</f>
        <v/>
      </c>
      <c r="M882" s="4">
        <f>IF($A882="","",VALUE($B882&amp;""))</f>
        <v/>
      </c>
      <c r="N882" s="64">
        <f>IF($A882="","",$H882*설정!$C$15)</f>
        <v/>
      </c>
      <c r="O882" s="4">
        <f>IF($A882="","",J882&amp;"|"&amp;K882)</f>
        <v/>
      </c>
      <c r="P882" s="63">
        <f>IF($A882="","",IF(COUNTIFS(예산_원본!$T$5:$T$3004,O882,예산_원본!$B$5:$B$3004,설정!$C$8,예산_원본!$U$5:$U$3004,L882)&gt;0,"Y","N"))</f>
        <v/>
      </c>
      <c r="Q882" s="63">
        <f>IF($A882="","",IF(COUNTIF(집계!$E$7:$E$506,O882)&gt;0,"Y","N"))</f>
        <v/>
      </c>
    </row>
    <row r="883">
      <c r="A883" s="60" t="n">
        <v>2025</v>
      </c>
      <c r="B883" s="60" t="n">
        <v>12</v>
      </c>
      <c r="C883" s="60" t="inlineStr">
        <is>
          <t>1000</t>
        </is>
      </c>
      <c r="D883" s="60" t="n">
        <v>1301</v>
      </c>
      <c r="E883" s="60" t="inlineStr">
        <is>
          <t>인사</t>
        </is>
      </c>
      <c r="F883" s="60" t="n">
        <v>62601000</v>
      </c>
      <c r="G883" s="60" t="inlineStr">
        <is>
          <t>업무추진비</t>
        </is>
      </c>
      <c r="H883" s="61" t="n">
        <v>2090640</v>
      </c>
      <c r="J883" s="63">
        <f>IF($A883="","",IFERROR(INDEX(부서매핑!$C$5:$C$504,MATCH($D883&amp;"",부서매핑!$A$5:$A$504,0)),"미매핑"))</f>
        <v/>
      </c>
      <c r="K883" s="63">
        <f>IF($A883="","",IFERROR(INDEX(계정매핑!$C$5:$C$504,MATCH($F883&amp;"",계정매핑!$A$5:$A$504,0)),"미매핑"))</f>
        <v/>
      </c>
      <c r="L883" s="4">
        <f>IF($A883="","",VALUE($A883&amp;""))</f>
        <v/>
      </c>
      <c r="M883" s="4">
        <f>IF($A883="","",VALUE($B883&amp;""))</f>
        <v/>
      </c>
      <c r="N883" s="64">
        <f>IF($A883="","",$H883*설정!$C$15)</f>
        <v/>
      </c>
      <c r="O883" s="4">
        <f>IF($A883="","",J883&amp;"|"&amp;K883)</f>
        <v/>
      </c>
      <c r="P883" s="63">
        <f>IF($A883="","",IF(COUNTIFS(예산_원본!$T$5:$T$3004,O883,예산_원본!$B$5:$B$3004,설정!$C$8,예산_원본!$U$5:$U$3004,L883)&gt;0,"Y","N"))</f>
        <v/>
      </c>
      <c r="Q883" s="63">
        <f>IF($A883="","",IF(COUNTIF(집계!$E$7:$E$506,O883)&gt;0,"Y","N"))</f>
        <v/>
      </c>
    </row>
    <row r="884">
      <c r="A884" s="60" t="n">
        <v>2025</v>
      </c>
      <c r="B884" s="60" t="n">
        <v>12</v>
      </c>
      <c r="C884" s="60" t="inlineStr">
        <is>
          <t>1000</t>
        </is>
      </c>
      <c r="D884" s="60" t="n">
        <v>1301</v>
      </c>
      <c r="E884" s="60" t="inlineStr">
        <is>
          <t>인사</t>
        </is>
      </c>
      <c r="F884" s="60" t="n">
        <v>62801000</v>
      </c>
      <c r="G884" s="60" t="inlineStr">
        <is>
          <t>교육훈련비-사내</t>
        </is>
      </c>
      <c r="H884" s="61" t="n">
        <v>16615860</v>
      </c>
      <c r="J884" s="63">
        <f>IF($A884="","",IFERROR(INDEX(부서매핑!$C$5:$C$504,MATCH($D884&amp;"",부서매핑!$A$5:$A$504,0)),"미매핑"))</f>
        <v/>
      </c>
      <c r="K884" s="63">
        <f>IF($A884="","",IFERROR(INDEX(계정매핑!$C$5:$C$504,MATCH($F884&amp;"",계정매핑!$A$5:$A$504,0)),"미매핑"))</f>
        <v/>
      </c>
      <c r="L884" s="4">
        <f>IF($A884="","",VALUE($A884&amp;""))</f>
        <v/>
      </c>
      <c r="M884" s="4">
        <f>IF($A884="","",VALUE($B884&amp;""))</f>
        <v/>
      </c>
      <c r="N884" s="64">
        <f>IF($A884="","",$H884*설정!$C$15)</f>
        <v/>
      </c>
      <c r="O884" s="4">
        <f>IF($A884="","",J884&amp;"|"&amp;K884)</f>
        <v/>
      </c>
      <c r="P884" s="63">
        <f>IF($A884="","",IF(COUNTIFS(예산_원본!$T$5:$T$3004,O884,예산_원본!$B$5:$B$3004,설정!$C$8,예산_원본!$U$5:$U$3004,L884)&gt;0,"Y","N"))</f>
        <v/>
      </c>
      <c r="Q884" s="63">
        <f>IF($A884="","",IF(COUNTIF(집계!$E$7:$E$506,O884)&gt;0,"Y","N"))</f>
        <v/>
      </c>
    </row>
    <row r="885">
      <c r="A885" s="60" t="n">
        <v>2025</v>
      </c>
      <c r="B885" s="60" t="n">
        <v>12</v>
      </c>
      <c r="C885" s="60" t="inlineStr">
        <is>
          <t>1000</t>
        </is>
      </c>
      <c r="D885" s="60" t="n">
        <v>1301</v>
      </c>
      <c r="E885" s="60" t="inlineStr">
        <is>
          <t>인사</t>
        </is>
      </c>
      <c r="F885" s="60" t="n">
        <v>62802000</v>
      </c>
      <c r="G885" s="60" t="inlineStr">
        <is>
          <t>교육훈련비-외부위탁</t>
        </is>
      </c>
      <c r="H885" s="61" t="n">
        <v>22722380</v>
      </c>
      <c r="J885" s="63">
        <f>IF($A885="","",IFERROR(INDEX(부서매핑!$C$5:$C$504,MATCH($D885&amp;"",부서매핑!$A$5:$A$504,0)),"미매핑"))</f>
        <v/>
      </c>
      <c r="K885" s="63">
        <f>IF($A885="","",IFERROR(INDEX(계정매핑!$C$5:$C$504,MATCH($F885&amp;"",계정매핑!$A$5:$A$504,0)),"미매핑"))</f>
        <v/>
      </c>
      <c r="L885" s="4">
        <f>IF($A885="","",VALUE($A885&amp;""))</f>
        <v/>
      </c>
      <c r="M885" s="4">
        <f>IF($A885="","",VALUE($B885&amp;""))</f>
        <v/>
      </c>
      <c r="N885" s="64">
        <f>IF($A885="","",$H885*설정!$C$15)</f>
        <v/>
      </c>
      <c r="O885" s="4">
        <f>IF($A885="","",J885&amp;"|"&amp;K885)</f>
        <v/>
      </c>
      <c r="P885" s="63">
        <f>IF($A885="","",IF(COUNTIFS(예산_원본!$T$5:$T$3004,O885,예산_원본!$B$5:$B$3004,설정!$C$8,예산_원본!$U$5:$U$3004,L885)&gt;0,"Y","N"))</f>
        <v/>
      </c>
      <c r="Q885" s="63">
        <f>IF($A885="","",IF(COUNTIF(집계!$E$7:$E$506,O885)&gt;0,"Y","N"))</f>
        <v/>
      </c>
    </row>
    <row r="886">
      <c r="A886" s="60" t="n">
        <v>2025</v>
      </c>
      <c r="B886" s="60" t="n">
        <v>12</v>
      </c>
      <c r="C886" s="60" t="inlineStr">
        <is>
          <t>1000</t>
        </is>
      </c>
      <c r="D886" s="60" t="n">
        <v>1401</v>
      </c>
      <c r="E886" s="60" t="inlineStr">
        <is>
          <t>상품개발</t>
        </is>
      </c>
      <c r="F886" s="60" t="n">
        <v>62101000</v>
      </c>
      <c r="G886" s="60" t="inlineStr">
        <is>
          <t>여비교통비-국내</t>
        </is>
      </c>
      <c r="H886" s="61" t="n">
        <v>1536420</v>
      </c>
      <c r="J886" s="63">
        <f>IF($A886="","",IFERROR(INDEX(부서매핑!$C$5:$C$504,MATCH($D886&amp;"",부서매핑!$A$5:$A$504,0)),"미매핑"))</f>
        <v/>
      </c>
      <c r="K886" s="63">
        <f>IF($A886="","",IFERROR(INDEX(계정매핑!$C$5:$C$504,MATCH($F886&amp;"",계정매핑!$A$5:$A$504,0)),"미매핑"))</f>
        <v/>
      </c>
      <c r="L886" s="4">
        <f>IF($A886="","",VALUE($A886&amp;""))</f>
        <v/>
      </c>
      <c r="M886" s="4">
        <f>IF($A886="","",VALUE($B886&amp;""))</f>
        <v/>
      </c>
      <c r="N886" s="64">
        <f>IF($A886="","",$H886*설정!$C$15)</f>
        <v/>
      </c>
      <c r="O886" s="4">
        <f>IF($A886="","",J886&amp;"|"&amp;K886)</f>
        <v/>
      </c>
      <c r="P886" s="63">
        <f>IF($A886="","",IF(COUNTIFS(예산_원본!$T$5:$T$3004,O886,예산_원본!$B$5:$B$3004,설정!$C$8,예산_원본!$U$5:$U$3004,L886)&gt;0,"Y","N"))</f>
        <v/>
      </c>
      <c r="Q886" s="63">
        <f>IF($A886="","",IF(COUNTIF(집계!$E$7:$E$506,O886)&gt;0,"Y","N"))</f>
        <v/>
      </c>
    </row>
    <row r="887">
      <c r="A887" s="60" t="n">
        <v>2025</v>
      </c>
      <c r="B887" s="60" t="n">
        <v>12</v>
      </c>
      <c r="C887" s="60" t="inlineStr">
        <is>
          <t>1000</t>
        </is>
      </c>
      <c r="D887" s="60" t="n">
        <v>1401</v>
      </c>
      <c r="E887" s="60" t="inlineStr">
        <is>
          <t>상품개발</t>
        </is>
      </c>
      <c r="F887" s="60" t="n">
        <v>62102000</v>
      </c>
      <c r="G887" s="60" t="inlineStr">
        <is>
          <t>여비교통비-해외</t>
        </is>
      </c>
      <c r="H887" s="61" t="n">
        <v>325030</v>
      </c>
      <c r="J887" s="63">
        <f>IF($A887="","",IFERROR(INDEX(부서매핑!$C$5:$C$504,MATCH($D887&amp;"",부서매핑!$A$5:$A$504,0)),"미매핑"))</f>
        <v/>
      </c>
      <c r="K887" s="63">
        <f>IF($A887="","",IFERROR(INDEX(계정매핑!$C$5:$C$504,MATCH($F887&amp;"",계정매핑!$A$5:$A$504,0)),"미매핑"))</f>
        <v/>
      </c>
      <c r="L887" s="4">
        <f>IF($A887="","",VALUE($A887&amp;""))</f>
        <v/>
      </c>
      <c r="M887" s="4">
        <f>IF($A887="","",VALUE($B887&amp;""))</f>
        <v/>
      </c>
      <c r="N887" s="64">
        <f>IF($A887="","",$H887*설정!$C$15)</f>
        <v/>
      </c>
      <c r="O887" s="4">
        <f>IF($A887="","",J887&amp;"|"&amp;K887)</f>
        <v/>
      </c>
      <c r="P887" s="63">
        <f>IF($A887="","",IF(COUNTIFS(예산_원본!$T$5:$T$3004,O887,예산_원본!$B$5:$B$3004,설정!$C$8,예산_원본!$U$5:$U$3004,L887)&gt;0,"Y","N"))</f>
        <v/>
      </c>
      <c r="Q887" s="63">
        <f>IF($A887="","",IF(COUNTIF(집계!$E$7:$E$506,O887)&gt;0,"Y","N"))</f>
        <v/>
      </c>
    </row>
    <row r="888">
      <c r="A888" s="60" t="n">
        <v>2025</v>
      </c>
      <c r="B888" s="60" t="n">
        <v>12</v>
      </c>
      <c r="C888" s="60" t="inlineStr">
        <is>
          <t>1000</t>
        </is>
      </c>
      <c r="D888" s="60" t="n">
        <v>1401</v>
      </c>
      <c r="E888" s="60" t="inlineStr">
        <is>
          <t>상품개발</t>
        </is>
      </c>
      <c r="F888" s="60" t="n">
        <v>62201000</v>
      </c>
      <c r="G888" s="60" t="inlineStr">
        <is>
          <t>통신비</t>
        </is>
      </c>
      <c r="H888" s="61" t="n">
        <v>545710</v>
      </c>
      <c r="J888" s="63">
        <f>IF($A888="","",IFERROR(INDEX(부서매핑!$C$5:$C$504,MATCH($D888&amp;"",부서매핑!$A$5:$A$504,0)),"미매핑"))</f>
        <v/>
      </c>
      <c r="K888" s="63">
        <f>IF($A888="","",IFERROR(INDEX(계정매핑!$C$5:$C$504,MATCH($F888&amp;"",계정매핑!$A$5:$A$504,0)),"미매핑"))</f>
        <v/>
      </c>
      <c r="L888" s="4">
        <f>IF($A888="","",VALUE($A888&amp;""))</f>
        <v/>
      </c>
      <c r="M888" s="4">
        <f>IF($A888="","",VALUE($B888&amp;""))</f>
        <v/>
      </c>
      <c r="N888" s="64">
        <f>IF($A888="","",$H888*설정!$C$15)</f>
        <v/>
      </c>
      <c r="O888" s="4">
        <f>IF($A888="","",J888&amp;"|"&amp;K888)</f>
        <v/>
      </c>
      <c r="P888" s="63">
        <f>IF($A888="","",IF(COUNTIFS(예산_원본!$T$5:$T$3004,O888,예산_원본!$B$5:$B$3004,설정!$C$8,예산_원본!$U$5:$U$3004,L888)&gt;0,"Y","N"))</f>
        <v/>
      </c>
      <c r="Q888" s="63">
        <f>IF($A888="","",IF(COUNTIF(집계!$E$7:$E$506,O888)&gt;0,"Y","N"))</f>
        <v/>
      </c>
    </row>
    <row r="889">
      <c r="A889" s="60" t="n">
        <v>2025</v>
      </c>
      <c r="B889" s="60" t="n">
        <v>12</v>
      </c>
      <c r="C889" s="60" t="inlineStr">
        <is>
          <t>1000</t>
        </is>
      </c>
      <c r="D889" s="60" t="n">
        <v>1401</v>
      </c>
      <c r="E889" s="60" t="inlineStr">
        <is>
          <t>상품개발</t>
        </is>
      </c>
      <c r="F889" s="60" t="n">
        <v>62301000</v>
      </c>
      <c r="G889" s="60" t="inlineStr">
        <is>
          <t>소모품비</t>
        </is>
      </c>
      <c r="H889" s="61" t="n">
        <v>420950</v>
      </c>
      <c r="J889" s="63">
        <f>IF($A889="","",IFERROR(INDEX(부서매핑!$C$5:$C$504,MATCH($D889&amp;"",부서매핑!$A$5:$A$504,0)),"미매핑"))</f>
        <v/>
      </c>
      <c r="K889" s="63">
        <f>IF($A889="","",IFERROR(INDEX(계정매핑!$C$5:$C$504,MATCH($F889&amp;"",계정매핑!$A$5:$A$504,0)),"미매핑"))</f>
        <v/>
      </c>
      <c r="L889" s="4">
        <f>IF($A889="","",VALUE($A889&amp;""))</f>
        <v/>
      </c>
      <c r="M889" s="4">
        <f>IF($A889="","",VALUE($B889&amp;""))</f>
        <v/>
      </c>
      <c r="N889" s="64">
        <f>IF($A889="","",$H889*설정!$C$15)</f>
        <v/>
      </c>
      <c r="O889" s="4">
        <f>IF($A889="","",J889&amp;"|"&amp;K889)</f>
        <v/>
      </c>
      <c r="P889" s="63">
        <f>IF($A889="","",IF(COUNTIFS(예산_원본!$T$5:$T$3004,O889,예산_원본!$B$5:$B$3004,설정!$C$8,예산_원본!$U$5:$U$3004,L889)&gt;0,"Y","N"))</f>
        <v/>
      </c>
      <c r="Q889" s="63">
        <f>IF($A889="","",IF(COUNTIF(집계!$E$7:$E$506,O889)&gt;0,"Y","N"))</f>
        <v/>
      </c>
    </row>
    <row r="890">
      <c r="A890" s="60" t="n">
        <v>2025</v>
      </c>
      <c r="B890" s="60" t="n">
        <v>12</v>
      </c>
      <c r="C890" s="60" t="inlineStr">
        <is>
          <t>1000</t>
        </is>
      </c>
      <c r="D890" s="60" t="n">
        <v>1401</v>
      </c>
      <c r="E890" s="60" t="inlineStr">
        <is>
          <t>상품개발</t>
        </is>
      </c>
      <c r="F890" s="60" t="n">
        <v>62401000</v>
      </c>
      <c r="G890" s="60" t="inlineStr">
        <is>
          <t>도서인쇄비</t>
        </is>
      </c>
      <c r="H890" s="61" t="n">
        <v>850910</v>
      </c>
      <c r="J890" s="63">
        <f>IF($A890="","",IFERROR(INDEX(부서매핑!$C$5:$C$504,MATCH($D890&amp;"",부서매핑!$A$5:$A$504,0)),"미매핑"))</f>
        <v/>
      </c>
      <c r="K890" s="63">
        <f>IF($A890="","",IFERROR(INDEX(계정매핑!$C$5:$C$504,MATCH($F890&amp;"",계정매핑!$A$5:$A$504,0)),"미매핑"))</f>
        <v/>
      </c>
      <c r="L890" s="4">
        <f>IF($A890="","",VALUE($A890&amp;""))</f>
        <v/>
      </c>
      <c r="M890" s="4">
        <f>IF($A890="","",VALUE($B890&amp;""))</f>
        <v/>
      </c>
      <c r="N890" s="64">
        <f>IF($A890="","",$H890*설정!$C$15)</f>
        <v/>
      </c>
      <c r="O890" s="4">
        <f>IF($A890="","",J890&amp;"|"&amp;K890)</f>
        <v/>
      </c>
      <c r="P890" s="63">
        <f>IF($A890="","",IF(COUNTIFS(예산_원본!$T$5:$T$3004,O890,예산_원본!$B$5:$B$3004,설정!$C$8,예산_원본!$U$5:$U$3004,L890)&gt;0,"Y","N"))</f>
        <v/>
      </c>
      <c r="Q890" s="63">
        <f>IF($A890="","",IF(COUNTIF(집계!$E$7:$E$506,O890)&gt;0,"Y","N"))</f>
        <v/>
      </c>
    </row>
    <row r="891">
      <c r="A891" s="60" t="n">
        <v>2025</v>
      </c>
      <c r="B891" s="60" t="n">
        <v>12</v>
      </c>
      <c r="C891" s="60" t="inlineStr">
        <is>
          <t>1000</t>
        </is>
      </c>
      <c r="D891" s="60" t="n">
        <v>1401</v>
      </c>
      <c r="E891" s="60" t="inlineStr">
        <is>
          <t>상품개발</t>
        </is>
      </c>
      <c r="F891" s="60" t="n">
        <v>62501000</v>
      </c>
      <c r="G891" s="60" t="inlineStr">
        <is>
          <t>회의비</t>
        </is>
      </c>
      <c r="H891" s="61" t="n">
        <v>437590</v>
      </c>
      <c r="J891" s="63">
        <f>IF($A891="","",IFERROR(INDEX(부서매핑!$C$5:$C$504,MATCH($D891&amp;"",부서매핑!$A$5:$A$504,0)),"미매핑"))</f>
        <v/>
      </c>
      <c r="K891" s="63">
        <f>IF($A891="","",IFERROR(INDEX(계정매핑!$C$5:$C$504,MATCH($F891&amp;"",계정매핑!$A$5:$A$504,0)),"미매핑"))</f>
        <v/>
      </c>
      <c r="L891" s="4">
        <f>IF($A891="","",VALUE($A891&amp;""))</f>
        <v/>
      </c>
      <c r="M891" s="4">
        <f>IF($A891="","",VALUE($B891&amp;""))</f>
        <v/>
      </c>
      <c r="N891" s="64">
        <f>IF($A891="","",$H891*설정!$C$15)</f>
        <v/>
      </c>
      <c r="O891" s="4">
        <f>IF($A891="","",J891&amp;"|"&amp;K891)</f>
        <v/>
      </c>
      <c r="P891" s="63">
        <f>IF($A891="","",IF(COUNTIFS(예산_원본!$T$5:$T$3004,O891,예산_원본!$B$5:$B$3004,설정!$C$8,예산_원본!$U$5:$U$3004,L891)&gt;0,"Y","N"))</f>
        <v/>
      </c>
      <c r="Q891" s="63">
        <f>IF($A891="","",IF(COUNTIF(집계!$E$7:$E$506,O891)&gt;0,"Y","N"))</f>
        <v/>
      </c>
    </row>
    <row r="892">
      <c r="A892" s="60" t="n">
        <v>2025</v>
      </c>
      <c r="B892" s="60" t="n">
        <v>12</v>
      </c>
      <c r="C892" s="60" t="inlineStr">
        <is>
          <t>1000</t>
        </is>
      </c>
      <c r="D892" s="60" t="n">
        <v>1401</v>
      </c>
      <c r="E892" s="60" t="inlineStr">
        <is>
          <t>상품개발</t>
        </is>
      </c>
      <c r="F892" s="60" t="n">
        <v>62901000</v>
      </c>
      <c r="G892" s="60" t="inlineStr">
        <is>
          <t>지급수수료-컨설팅</t>
        </is>
      </c>
      <c r="H892" s="61" t="n">
        <v>19865170</v>
      </c>
      <c r="J892" s="63">
        <f>IF($A892="","",IFERROR(INDEX(부서매핑!$C$5:$C$504,MATCH($D892&amp;"",부서매핑!$A$5:$A$504,0)),"미매핑"))</f>
        <v/>
      </c>
      <c r="K892" s="63">
        <f>IF($A892="","",IFERROR(INDEX(계정매핑!$C$5:$C$504,MATCH($F892&amp;"",계정매핑!$A$5:$A$504,0)),"미매핑"))</f>
        <v/>
      </c>
      <c r="L892" s="4">
        <f>IF($A892="","",VALUE($A892&amp;""))</f>
        <v/>
      </c>
      <c r="M892" s="4">
        <f>IF($A892="","",VALUE($B892&amp;""))</f>
        <v/>
      </c>
      <c r="N892" s="64">
        <f>IF($A892="","",$H892*설정!$C$15)</f>
        <v/>
      </c>
      <c r="O892" s="4">
        <f>IF($A892="","",J892&amp;"|"&amp;K892)</f>
        <v/>
      </c>
      <c r="P892" s="63">
        <f>IF($A892="","",IF(COUNTIFS(예산_원본!$T$5:$T$3004,O892,예산_원본!$B$5:$B$3004,설정!$C$8,예산_원본!$U$5:$U$3004,L892)&gt;0,"Y","N"))</f>
        <v/>
      </c>
      <c r="Q892" s="63">
        <f>IF($A892="","",IF(COUNTIF(집계!$E$7:$E$506,O892)&gt;0,"Y","N"))</f>
        <v/>
      </c>
    </row>
    <row r="893">
      <c r="A893" s="60" t="n">
        <v>2025</v>
      </c>
      <c r="B893" s="60" t="n">
        <v>12</v>
      </c>
      <c r="C893" s="60" t="inlineStr">
        <is>
          <t>1000</t>
        </is>
      </c>
      <c r="D893" s="60" t="n">
        <v>1401</v>
      </c>
      <c r="E893" s="60" t="inlineStr">
        <is>
          <t>상품개발</t>
        </is>
      </c>
      <c r="F893" s="60" t="n">
        <v>62902000</v>
      </c>
      <c r="G893" s="60" t="inlineStr">
        <is>
          <t>지급수수료-기타</t>
        </is>
      </c>
      <c r="H893" s="61" t="n">
        <v>9710370</v>
      </c>
      <c r="J893" s="63">
        <f>IF($A893="","",IFERROR(INDEX(부서매핑!$C$5:$C$504,MATCH($D893&amp;"",부서매핑!$A$5:$A$504,0)),"미매핑"))</f>
        <v/>
      </c>
      <c r="K893" s="63">
        <f>IF($A893="","",IFERROR(INDEX(계정매핑!$C$5:$C$504,MATCH($F893&amp;"",계정매핑!$A$5:$A$504,0)),"미매핑"))</f>
        <v/>
      </c>
      <c r="L893" s="4">
        <f>IF($A893="","",VALUE($A893&amp;""))</f>
        <v/>
      </c>
      <c r="M893" s="4">
        <f>IF($A893="","",VALUE($B893&amp;""))</f>
        <v/>
      </c>
      <c r="N893" s="64">
        <f>IF($A893="","",$H893*설정!$C$15)</f>
        <v/>
      </c>
      <c r="O893" s="4">
        <f>IF($A893="","",J893&amp;"|"&amp;K893)</f>
        <v/>
      </c>
      <c r="P893" s="63">
        <f>IF($A893="","",IF(COUNTIFS(예산_원본!$T$5:$T$3004,O893,예산_원본!$B$5:$B$3004,설정!$C$8,예산_원본!$U$5:$U$3004,L893)&gt;0,"Y","N"))</f>
        <v/>
      </c>
      <c r="Q893" s="63">
        <f>IF($A893="","",IF(COUNTIF(집계!$E$7:$E$506,O893)&gt;0,"Y","N"))</f>
        <v/>
      </c>
    </row>
    <row r="894">
      <c r="A894" s="60" t="n">
        <v>2025</v>
      </c>
      <c r="B894" s="60" t="n">
        <v>12</v>
      </c>
      <c r="C894" s="60" t="inlineStr">
        <is>
          <t>1000</t>
        </is>
      </c>
      <c r="D894" s="60" t="n">
        <v>1501</v>
      </c>
      <c r="E894" s="60" t="inlineStr">
        <is>
          <t>마케팅전략</t>
        </is>
      </c>
      <c r="F894" s="60" t="n">
        <v>62101000</v>
      </c>
      <c r="G894" s="60" t="inlineStr">
        <is>
          <t>여비교통비-국내</t>
        </is>
      </c>
      <c r="H894" s="61" t="n">
        <v>1422890</v>
      </c>
      <c r="J894" s="63">
        <f>IF($A894="","",IFERROR(INDEX(부서매핑!$C$5:$C$504,MATCH($D894&amp;"",부서매핑!$A$5:$A$504,0)),"미매핑"))</f>
        <v/>
      </c>
      <c r="K894" s="63">
        <f>IF($A894="","",IFERROR(INDEX(계정매핑!$C$5:$C$504,MATCH($F894&amp;"",계정매핑!$A$5:$A$504,0)),"미매핑"))</f>
        <v/>
      </c>
      <c r="L894" s="4">
        <f>IF($A894="","",VALUE($A894&amp;""))</f>
        <v/>
      </c>
      <c r="M894" s="4">
        <f>IF($A894="","",VALUE($B894&amp;""))</f>
        <v/>
      </c>
      <c r="N894" s="64">
        <f>IF($A894="","",$H894*설정!$C$15)</f>
        <v/>
      </c>
      <c r="O894" s="4">
        <f>IF($A894="","",J894&amp;"|"&amp;K894)</f>
        <v/>
      </c>
      <c r="P894" s="63">
        <f>IF($A894="","",IF(COUNTIFS(예산_원본!$T$5:$T$3004,O894,예산_원본!$B$5:$B$3004,설정!$C$8,예산_원본!$U$5:$U$3004,L894)&gt;0,"Y","N"))</f>
        <v/>
      </c>
      <c r="Q894" s="63">
        <f>IF($A894="","",IF(COUNTIF(집계!$E$7:$E$506,O894)&gt;0,"Y","N"))</f>
        <v/>
      </c>
    </row>
    <row r="895">
      <c r="A895" s="60" t="n">
        <v>2025</v>
      </c>
      <c r="B895" s="60" t="n">
        <v>12</v>
      </c>
      <c r="C895" s="60" t="inlineStr">
        <is>
          <t>1000</t>
        </is>
      </c>
      <c r="D895" s="60" t="n">
        <v>1501</v>
      </c>
      <c r="E895" s="60" t="inlineStr">
        <is>
          <t>마케팅전략</t>
        </is>
      </c>
      <c r="F895" s="60" t="n">
        <v>62102000</v>
      </c>
      <c r="G895" s="60" t="inlineStr">
        <is>
          <t>여비교통비-해외</t>
        </is>
      </c>
      <c r="H895" s="61" t="n">
        <v>220440</v>
      </c>
      <c r="J895" s="63">
        <f>IF($A895="","",IFERROR(INDEX(부서매핑!$C$5:$C$504,MATCH($D895&amp;"",부서매핑!$A$5:$A$504,0)),"미매핑"))</f>
        <v/>
      </c>
      <c r="K895" s="63">
        <f>IF($A895="","",IFERROR(INDEX(계정매핑!$C$5:$C$504,MATCH($F895&amp;"",계정매핑!$A$5:$A$504,0)),"미매핑"))</f>
        <v/>
      </c>
      <c r="L895" s="4">
        <f>IF($A895="","",VALUE($A895&amp;""))</f>
        <v/>
      </c>
      <c r="M895" s="4">
        <f>IF($A895="","",VALUE($B895&amp;""))</f>
        <v/>
      </c>
      <c r="N895" s="64">
        <f>IF($A895="","",$H895*설정!$C$15)</f>
        <v/>
      </c>
      <c r="O895" s="4">
        <f>IF($A895="","",J895&amp;"|"&amp;K895)</f>
        <v/>
      </c>
      <c r="P895" s="63">
        <f>IF($A895="","",IF(COUNTIFS(예산_원본!$T$5:$T$3004,O895,예산_원본!$B$5:$B$3004,설정!$C$8,예산_원본!$U$5:$U$3004,L895)&gt;0,"Y","N"))</f>
        <v/>
      </c>
      <c r="Q895" s="63">
        <f>IF($A895="","",IF(COUNTIF(집계!$E$7:$E$506,O895)&gt;0,"Y","N"))</f>
        <v/>
      </c>
    </row>
    <row r="896">
      <c r="A896" s="60" t="n">
        <v>2025</v>
      </c>
      <c r="B896" s="60" t="n">
        <v>12</v>
      </c>
      <c r="C896" s="60" t="inlineStr">
        <is>
          <t>1000</t>
        </is>
      </c>
      <c r="D896" s="60" t="n">
        <v>1501</v>
      </c>
      <c r="E896" s="60" t="inlineStr">
        <is>
          <t>마케팅전략</t>
        </is>
      </c>
      <c r="F896" s="60" t="n">
        <v>62201000</v>
      </c>
      <c r="G896" s="60" t="inlineStr">
        <is>
          <t>통신비</t>
        </is>
      </c>
      <c r="H896" s="61" t="n">
        <v>472910</v>
      </c>
      <c r="J896" s="63">
        <f>IF($A896="","",IFERROR(INDEX(부서매핑!$C$5:$C$504,MATCH($D896&amp;"",부서매핑!$A$5:$A$504,0)),"미매핑"))</f>
        <v/>
      </c>
      <c r="K896" s="63">
        <f>IF($A896="","",IFERROR(INDEX(계정매핑!$C$5:$C$504,MATCH($F896&amp;"",계정매핑!$A$5:$A$504,0)),"미매핑"))</f>
        <v/>
      </c>
      <c r="L896" s="4">
        <f>IF($A896="","",VALUE($A896&amp;""))</f>
        <v/>
      </c>
      <c r="M896" s="4">
        <f>IF($A896="","",VALUE($B896&amp;""))</f>
        <v/>
      </c>
      <c r="N896" s="64">
        <f>IF($A896="","",$H896*설정!$C$15)</f>
        <v/>
      </c>
      <c r="O896" s="4">
        <f>IF($A896="","",J896&amp;"|"&amp;K896)</f>
        <v/>
      </c>
      <c r="P896" s="63">
        <f>IF($A896="","",IF(COUNTIFS(예산_원본!$T$5:$T$3004,O896,예산_원본!$B$5:$B$3004,설정!$C$8,예산_원본!$U$5:$U$3004,L896)&gt;0,"Y","N"))</f>
        <v/>
      </c>
      <c r="Q896" s="63">
        <f>IF($A896="","",IF(COUNTIF(집계!$E$7:$E$506,O896)&gt;0,"Y","N"))</f>
        <v/>
      </c>
    </row>
    <row r="897">
      <c r="A897" s="60" t="n">
        <v>2025</v>
      </c>
      <c r="B897" s="60" t="n">
        <v>12</v>
      </c>
      <c r="C897" s="60" t="inlineStr">
        <is>
          <t>1000</t>
        </is>
      </c>
      <c r="D897" s="60" t="n">
        <v>1501</v>
      </c>
      <c r="E897" s="60" t="inlineStr">
        <is>
          <t>마케팅전략</t>
        </is>
      </c>
      <c r="F897" s="60" t="n">
        <v>62301000</v>
      </c>
      <c r="G897" s="60" t="inlineStr">
        <is>
          <t>소모품비</t>
        </is>
      </c>
      <c r="H897" s="61" t="n">
        <v>452500</v>
      </c>
      <c r="J897" s="63">
        <f>IF($A897="","",IFERROR(INDEX(부서매핑!$C$5:$C$504,MATCH($D897&amp;"",부서매핑!$A$5:$A$504,0)),"미매핑"))</f>
        <v/>
      </c>
      <c r="K897" s="63">
        <f>IF($A897="","",IFERROR(INDEX(계정매핑!$C$5:$C$504,MATCH($F897&amp;"",계정매핑!$A$5:$A$504,0)),"미매핑"))</f>
        <v/>
      </c>
      <c r="L897" s="4">
        <f>IF($A897="","",VALUE($A897&amp;""))</f>
        <v/>
      </c>
      <c r="M897" s="4">
        <f>IF($A897="","",VALUE($B897&amp;""))</f>
        <v/>
      </c>
      <c r="N897" s="64">
        <f>IF($A897="","",$H897*설정!$C$15)</f>
        <v/>
      </c>
      <c r="O897" s="4">
        <f>IF($A897="","",J897&amp;"|"&amp;K897)</f>
        <v/>
      </c>
      <c r="P897" s="63">
        <f>IF($A897="","",IF(COUNTIFS(예산_원본!$T$5:$T$3004,O897,예산_원본!$B$5:$B$3004,설정!$C$8,예산_원본!$U$5:$U$3004,L897)&gt;0,"Y","N"))</f>
        <v/>
      </c>
      <c r="Q897" s="63">
        <f>IF($A897="","",IF(COUNTIF(집계!$E$7:$E$506,O897)&gt;0,"Y","N"))</f>
        <v/>
      </c>
    </row>
    <row r="898">
      <c r="A898" s="60" t="n">
        <v>2025</v>
      </c>
      <c r="B898" s="60" t="n">
        <v>12</v>
      </c>
      <c r="C898" s="60" t="inlineStr">
        <is>
          <t>1000</t>
        </is>
      </c>
      <c r="D898" s="60" t="n">
        <v>1501</v>
      </c>
      <c r="E898" s="60" t="inlineStr">
        <is>
          <t>마케팅전략</t>
        </is>
      </c>
      <c r="F898" s="60" t="n">
        <v>62401000</v>
      </c>
      <c r="G898" s="60" t="inlineStr">
        <is>
          <t>도서인쇄비</t>
        </is>
      </c>
      <c r="H898" s="61" t="n">
        <v>3561400</v>
      </c>
      <c r="J898" s="63">
        <f>IF($A898="","",IFERROR(INDEX(부서매핑!$C$5:$C$504,MATCH($D898&amp;"",부서매핑!$A$5:$A$504,0)),"미매핑"))</f>
        <v/>
      </c>
      <c r="K898" s="63">
        <f>IF($A898="","",IFERROR(INDEX(계정매핑!$C$5:$C$504,MATCH($F898&amp;"",계정매핑!$A$5:$A$504,0)),"미매핑"))</f>
        <v/>
      </c>
      <c r="L898" s="4">
        <f>IF($A898="","",VALUE($A898&amp;""))</f>
        <v/>
      </c>
      <c r="M898" s="4">
        <f>IF($A898="","",VALUE($B898&amp;""))</f>
        <v/>
      </c>
      <c r="N898" s="64">
        <f>IF($A898="","",$H898*설정!$C$15)</f>
        <v/>
      </c>
      <c r="O898" s="4">
        <f>IF($A898="","",J898&amp;"|"&amp;K898)</f>
        <v/>
      </c>
      <c r="P898" s="63">
        <f>IF($A898="","",IF(COUNTIFS(예산_원본!$T$5:$T$3004,O898,예산_원본!$B$5:$B$3004,설정!$C$8,예산_원본!$U$5:$U$3004,L898)&gt;0,"Y","N"))</f>
        <v/>
      </c>
      <c r="Q898" s="63">
        <f>IF($A898="","",IF(COUNTIF(집계!$E$7:$E$506,O898)&gt;0,"Y","N"))</f>
        <v/>
      </c>
    </row>
    <row r="899">
      <c r="A899" s="60" t="n">
        <v>2025</v>
      </c>
      <c r="B899" s="60" t="n">
        <v>12</v>
      </c>
      <c r="C899" s="60" t="inlineStr">
        <is>
          <t>1000</t>
        </is>
      </c>
      <c r="D899" s="60" t="n">
        <v>1501</v>
      </c>
      <c r="E899" s="60" t="inlineStr">
        <is>
          <t>마케팅전략</t>
        </is>
      </c>
      <c r="F899" s="60" t="n">
        <v>62501000</v>
      </c>
      <c r="G899" s="60" t="inlineStr">
        <is>
          <t>회의비</t>
        </is>
      </c>
      <c r="H899" s="61" t="n">
        <v>676480</v>
      </c>
      <c r="J899" s="63">
        <f>IF($A899="","",IFERROR(INDEX(부서매핑!$C$5:$C$504,MATCH($D899&amp;"",부서매핑!$A$5:$A$504,0)),"미매핑"))</f>
        <v/>
      </c>
      <c r="K899" s="63">
        <f>IF($A899="","",IFERROR(INDEX(계정매핑!$C$5:$C$504,MATCH($F899&amp;"",계정매핑!$A$5:$A$504,0)),"미매핑"))</f>
        <v/>
      </c>
      <c r="L899" s="4">
        <f>IF($A899="","",VALUE($A899&amp;""))</f>
        <v/>
      </c>
      <c r="M899" s="4">
        <f>IF($A899="","",VALUE($B899&amp;""))</f>
        <v/>
      </c>
      <c r="N899" s="64">
        <f>IF($A899="","",$H899*설정!$C$15)</f>
        <v/>
      </c>
      <c r="O899" s="4">
        <f>IF($A899="","",J899&amp;"|"&amp;K899)</f>
        <v/>
      </c>
      <c r="P899" s="63">
        <f>IF($A899="","",IF(COUNTIFS(예산_원본!$T$5:$T$3004,O899,예산_원본!$B$5:$B$3004,설정!$C$8,예산_원본!$U$5:$U$3004,L899)&gt;0,"Y","N"))</f>
        <v/>
      </c>
      <c r="Q899" s="63">
        <f>IF($A899="","",IF(COUNTIF(집계!$E$7:$E$506,O899)&gt;0,"Y","N"))</f>
        <v/>
      </c>
    </row>
    <row r="900">
      <c r="A900" s="60" t="n">
        <v>2025</v>
      </c>
      <c r="B900" s="60" t="n">
        <v>12</v>
      </c>
      <c r="C900" s="60" t="inlineStr">
        <is>
          <t>1000</t>
        </is>
      </c>
      <c r="D900" s="60" t="n">
        <v>1501</v>
      </c>
      <c r="E900" s="60" t="inlineStr">
        <is>
          <t>마케팅전략</t>
        </is>
      </c>
      <c r="F900" s="60" t="n">
        <v>62601000</v>
      </c>
      <c r="G900" s="60" t="inlineStr">
        <is>
          <t>업무추진비</t>
        </is>
      </c>
      <c r="H900" s="61" t="n">
        <v>1344940</v>
      </c>
      <c r="J900" s="63">
        <f>IF($A900="","",IFERROR(INDEX(부서매핑!$C$5:$C$504,MATCH($D900&amp;"",부서매핑!$A$5:$A$504,0)),"미매핑"))</f>
        <v/>
      </c>
      <c r="K900" s="63">
        <f>IF($A900="","",IFERROR(INDEX(계정매핑!$C$5:$C$504,MATCH($F900&amp;"",계정매핑!$A$5:$A$504,0)),"미매핑"))</f>
        <v/>
      </c>
      <c r="L900" s="4">
        <f>IF($A900="","",VALUE($A900&amp;""))</f>
        <v/>
      </c>
      <c r="M900" s="4">
        <f>IF($A900="","",VALUE($B900&amp;""))</f>
        <v/>
      </c>
      <c r="N900" s="64">
        <f>IF($A900="","",$H900*설정!$C$15)</f>
        <v/>
      </c>
      <c r="O900" s="4">
        <f>IF($A900="","",J900&amp;"|"&amp;K900)</f>
        <v/>
      </c>
      <c r="P900" s="63">
        <f>IF($A900="","",IF(COUNTIFS(예산_원본!$T$5:$T$3004,O900,예산_원본!$B$5:$B$3004,설정!$C$8,예산_원본!$U$5:$U$3004,L900)&gt;0,"Y","N"))</f>
        <v/>
      </c>
      <c r="Q900" s="63">
        <f>IF($A900="","",IF(COUNTIF(집계!$E$7:$E$506,O900)&gt;0,"Y","N"))</f>
        <v/>
      </c>
    </row>
    <row r="901">
      <c r="A901" s="60" t="n">
        <v>2025</v>
      </c>
      <c r="B901" s="60" t="n">
        <v>12</v>
      </c>
      <c r="C901" s="60" t="inlineStr">
        <is>
          <t>1000</t>
        </is>
      </c>
      <c r="D901" s="60" t="n">
        <v>1501</v>
      </c>
      <c r="E901" s="60" t="inlineStr">
        <is>
          <t>마케팅전략</t>
        </is>
      </c>
      <c r="F901" s="60" t="n">
        <v>62701000</v>
      </c>
      <c r="G901" s="60" t="inlineStr">
        <is>
          <t>광고선전비</t>
        </is>
      </c>
      <c r="H901" s="61" t="n">
        <v>75323480</v>
      </c>
      <c r="J901" s="63">
        <f>IF($A901="","",IFERROR(INDEX(부서매핑!$C$5:$C$504,MATCH($D901&amp;"",부서매핑!$A$5:$A$504,0)),"미매핑"))</f>
        <v/>
      </c>
      <c r="K901" s="63">
        <f>IF($A901="","",IFERROR(INDEX(계정매핑!$C$5:$C$504,MATCH($F901&amp;"",계정매핑!$A$5:$A$504,0)),"미매핑"))</f>
        <v/>
      </c>
      <c r="L901" s="4">
        <f>IF($A901="","",VALUE($A901&amp;""))</f>
        <v/>
      </c>
      <c r="M901" s="4">
        <f>IF($A901="","",VALUE($B901&amp;""))</f>
        <v/>
      </c>
      <c r="N901" s="64">
        <f>IF($A901="","",$H901*설정!$C$15)</f>
        <v/>
      </c>
      <c r="O901" s="4">
        <f>IF($A901="","",J901&amp;"|"&amp;K901)</f>
        <v/>
      </c>
      <c r="P901" s="63">
        <f>IF($A901="","",IF(COUNTIFS(예산_원본!$T$5:$T$3004,O901,예산_원본!$B$5:$B$3004,설정!$C$8,예산_원본!$U$5:$U$3004,L901)&gt;0,"Y","N"))</f>
        <v/>
      </c>
      <c r="Q901" s="63">
        <f>IF($A901="","",IF(COUNTIF(집계!$E$7:$E$506,O901)&gt;0,"Y","N"))</f>
        <v/>
      </c>
    </row>
    <row r="902">
      <c r="A902" s="60" t="n">
        <v>2025</v>
      </c>
      <c r="B902" s="60" t="n">
        <v>12</v>
      </c>
      <c r="C902" s="60" t="inlineStr">
        <is>
          <t>1000</t>
        </is>
      </c>
      <c r="D902" s="60" t="n">
        <v>1502</v>
      </c>
      <c r="E902" s="60" t="inlineStr">
        <is>
          <t>디지털마케팅</t>
        </is>
      </c>
      <c r="F902" s="60" t="n">
        <v>62101000</v>
      </c>
      <c r="G902" s="60" t="inlineStr">
        <is>
          <t>여비교통비-국내</t>
        </is>
      </c>
      <c r="H902" s="61" t="n">
        <v>802640</v>
      </c>
      <c r="J902" s="63">
        <f>IF($A902="","",IFERROR(INDEX(부서매핑!$C$5:$C$504,MATCH($D902&amp;"",부서매핑!$A$5:$A$504,0)),"미매핑"))</f>
        <v/>
      </c>
      <c r="K902" s="63">
        <f>IF($A902="","",IFERROR(INDEX(계정매핑!$C$5:$C$504,MATCH($F902&amp;"",계정매핑!$A$5:$A$504,0)),"미매핑"))</f>
        <v/>
      </c>
      <c r="L902" s="4">
        <f>IF($A902="","",VALUE($A902&amp;""))</f>
        <v/>
      </c>
      <c r="M902" s="4">
        <f>IF($A902="","",VALUE($B902&amp;""))</f>
        <v/>
      </c>
      <c r="N902" s="64">
        <f>IF($A902="","",$H902*설정!$C$15)</f>
        <v/>
      </c>
      <c r="O902" s="4">
        <f>IF($A902="","",J902&amp;"|"&amp;K902)</f>
        <v/>
      </c>
      <c r="P902" s="63">
        <f>IF($A902="","",IF(COUNTIFS(예산_원본!$T$5:$T$3004,O902,예산_원본!$B$5:$B$3004,설정!$C$8,예산_원본!$U$5:$U$3004,L902)&gt;0,"Y","N"))</f>
        <v/>
      </c>
      <c r="Q902" s="63">
        <f>IF($A902="","",IF(COUNTIF(집계!$E$7:$E$506,O902)&gt;0,"Y","N"))</f>
        <v/>
      </c>
    </row>
    <row r="903">
      <c r="A903" s="60" t="n">
        <v>2025</v>
      </c>
      <c r="B903" s="60" t="n">
        <v>12</v>
      </c>
      <c r="C903" s="60" t="inlineStr">
        <is>
          <t>1000</t>
        </is>
      </c>
      <c r="D903" s="60" t="n">
        <v>1502</v>
      </c>
      <c r="E903" s="60" t="inlineStr">
        <is>
          <t>디지털마케팅</t>
        </is>
      </c>
      <c r="F903" s="60" t="n">
        <v>62102000</v>
      </c>
      <c r="G903" s="60" t="inlineStr">
        <is>
          <t>여비교통비-해외</t>
        </is>
      </c>
      <c r="H903" s="61" t="n">
        <v>147960</v>
      </c>
      <c r="J903" s="63">
        <f>IF($A903="","",IFERROR(INDEX(부서매핑!$C$5:$C$504,MATCH($D903&amp;"",부서매핑!$A$5:$A$504,0)),"미매핑"))</f>
        <v/>
      </c>
      <c r="K903" s="63">
        <f>IF($A903="","",IFERROR(INDEX(계정매핑!$C$5:$C$504,MATCH($F903&amp;"",계정매핑!$A$5:$A$504,0)),"미매핑"))</f>
        <v/>
      </c>
      <c r="L903" s="4">
        <f>IF($A903="","",VALUE($A903&amp;""))</f>
        <v/>
      </c>
      <c r="M903" s="4">
        <f>IF($A903="","",VALUE($B903&amp;""))</f>
        <v/>
      </c>
      <c r="N903" s="64">
        <f>IF($A903="","",$H903*설정!$C$15)</f>
        <v/>
      </c>
      <c r="O903" s="4">
        <f>IF($A903="","",J903&amp;"|"&amp;K903)</f>
        <v/>
      </c>
      <c r="P903" s="63">
        <f>IF($A903="","",IF(COUNTIFS(예산_원본!$T$5:$T$3004,O903,예산_원본!$B$5:$B$3004,설정!$C$8,예산_원본!$U$5:$U$3004,L903)&gt;0,"Y","N"))</f>
        <v/>
      </c>
      <c r="Q903" s="63">
        <f>IF($A903="","",IF(COUNTIF(집계!$E$7:$E$506,O903)&gt;0,"Y","N"))</f>
        <v/>
      </c>
    </row>
    <row r="904">
      <c r="A904" s="60" t="n">
        <v>2025</v>
      </c>
      <c r="B904" s="60" t="n">
        <v>12</v>
      </c>
      <c r="C904" s="60" t="inlineStr">
        <is>
          <t>1000</t>
        </is>
      </c>
      <c r="D904" s="60" t="n">
        <v>1502</v>
      </c>
      <c r="E904" s="60" t="inlineStr">
        <is>
          <t>디지털마케팅</t>
        </is>
      </c>
      <c r="F904" s="60" t="n">
        <v>62201000</v>
      </c>
      <c r="G904" s="60" t="inlineStr">
        <is>
          <t>통신비</t>
        </is>
      </c>
      <c r="H904" s="61" t="n">
        <v>327460</v>
      </c>
      <c r="J904" s="63">
        <f>IF($A904="","",IFERROR(INDEX(부서매핑!$C$5:$C$504,MATCH($D904&amp;"",부서매핑!$A$5:$A$504,0)),"미매핑"))</f>
        <v/>
      </c>
      <c r="K904" s="63">
        <f>IF($A904="","",IFERROR(INDEX(계정매핑!$C$5:$C$504,MATCH($F904&amp;"",계정매핑!$A$5:$A$504,0)),"미매핑"))</f>
        <v/>
      </c>
      <c r="L904" s="4">
        <f>IF($A904="","",VALUE($A904&amp;""))</f>
        <v/>
      </c>
      <c r="M904" s="4">
        <f>IF($A904="","",VALUE($B904&amp;""))</f>
        <v/>
      </c>
      <c r="N904" s="64">
        <f>IF($A904="","",$H904*설정!$C$15)</f>
        <v/>
      </c>
      <c r="O904" s="4">
        <f>IF($A904="","",J904&amp;"|"&amp;K904)</f>
        <v/>
      </c>
      <c r="P904" s="63">
        <f>IF($A904="","",IF(COUNTIFS(예산_원본!$T$5:$T$3004,O904,예산_원본!$B$5:$B$3004,설정!$C$8,예산_원본!$U$5:$U$3004,L904)&gt;0,"Y","N"))</f>
        <v/>
      </c>
      <c r="Q904" s="63">
        <f>IF($A904="","",IF(COUNTIF(집계!$E$7:$E$506,O904)&gt;0,"Y","N"))</f>
        <v/>
      </c>
    </row>
    <row r="905">
      <c r="A905" s="60" t="n">
        <v>2025</v>
      </c>
      <c r="B905" s="60" t="n">
        <v>12</v>
      </c>
      <c r="C905" s="60" t="inlineStr">
        <is>
          <t>1000</t>
        </is>
      </c>
      <c r="D905" s="60" t="n">
        <v>1502</v>
      </c>
      <c r="E905" s="60" t="inlineStr">
        <is>
          <t>디지털마케팅</t>
        </is>
      </c>
      <c r="F905" s="60" t="n">
        <v>62301000</v>
      </c>
      <c r="G905" s="60" t="inlineStr">
        <is>
          <t>소모품비</t>
        </is>
      </c>
      <c r="H905" s="61" t="n">
        <v>324500</v>
      </c>
      <c r="J905" s="63">
        <f>IF($A905="","",IFERROR(INDEX(부서매핑!$C$5:$C$504,MATCH($D905&amp;"",부서매핑!$A$5:$A$504,0)),"미매핑"))</f>
        <v/>
      </c>
      <c r="K905" s="63">
        <f>IF($A905="","",IFERROR(INDEX(계정매핑!$C$5:$C$504,MATCH($F905&amp;"",계정매핑!$A$5:$A$504,0)),"미매핑"))</f>
        <v/>
      </c>
      <c r="L905" s="4">
        <f>IF($A905="","",VALUE($A905&amp;""))</f>
        <v/>
      </c>
      <c r="M905" s="4">
        <f>IF($A905="","",VALUE($B905&amp;""))</f>
        <v/>
      </c>
      <c r="N905" s="64">
        <f>IF($A905="","",$H905*설정!$C$15)</f>
        <v/>
      </c>
      <c r="O905" s="4">
        <f>IF($A905="","",J905&amp;"|"&amp;K905)</f>
        <v/>
      </c>
      <c r="P905" s="63">
        <f>IF($A905="","",IF(COUNTIFS(예산_원본!$T$5:$T$3004,O905,예산_원본!$B$5:$B$3004,설정!$C$8,예산_원본!$U$5:$U$3004,L905)&gt;0,"Y","N"))</f>
        <v/>
      </c>
      <c r="Q905" s="63">
        <f>IF($A905="","",IF(COUNTIF(집계!$E$7:$E$506,O905)&gt;0,"Y","N"))</f>
        <v/>
      </c>
    </row>
    <row r="906">
      <c r="A906" s="60" t="n">
        <v>2025</v>
      </c>
      <c r="B906" s="60" t="n">
        <v>12</v>
      </c>
      <c r="C906" s="60" t="inlineStr">
        <is>
          <t>1000</t>
        </is>
      </c>
      <c r="D906" s="60" t="n">
        <v>1502</v>
      </c>
      <c r="E906" s="60" t="inlineStr">
        <is>
          <t>디지털마케팅</t>
        </is>
      </c>
      <c r="F906" s="60" t="n">
        <v>62401000</v>
      </c>
      <c r="G906" s="60" t="inlineStr">
        <is>
          <t>도서인쇄비</t>
        </is>
      </c>
      <c r="H906" s="61" t="n">
        <v>2372420</v>
      </c>
      <c r="J906" s="63">
        <f>IF($A906="","",IFERROR(INDEX(부서매핑!$C$5:$C$504,MATCH($D906&amp;"",부서매핑!$A$5:$A$504,0)),"미매핑"))</f>
        <v/>
      </c>
      <c r="K906" s="63">
        <f>IF($A906="","",IFERROR(INDEX(계정매핑!$C$5:$C$504,MATCH($F906&amp;"",계정매핑!$A$5:$A$504,0)),"미매핑"))</f>
        <v/>
      </c>
      <c r="L906" s="4">
        <f>IF($A906="","",VALUE($A906&amp;""))</f>
        <v/>
      </c>
      <c r="M906" s="4">
        <f>IF($A906="","",VALUE($B906&amp;""))</f>
        <v/>
      </c>
      <c r="N906" s="64">
        <f>IF($A906="","",$H906*설정!$C$15)</f>
        <v/>
      </c>
      <c r="O906" s="4">
        <f>IF($A906="","",J906&amp;"|"&amp;K906)</f>
        <v/>
      </c>
      <c r="P906" s="63">
        <f>IF($A906="","",IF(COUNTIFS(예산_원본!$T$5:$T$3004,O906,예산_원본!$B$5:$B$3004,설정!$C$8,예산_원본!$U$5:$U$3004,L906)&gt;0,"Y","N"))</f>
        <v/>
      </c>
      <c r="Q906" s="63">
        <f>IF($A906="","",IF(COUNTIF(집계!$E$7:$E$506,O906)&gt;0,"Y","N"))</f>
        <v/>
      </c>
    </row>
    <row r="907">
      <c r="A907" s="60" t="n">
        <v>2025</v>
      </c>
      <c r="B907" s="60" t="n">
        <v>12</v>
      </c>
      <c r="C907" s="60" t="inlineStr">
        <is>
          <t>1000</t>
        </is>
      </c>
      <c r="D907" s="60" t="n">
        <v>1502</v>
      </c>
      <c r="E907" s="60" t="inlineStr">
        <is>
          <t>디지털마케팅</t>
        </is>
      </c>
      <c r="F907" s="60" t="n">
        <v>62501000</v>
      </c>
      <c r="G907" s="60" t="inlineStr">
        <is>
          <t>회의비</t>
        </is>
      </c>
      <c r="H907" s="61" t="n">
        <v>461030</v>
      </c>
      <c r="J907" s="63">
        <f>IF($A907="","",IFERROR(INDEX(부서매핑!$C$5:$C$504,MATCH($D907&amp;"",부서매핑!$A$5:$A$504,0)),"미매핑"))</f>
        <v/>
      </c>
      <c r="K907" s="63">
        <f>IF($A907="","",IFERROR(INDEX(계정매핑!$C$5:$C$504,MATCH($F907&amp;"",계정매핑!$A$5:$A$504,0)),"미매핑"))</f>
        <v/>
      </c>
      <c r="L907" s="4">
        <f>IF($A907="","",VALUE($A907&amp;""))</f>
        <v/>
      </c>
      <c r="M907" s="4">
        <f>IF($A907="","",VALUE($B907&amp;""))</f>
        <v/>
      </c>
      <c r="N907" s="64">
        <f>IF($A907="","",$H907*설정!$C$15)</f>
        <v/>
      </c>
      <c r="O907" s="4">
        <f>IF($A907="","",J907&amp;"|"&amp;K907)</f>
        <v/>
      </c>
      <c r="P907" s="63">
        <f>IF($A907="","",IF(COUNTIFS(예산_원본!$T$5:$T$3004,O907,예산_원본!$B$5:$B$3004,설정!$C$8,예산_원본!$U$5:$U$3004,L907)&gt;0,"Y","N"))</f>
        <v/>
      </c>
      <c r="Q907" s="63">
        <f>IF($A907="","",IF(COUNTIF(집계!$E$7:$E$506,O907)&gt;0,"Y","N"))</f>
        <v/>
      </c>
    </row>
    <row r="908">
      <c r="A908" s="60" t="n">
        <v>2025</v>
      </c>
      <c r="B908" s="60" t="n">
        <v>12</v>
      </c>
      <c r="C908" s="60" t="inlineStr">
        <is>
          <t>1000</t>
        </is>
      </c>
      <c r="D908" s="60" t="n">
        <v>1502</v>
      </c>
      <c r="E908" s="60" t="inlineStr">
        <is>
          <t>디지털마케팅</t>
        </is>
      </c>
      <c r="F908" s="60" t="n">
        <v>62601000</v>
      </c>
      <c r="G908" s="60" t="inlineStr">
        <is>
          <t>업무추진비</t>
        </is>
      </c>
      <c r="H908" s="61" t="n">
        <v>803180</v>
      </c>
      <c r="J908" s="63">
        <f>IF($A908="","",IFERROR(INDEX(부서매핑!$C$5:$C$504,MATCH($D908&amp;"",부서매핑!$A$5:$A$504,0)),"미매핑"))</f>
        <v/>
      </c>
      <c r="K908" s="63">
        <f>IF($A908="","",IFERROR(INDEX(계정매핑!$C$5:$C$504,MATCH($F908&amp;"",계정매핑!$A$5:$A$504,0)),"미매핑"))</f>
        <v/>
      </c>
      <c r="L908" s="4">
        <f>IF($A908="","",VALUE($A908&amp;""))</f>
        <v/>
      </c>
      <c r="M908" s="4">
        <f>IF($A908="","",VALUE($B908&amp;""))</f>
        <v/>
      </c>
      <c r="N908" s="64">
        <f>IF($A908="","",$H908*설정!$C$15)</f>
        <v/>
      </c>
      <c r="O908" s="4">
        <f>IF($A908="","",J908&amp;"|"&amp;K908)</f>
        <v/>
      </c>
      <c r="P908" s="63">
        <f>IF($A908="","",IF(COUNTIFS(예산_원본!$T$5:$T$3004,O908,예산_원본!$B$5:$B$3004,설정!$C$8,예산_원본!$U$5:$U$3004,L908)&gt;0,"Y","N"))</f>
        <v/>
      </c>
      <c r="Q908" s="63">
        <f>IF($A908="","",IF(COUNTIF(집계!$E$7:$E$506,O908)&gt;0,"Y","N"))</f>
        <v/>
      </c>
    </row>
    <row r="909">
      <c r="A909" s="60" t="n">
        <v>2025</v>
      </c>
      <c r="B909" s="60" t="n">
        <v>12</v>
      </c>
      <c r="C909" s="60" t="inlineStr">
        <is>
          <t>1000</t>
        </is>
      </c>
      <c r="D909" s="60" t="n">
        <v>1502</v>
      </c>
      <c r="E909" s="60" t="inlineStr">
        <is>
          <t>디지털마케팅</t>
        </is>
      </c>
      <c r="F909" s="60" t="n">
        <v>62701000</v>
      </c>
      <c r="G909" s="60" t="inlineStr">
        <is>
          <t>광고선전비</t>
        </is>
      </c>
      <c r="H909" s="61" t="n">
        <v>54332040</v>
      </c>
      <c r="J909" s="63">
        <f>IF($A909="","",IFERROR(INDEX(부서매핑!$C$5:$C$504,MATCH($D909&amp;"",부서매핑!$A$5:$A$504,0)),"미매핑"))</f>
        <v/>
      </c>
      <c r="K909" s="63">
        <f>IF($A909="","",IFERROR(INDEX(계정매핑!$C$5:$C$504,MATCH($F909&amp;"",계정매핑!$A$5:$A$504,0)),"미매핑"))</f>
        <v/>
      </c>
      <c r="L909" s="4">
        <f>IF($A909="","",VALUE($A909&amp;""))</f>
        <v/>
      </c>
      <c r="M909" s="4">
        <f>IF($A909="","",VALUE($B909&amp;""))</f>
        <v/>
      </c>
      <c r="N909" s="64">
        <f>IF($A909="","",$H909*설정!$C$15)</f>
        <v/>
      </c>
      <c r="O909" s="4">
        <f>IF($A909="","",J909&amp;"|"&amp;K909)</f>
        <v/>
      </c>
      <c r="P909" s="63">
        <f>IF($A909="","",IF(COUNTIFS(예산_원본!$T$5:$T$3004,O909,예산_원본!$B$5:$B$3004,설정!$C$8,예산_원본!$U$5:$U$3004,L909)&gt;0,"Y","N"))</f>
        <v/>
      </c>
      <c r="Q909" s="63">
        <f>IF($A909="","",IF(COUNTIF(집계!$E$7:$E$506,O909)&gt;0,"Y","N"))</f>
        <v/>
      </c>
    </row>
    <row r="910">
      <c r="A910" s="60" t="n">
        <v>2025</v>
      </c>
      <c r="B910" s="60" t="n">
        <v>12</v>
      </c>
      <c r="C910" s="60" t="inlineStr">
        <is>
          <t>1000</t>
        </is>
      </c>
      <c r="D910" s="60" t="n">
        <v>1601</v>
      </c>
      <c r="E910" s="60" t="inlineStr">
        <is>
          <t>영업지원-본사</t>
        </is>
      </c>
      <c r="F910" s="60" t="n">
        <v>62101000</v>
      </c>
      <c r="G910" s="60" t="inlineStr">
        <is>
          <t>여비교통비-국내</t>
        </is>
      </c>
      <c r="H910" s="61" t="n">
        <v>3024750</v>
      </c>
      <c r="J910" s="63">
        <f>IF($A910="","",IFERROR(INDEX(부서매핑!$C$5:$C$504,MATCH($D910&amp;"",부서매핑!$A$5:$A$504,0)),"미매핑"))</f>
        <v/>
      </c>
      <c r="K910" s="63">
        <f>IF($A910="","",IFERROR(INDEX(계정매핑!$C$5:$C$504,MATCH($F910&amp;"",계정매핑!$A$5:$A$504,0)),"미매핑"))</f>
        <v/>
      </c>
      <c r="L910" s="4">
        <f>IF($A910="","",VALUE($A910&amp;""))</f>
        <v/>
      </c>
      <c r="M910" s="4">
        <f>IF($A910="","",VALUE($B910&amp;""))</f>
        <v/>
      </c>
      <c r="N910" s="64">
        <f>IF($A910="","",$H910*설정!$C$15)</f>
        <v/>
      </c>
      <c r="O910" s="4">
        <f>IF($A910="","",J910&amp;"|"&amp;K910)</f>
        <v/>
      </c>
      <c r="P910" s="63">
        <f>IF($A910="","",IF(COUNTIFS(예산_원본!$T$5:$T$3004,O910,예산_원본!$B$5:$B$3004,설정!$C$8,예산_원본!$U$5:$U$3004,L910)&gt;0,"Y","N"))</f>
        <v/>
      </c>
      <c r="Q910" s="63">
        <f>IF($A910="","",IF(COUNTIF(집계!$E$7:$E$506,O910)&gt;0,"Y","N"))</f>
        <v/>
      </c>
    </row>
    <row r="911">
      <c r="A911" s="60" t="n">
        <v>2025</v>
      </c>
      <c r="B911" s="60" t="n">
        <v>12</v>
      </c>
      <c r="C911" s="60" t="inlineStr">
        <is>
          <t>1000</t>
        </is>
      </c>
      <c r="D911" s="60" t="n">
        <v>1601</v>
      </c>
      <c r="E911" s="60" t="inlineStr">
        <is>
          <t>영업지원-본사</t>
        </is>
      </c>
      <c r="F911" s="60" t="n">
        <v>62102000</v>
      </c>
      <c r="G911" s="60" t="inlineStr">
        <is>
          <t>여비교통비-해외</t>
        </is>
      </c>
      <c r="H911" s="61" t="n">
        <v>521690</v>
      </c>
      <c r="J911" s="63">
        <f>IF($A911="","",IFERROR(INDEX(부서매핑!$C$5:$C$504,MATCH($D911&amp;"",부서매핑!$A$5:$A$504,0)),"미매핑"))</f>
        <v/>
      </c>
      <c r="K911" s="63">
        <f>IF($A911="","",IFERROR(INDEX(계정매핑!$C$5:$C$504,MATCH($F911&amp;"",계정매핑!$A$5:$A$504,0)),"미매핑"))</f>
        <v/>
      </c>
      <c r="L911" s="4">
        <f>IF($A911="","",VALUE($A911&amp;""))</f>
        <v/>
      </c>
      <c r="M911" s="4">
        <f>IF($A911="","",VALUE($B911&amp;""))</f>
        <v/>
      </c>
      <c r="N911" s="64">
        <f>IF($A911="","",$H911*설정!$C$15)</f>
        <v/>
      </c>
      <c r="O911" s="4">
        <f>IF($A911="","",J911&amp;"|"&amp;K911)</f>
        <v/>
      </c>
      <c r="P911" s="63">
        <f>IF($A911="","",IF(COUNTIFS(예산_원본!$T$5:$T$3004,O911,예산_원본!$B$5:$B$3004,설정!$C$8,예산_원본!$U$5:$U$3004,L911)&gt;0,"Y","N"))</f>
        <v/>
      </c>
      <c r="Q911" s="63">
        <f>IF($A911="","",IF(COUNTIF(집계!$E$7:$E$506,O911)&gt;0,"Y","N"))</f>
        <v/>
      </c>
    </row>
    <row r="912">
      <c r="A912" s="60" t="n">
        <v>2025</v>
      </c>
      <c r="B912" s="60" t="n">
        <v>12</v>
      </c>
      <c r="C912" s="60" t="inlineStr">
        <is>
          <t>1000</t>
        </is>
      </c>
      <c r="D912" s="60" t="n">
        <v>1601</v>
      </c>
      <c r="E912" s="60" t="inlineStr">
        <is>
          <t>영업지원-본사</t>
        </is>
      </c>
      <c r="F912" s="60" t="n">
        <v>62201000</v>
      </c>
      <c r="G912" s="60" t="inlineStr">
        <is>
          <t>통신비</t>
        </is>
      </c>
      <c r="H912" s="61" t="n">
        <v>1074530</v>
      </c>
      <c r="J912" s="63">
        <f>IF($A912="","",IFERROR(INDEX(부서매핑!$C$5:$C$504,MATCH($D912&amp;"",부서매핑!$A$5:$A$504,0)),"미매핑"))</f>
        <v/>
      </c>
      <c r="K912" s="63">
        <f>IF($A912="","",IFERROR(INDEX(계정매핑!$C$5:$C$504,MATCH($F912&amp;"",계정매핑!$A$5:$A$504,0)),"미매핑"))</f>
        <v/>
      </c>
      <c r="L912" s="4">
        <f>IF($A912="","",VALUE($A912&amp;""))</f>
        <v/>
      </c>
      <c r="M912" s="4">
        <f>IF($A912="","",VALUE($B912&amp;""))</f>
        <v/>
      </c>
      <c r="N912" s="64">
        <f>IF($A912="","",$H912*설정!$C$15)</f>
        <v/>
      </c>
      <c r="O912" s="4">
        <f>IF($A912="","",J912&amp;"|"&amp;K912)</f>
        <v/>
      </c>
      <c r="P912" s="63">
        <f>IF($A912="","",IF(COUNTIFS(예산_원본!$T$5:$T$3004,O912,예산_원본!$B$5:$B$3004,설정!$C$8,예산_원본!$U$5:$U$3004,L912)&gt;0,"Y","N"))</f>
        <v/>
      </c>
      <c r="Q912" s="63">
        <f>IF($A912="","",IF(COUNTIF(집계!$E$7:$E$506,O912)&gt;0,"Y","N"))</f>
        <v/>
      </c>
    </row>
    <row r="913">
      <c r="A913" s="60" t="n">
        <v>2025</v>
      </c>
      <c r="B913" s="60" t="n">
        <v>12</v>
      </c>
      <c r="C913" s="60" t="inlineStr">
        <is>
          <t>1000</t>
        </is>
      </c>
      <c r="D913" s="60" t="n">
        <v>1601</v>
      </c>
      <c r="E913" s="60" t="inlineStr">
        <is>
          <t>영업지원-본사</t>
        </is>
      </c>
      <c r="F913" s="60" t="n">
        <v>62301000</v>
      </c>
      <c r="G913" s="60" t="inlineStr">
        <is>
          <t>소모품비</t>
        </is>
      </c>
      <c r="H913" s="61" t="n">
        <v>733450</v>
      </c>
      <c r="J913" s="63">
        <f>IF($A913="","",IFERROR(INDEX(부서매핑!$C$5:$C$504,MATCH($D913&amp;"",부서매핑!$A$5:$A$504,0)),"미매핑"))</f>
        <v/>
      </c>
      <c r="K913" s="63">
        <f>IF($A913="","",IFERROR(INDEX(계정매핑!$C$5:$C$504,MATCH($F913&amp;"",계정매핑!$A$5:$A$504,0)),"미매핑"))</f>
        <v/>
      </c>
      <c r="L913" s="4">
        <f>IF($A913="","",VALUE($A913&amp;""))</f>
        <v/>
      </c>
      <c r="M913" s="4">
        <f>IF($A913="","",VALUE($B913&amp;""))</f>
        <v/>
      </c>
      <c r="N913" s="64">
        <f>IF($A913="","",$H913*설정!$C$15)</f>
        <v/>
      </c>
      <c r="O913" s="4">
        <f>IF($A913="","",J913&amp;"|"&amp;K913)</f>
        <v/>
      </c>
      <c r="P913" s="63">
        <f>IF($A913="","",IF(COUNTIFS(예산_원본!$T$5:$T$3004,O913,예산_원본!$B$5:$B$3004,설정!$C$8,예산_원본!$U$5:$U$3004,L913)&gt;0,"Y","N"))</f>
        <v/>
      </c>
      <c r="Q913" s="63">
        <f>IF($A913="","",IF(COUNTIF(집계!$E$7:$E$506,O913)&gt;0,"Y","N"))</f>
        <v/>
      </c>
    </row>
    <row r="914">
      <c r="A914" s="60" t="n">
        <v>2025</v>
      </c>
      <c r="B914" s="60" t="n">
        <v>12</v>
      </c>
      <c r="C914" s="60" t="inlineStr">
        <is>
          <t>1000</t>
        </is>
      </c>
      <c r="D914" s="60" t="n">
        <v>1601</v>
      </c>
      <c r="E914" s="60" t="inlineStr">
        <is>
          <t>영업지원-본사</t>
        </is>
      </c>
      <c r="F914" s="60" t="n">
        <v>62501000</v>
      </c>
      <c r="G914" s="60" t="inlineStr">
        <is>
          <t>회의비</t>
        </is>
      </c>
      <c r="H914" s="61" t="n">
        <v>772900</v>
      </c>
      <c r="J914" s="63">
        <f>IF($A914="","",IFERROR(INDEX(부서매핑!$C$5:$C$504,MATCH($D914&amp;"",부서매핑!$A$5:$A$504,0)),"미매핑"))</f>
        <v/>
      </c>
      <c r="K914" s="63">
        <f>IF($A914="","",IFERROR(INDEX(계정매핑!$C$5:$C$504,MATCH($F914&amp;"",계정매핑!$A$5:$A$504,0)),"미매핑"))</f>
        <v/>
      </c>
      <c r="L914" s="4">
        <f>IF($A914="","",VALUE($A914&amp;""))</f>
        <v/>
      </c>
      <c r="M914" s="4">
        <f>IF($A914="","",VALUE($B914&amp;""))</f>
        <v/>
      </c>
      <c r="N914" s="64">
        <f>IF($A914="","",$H914*설정!$C$15)</f>
        <v/>
      </c>
      <c r="O914" s="4">
        <f>IF($A914="","",J914&amp;"|"&amp;K914)</f>
        <v/>
      </c>
      <c r="P914" s="63">
        <f>IF($A914="","",IF(COUNTIFS(예산_원본!$T$5:$T$3004,O914,예산_원본!$B$5:$B$3004,설정!$C$8,예산_원본!$U$5:$U$3004,L914)&gt;0,"Y","N"))</f>
        <v/>
      </c>
      <c r="Q914" s="63">
        <f>IF($A914="","",IF(COUNTIF(집계!$E$7:$E$506,O914)&gt;0,"Y","N"))</f>
        <v/>
      </c>
    </row>
    <row r="915">
      <c r="A915" s="60" t="n">
        <v>2025</v>
      </c>
      <c r="B915" s="60" t="n">
        <v>12</v>
      </c>
      <c r="C915" s="60" t="inlineStr">
        <is>
          <t>1000</t>
        </is>
      </c>
      <c r="D915" s="60" t="n">
        <v>1601</v>
      </c>
      <c r="E915" s="60" t="inlineStr">
        <is>
          <t>영업지원-본사</t>
        </is>
      </c>
      <c r="F915" s="60" t="n">
        <v>62601000</v>
      </c>
      <c r="G915" s="60" t="inlineStr">
        <is>
          <t>업무추진비</t>
        </is>
      </c>
      <c r="H915" s="61" t="n">
        <v>1726950</v>
      </c>
      <c r="J915" s="63">
        <f>IF($A915="","",IFERROR(INDEX(부서매핑!$C$5:$C$504,MATCH($D915&amp;"",부서매핑!$A$5:$A$504,0)),"미매핑"))</f>
        <v/>
      </c>
      <c r="K915" s="63">
        <f>IF($A915="","",IFERROR(INDEX(계정매핑!$C$5:$C$504,MATCH($F915&amp;"",계정매핑!$A$5:$A$504,0)),"미매핑"))</f>
        <v/>
      </c>
      <c r="L915" s="4">
        <f>IF($A915="","",VALUE($A915&amp;""))</f>
        <v/>
      </c>
      <c r="M915" s="4">
        <f>IF($A915="","",VALUE($B915&amp;""))</f>
        <v/>
      </c>
      <c r="N915" s="64">
        <f>IF($A915="","",$H915*설정!$C$15)</f>
        <v/>
      </c>
      <c r="O915" s="4">
        <f>IF($A915="","",J915&amp;"|"&amp;K915)</f>
        <v/>
      </c>
      <c r="P915" s="63">
        <f>IF($A915="","",IF(COUNTIFS(예산_원본!$T$5:$T$3004,O915,예산_원본!$B$5:$B$3004,설정!$C$8,예산_원본!$U$5:$U$3004,L915)&gt;0,"Y","N"))</f>
        <v/>
      </c>
      <c r="Q915" s="63">
        <f>IF($A915="","",IF(COUNTIF(집계!$E$7:$E$506,O915)&gt;0,"Y","N"))</f>
        <v/>
      </c>
    </row>
    <row r="916">
      <c r="A916" s="60" t="n">
        <v>2025</v>
      </c>
      <c r="B916" s="60" t="n">
        <v>12</v>
      </c>
      <c r="C916" s="60" t="inlineStr">
        <is>
          <t>1000</t>
        </is>
      </c>
      <c r="D916" s="60" t="n">
        <v>1601</v>
      </c>
      <c r="E916" s="60" t="inlineStr">
        <is>
          <t>영업지원-본사</t>
        </is>
      </c>
      <c r="F916" s="60" t="n">
        <v>63101000</v>
      </c>
      <c r="G916" s="60" t="inlineStr">
        <is>
          <t>임차료</t>
        </is>
      </c>
      <c r="H916" s="61" t="n">
        <v>9740960</v>
      </c>
      <c r="J916" s="63">
        <f>IF($A916="","",IFERROR(INDEX(부서매핑!$C$5:$C$504,MATCH($D916&amp;"",부서매핑!$A$5:$A$504,0)),"미매핑"))</f>
        <v/>
      </c>
      <c r="K916" s="63">
        <f>IF($A916="","",IFERROR(INDEX(계정매핑!$C$5:$C$504,MATCH($F916&amp;"",계정매핑!$A$5:$A$504,0)),"미매핑"))</f>
        <v/>
      </c>
      <c r="L916" s="4">
        <f>IF($A916="","",VALUE($A916&amp;""))</f>
        <v/>
      </c>
      <c r="M916" s="4">
        <f>IF($A916="","",VALUE($B916&amp;""))</f>
        <v/>
      </c>
      <c r="N916" s="64">
        <f>IF($A916="","",$H916*설정!$C$15)</f>
        <v/>
      </c>
      <c r="O916" s="4">
        <f>IF($A916="","",J916&amp;"|"&amp;K916)</f>
        <v/>
      </c>
      <c r="P916" s="63">
        <f>IF($A916="","",IF(COUNTIFS(예산_원본!$T$5:$T$3004,O916,예산_원본!$B$5:$B$3004,설정!$C$8,예산_원본!$U$5:$U$3004,L916)&gt;0,"Y","N"))</f>
        <v/>
      </c>
      <c r="Q916" s="63">
        <f>IF($A916="","",IF(COUNTIF(집계!$E$7:$E$506,O916)&gt;0,"Y","N"))</f>
        <v/>
      </c>
    </row>
    <row r="917">
      <c r="A917" s="60" t="n">
        <v>2025</v>
      </c>
      <c r="B917" s="60" t="n">
        <v>12</v>
      </c>
      <c r="C917" s="60" t="inlineStr">
        <is>
          <t>1000</t>
        </is>
      </c>
      <c r="D917" s="60" t="n">
        <v>1601</v>
      </c>
      <c r="E917" s="60" t="inlineStr">
        <is>
          <t>영업지원-본사</t>
        </is>
      </c>
      <c r="F917" s="60" t="n">
        <v>63201000</v>
      </c>
      <c r="G917" s="60" t="inlineStr">
        <is>
          <t>차량유지비</t>
        </is>
      </c>
      <c r="H917" s="61" t="n">
        <v>4218770</v>
      </c>
      <c r="J917" s="63">
        <f>IF($A917="","",IFERROR(INDEX(부서매핑!$C$5:$C$504,MATCH($D917&amp;"",부서매핑!$A$5:$A$504,0)),"미매핑"))</f>
        <v/>
      </c>
      <c r="K917" s="63">
        <f>IF($A917="","",IFERROR(INDEX(계정매핑!$C$5:$C$504,MATCH($F917&amp;"",계정매핑!$A$5:$A$504,0)),"미매핑"))</f>
        <v/>
      </c>
      <c r="L917" s="4">
        <f>IF($A917="","",VALUE($A917&amp;""))</f>
        <v/>
      </c>
      <c r="M917" s="4">
        <f>IF($A917="","",VALUE($B917&amp;""))</f>
        <v/>
      </c>
      <c r="N917" s="64">
        <f>IF($A917="","",$H917*설정!$C$15)</f>
        <v/>
      </c>
      <c r="O917" s="4">
        <f>IF($A917="","",J917&amp;"|"&amp;K917)</f>
        <v/>
      </c>
      <c r="P917" s="63">
        <f>IF($A917="","",IF(COUNTIFS(예산_원본!$T$5:$T$3004,O917,예산_원본!$B$5:$B$3004,설정!$C$8,예산_원본!$U$5:$U$3004,L917)&gt;0,"Y","N"))</f>
        <v/>
      </c>
      <c r="Q917" s="63">
        <f>IF($A917="","",IF(COUNTIF(집계!$E$7:$E$506,O917)&gt;0,"Y","N"))</f>
        <v/>
      </c>
    </row>
    <row r="918">
      <c r="A918" s="60" t="n">
        <v>2025</v>
      </c>
      <c r="B918" s="60" t="n">
        <v>12</v>
      </c>
      <c r="C918" s="60" t="inlineStr">
        <is>
          <t>1000</t>
        </is>
      </c>
      <c r="D918" s="60" t="n">
        <v>1602</v>
      </c>
      <c r="E918" s="60" t="inlineStr">
        <is>
          <t>영업지원-지역본부</t>
        </is>
      </c>
      <c r="F918" s="60" t="n">
        <v>62101000</v>
      </c>
      <c r="G918" s="60" t="inlineStr">
        <is>
          <t>여비교통비-국내</t>
        </is>
      </c>
      <c r="H918" s="61" t="n">
        <v>2247580</v>
      </c>
      <c r="J918" s="63">
        <f>IF($A918="","",IFERROR(INDEX(부서매핑!$C$5:$C$504,MATCH($D918&amp;"",부서매핑!$A$5:$A$504,0)),"미매핑"))</f>
        <v/>
      </c>
      <c r="K918" s="63">
        <f>IF($A918="","",IFERROR(INDEX(계정매핑!$C$5:$C$504,MATCH($F918&amp;"",계정매핑!$A$5:$A$504,0)),"미매핑"))</f>
        <v/>
      </c>
      <c r="L918" s="4">
        <f>IF($A918="","",VALUE($A918&amp;""))</f>
        <v/>
      </c>
      <c r="M918" s="4">
        <f>IF($A918="","",VALUE($B918&amp;""))</f>
        <v/>
      </c>
      <c r="N918" s="64">
        <f>IF($A918="","",$H918*설정!$C$15)</f>
        <v/>
      </c>
      <c r="O918" s="4">
        <f>IF($A918="","",J918&amp;"|"&amp;K918)</f>
        <v/>
      </c>
      <c r="P918" s="63">
        <f>IF($A918="","",IF(COUNTIFS(예산_원본!$T$5:$T$3004,O918,예산_원본!$B$5:$B$3004,설정!$C$8,예산_원본!$U$5:$U$3004,L918)&gt;0,"Y","N"))</f>
        <v/>
      </c>
      <c r="Q918" s="63">
        <f>IF($A918="","",IF(COUNTIF(집계!$E$7:$E$506,O918)&gt;0,"Y","N"))</f>
        <v/>
      </c>
    </row>
    <row r="919">
      <c r="A919" s="60" t="n">
        <v>2025</v>
      </c>
      <c r="B919" s="60" t="n">
        <v>12</v>
      </c>
      <c r="C919" s="60" t="inlineStr">
        <is>
          <t>1000</t>
        </is>
      </c>
      <c r="D919" s="60" t="n">
        <v>1602</v>
      </c>
      <c r="E919" s="60" t="inlineStr">
        <is>
          <t>영업지원-지역본부</t>
        </is>
      </c>
      <c r="F919" s="60" t="n">
        <v>62102000</v>
      </c>
      <c r="G919" s="60" t="inlineStr">
        <is>
          <t>여비교통비-해외</t>
        </is>
      </c>
      <c r="H919" s="61" t="n">
        <v>403060</v>
      </c>
      <c r="J919" s="63">
        <f>IF($A919="","",IFERROR(INDEX(부서매핑!$C$5:$C$504,MATCH($D919&amp;"",부서매핑!$A$5:$A$504,0)),"미매핑"))</f>
        <v/>
      </c>
      <c r="K919" s="63">
        <f>IF($A919="","",IFERROR(INDEX(계정매핑!$C$5:$C$504,MATCH($F919&amp;"",계정매핑!$A$5:$A$504,0)),"미매핑"))</f>
        <v/>
      </c>
      <c r="L919" s="4">
        <f>IF($A919="","",VALUE($A919&amp;""))</f>
        <v/>
      </c>
      <c r="M919" s="4">
        <f>IF($A919="","",VALUE($B919&amp;""))</f>
        <v/>
      </c>
      <c r="N919" s="64">
        <f>IF($A919="","",$H919*설정!$C$15)</f>
        <v/>
      </c>
      <c r="O919" s="4">
        <f>IF($A919="","",J919&amp;"|"&amp;K919)</f>
        <v/>
      </c>
      <c r="P919" s="63">
        <f>IF($A919="","",IF(COUNTIFS(예산_원본!$T$5:$T$3004,O919,예산_원본!$B$5:$B$3004,설정!$C$8,예산_원본!$U$5:$U$3004,L919)&gt;0,"Y","N"))</f>
        <v/>
      </c>
      <c r="Q919" s="63">
        <f>IF($A919="","",IF(COUNTIF(집계!$E$7:$E$506,O919)&gt;0,"Y","N"))</f>
        <v/>
      </c>
    </row>
    <row r="920">
      <c r="A920" s="60" t="n">
        <v>2025</v>
      </c>
      <c r="B920" s="60" t="n">
        <v>12</v>
      </c>
      <c r="C920" s="60" t="inlineStr">
        <is>
          <t>1000</t>
        </is>
      </c>
      <c r="D920" s="60" t="n">
        <v>1602</v>
      </c>
      <c r="E920" s="60" t="inlineStr">
        <is>
          <t>영업지원-지역본부</t>
        </is>
      </c>
      <c r="F920" s="60" t="n">
        <v>62201000</v>
      </c>
      <c r="G920" s="60" t="inlineStr">
        <is>
          <t>통신비</t>
        </is>
      </c>
      <c r="H920" s="61" t="n">
        <v>795940</v>
      </c>
      <c r="J920" s="63">
        <f>IF($A920="","",IFERROR(INDEX(부서매핑!$C$5:$C$504,MATCH($D920&amp;"",부서매핑!$A$5:$A$504,0)),"미매핑"))</f>
        <v/>
      </c>
      <c r="K920" s="63">
        <f>IF($A920="","",IFERROR(INDEX(계정매핑!$C$5:$C$504,MATCH($F920&amp;"",계정매핑!$A$5:$A$504,0)),"미매핑"))</f>
        <v/>
      </c>
      <c r="L920" s="4">
        <f>IF($A920="","",VALUE($A920&amp;""))</f>
        <v/>
      </c>
      <c r="M920" s="4">
        <f>IF($A920="","",VALUE($B920&amp;""))</f>
        <v/>
      </c>
      <c r="N920" s="64">
        <f>IF($A920="","",$H920*설정!$C$15)</f>
        <v/>
      </c>
      <c r="O920" s="4">
        <f>IF($A920="","",J920&amp;"|"&amp;K920)</f>
        <v/>
      </c>
      <c r="P920" s="63">
        <f>IF($A920="","",IF(COUNTIFS(예산_원본!$T$5:$T$3004,O920,예산_원본!$B$5:$B$3004,설정!$C$8,예산_원본!$U$5:$U$3004,L920)&gt;0,"Y","N"))</f>
        <v/>
      </c>
      <c r="Q920" s="63">
        <f>IF($A920="","",IF(COUNTIF(집계!$E$7:$E$506,O920)&gt;0,"Y","N"))</f>
        <v/>
      </c>
    </row>
    <row r="921">
      <c r="A921" s="60" t="n">
        <v>2025</v>
      </c>
      <c r="B921" s="60" t="n">
        <v>12</v>
      </c>
      <c r="C921" s="60" t="inlineStr">
        <is>
          <t>1000</t>
        </is>
      </c>
      <c r="D921" s="60" t="n">
        <v>1602</v>
      </c>
      <c r="E921" s="60" t="inlineStr">
        <is>
          <t>영업지원-지역본부</t>
        </is>
      </c>
      <c r="F921" s="60" t="n">
        <v>62301000</v>
      </c>
      <c r="G921" s="60" t="inlineStr">
        <is>
          <t>소모품비</t>
        </is>
      </c>
      <c r="H921" s="61" t="n">
        <v>555160</v>
      </c>
      <c r="J921" s="63">
        <f>IF($A921="","",IFERROR(INDEX(부서매핑!$C$5:$C$504,MATCH($D921&amp;"",부서매핑!$A$5:$A$504,0)),"미매핑"))</f>
        <v/>
      </c>
      <c r="K921" s="63">
        <f>IF($A921="","",IFERROR(INDEX(계정매핑!$C$5:$C$504,MATCH($F921&amp;"",계정매핑!$A$5:$A$504,0)),"미매핑"))</f>
        <v/>
      </c>
      <c r="L921" s="4">
        <f>IF($A921="","",VALUE($A921&amp;""))</f>
        <v/>
      </c>
      <c r="M921" s="4">
        <f>IF($A921="","",VALUE($B921&amp;""))</f>
        <v/>
      </c>
      <c r="N921" s="64">
        <f>IF($A921="","",$H921*설정!$C$15)</f>
        <v/>
      </c>
      <c r="O921" s="4">
        <f>IF($A921="","",J921&amp;"|"&amp;K921)</f>
        <v/>
      </c>
      <c r="P921" s="63">
        <f>IF($A921="","",IF(COUNTIFS(예산_원본!$T$5:$T$3004,O921,예산_원본!$B$5:$B$3004,설정!$C$8,예산_원본!$U$5:$U$3004,L921)&gt;0,"Y","N"))</f>
        <v/>
      </c>
      <c r="Q921" s="63">
        <f>IF($A921="","",IF(COUNTIF(집계!$E$7:$E$506,O921)&gt;0,"Y","N"))</f>
        <v/>
      </c>
    </row>
    <row r="922">
      <c r="A922" s="60" t="n">
        <v>2025</v>
      </c>
      <c r="B922" s="60" t="n">
        <v>12</v>
      </c>
      <c r="C922" s="60" t="inlineStr">
        <is>
          <t>1000</t>
        </is>
      </c>
      <c r="D922" s="60" t="n">
        <v>1602</v>
      </c>
      <c r="E922" s="60" t="inlineStr">
        <is>
          <t>영업지원-지역본부</t>
        </is>
      </c>
      <c r="F922" s="60" t="n">
        <v>62501000</v>
      </c>
      <c r="G922" s="60" t="inlineStr">
        <is>
          <t>회의비</t>
        </is>
      </c>
      <c r="H922" s="61" t="n">
        <v>611520</v>
      </c>
      <c r="J922" s="63">
        <f>IF($A922="","",IFERROR(INDEX(부서매핑!$C$5:$C$504,MATCH($D922&amp;"",부서매핑!$A$5:$A$504,0)),"미매핑"))</f>
        <v/>
      </c>
      <c r="K922" s="63">
        <f>IF($A922="","",IFERROR(INDEX(계정매핑!$C$5:$C$504,MATCH($F922&amp;"",계정매핑!$A$5:$A$504,0)),"미매핑"))</f>
        <v/>
      </c>
      <c r="L922" s="4">
        <f>IF($A922="","",VALUE($A922&amp;""))</f>
        <v/>
      </c>
      <c r="M922" s="4">
        <f>IF($A922="","",VALUE($B922&amp;""))</f>
        <v/>
      </c>
      <c r="N922" s="64">
        <f>IF($A922="","",$H922*설정!$C$15)</f>
        <v/>
      </c>
      <c r="O922" s="4">
        <f>IF($A922="","",J922&amp;"|"&amp;K922)</f>
        <v/>
      </c>
      <c r="P922" s="63">
        <f>IF($A922="","",IF(COUNTIFS(예산_원본!$T$5:$T$3004,O922,예산_원본!$B$5:$B$3004,설정!$C$8,예산_원본!$U$5:$U$3004,L922)&gt;0,"Y","N"))</f>
        <v/>
      </c>
      <c r="Q922" s="63">
        <f>IF($A922="","",IF(COUNTIF(집계!$E$7:$E$506,O922)&gt;0,"Y","N"))</f>
        <v/>
      </c>
    </row>
    <row r="923">
      <c r="A923" s="60" t="n">
        <v>2025</v>
      </c>
      <c r="B923" s="60" t="n">
        <v>12</v>
      </c>
      <c r="C923" s="60" t="inlineStr">
        <is>
          <t>1000</t>
        </is>
      </c>
      <c r="D923" s="60" t="n">
        <v>1602</v>
      </c>
      <c r="E923" s="60" t="inlineStr">
        <is>
          <t>영업지원-지역본부</t>
        </is>
      </c>
      <c r="F923" s="60" t="n">
        <v>62601000</v>
      </c>
      <c r="G923" s="60" t="inlineStr">
        <is>
          <t>업무추진비</t>
        </is>
      </c>
      <c r="H923" s="61" t="n">
        <v>1513310</v>
      </c>
      <c r="J923" s="63">
        <f>IF($A923="","",IFERROR(INDEX(부서매핑!$C$5:$C$504,MATCH($D923&amp;"",부서매핑!$A$5:$A$504,0)),"미매핑"))</f>
        <v/>
      </c>
      <c r="K923" s="63">
        <f>IF($A923="","",IFERROR(INDEX(계정매핑!$C$5:$C$504,MATCH($F923&amp;"",계정매핑!$A$5:$A$504,0)),"미매핑"))</f>
        <v/>
      </c>
      <c r="L923" s="4">
        <f>IF($A923="","",VALUE($A923&amp;""))</f>
        <v/>
      </c>
      <c r="M923" s="4">
        <f>IF($A923="","",VALUE($B923&amp;""))</f>
        <v/>
      </c>
      <c r="N923" s="64">
        <f>IF($A923="","",$H923*설정!$C$15)</f>
        <v/>
      </c>
      <c r="O923" s="4">
        <f>IF($A923="","",J923&amp;"|"&amp;K923)</f>
        <v/>
      </c>
      <c r="P923" s="63">
        <f>IF($A923="","",IF(COUNTIFS(예산_원본!$T$5:$T$3004,O923,예산_원본!$B$5:$B$3004,설정!$C$8,예산_원본!$U$5:$U$3004,L923)&gt;0,"Y","N"))</f>
        <v/>
      </c>
      <c r="Q923" s="63">
        <f>IF($A923="","",IF(COUNTIF(집계!$E$7:$E$506,O923)&gt;0,"Y","N"))</f>
        <v/>
      </c>
    </row>
    <row r="924">
      <c r="A924" s="60" t="n">
        <v>2025</v>
      </c>
      <c r="B924" s="60" t="n">
        <v>12</v>
      </c>
      <c r="C924" s="60" t="inlineStr">
        <is>
          <t>1000</t>
        </is>
      </c>
      <c r="D924" s="60" t="n">
        <v>1602</v>
      </c>
      <c r="E924" s="60" t="inlineStr">
        <is>
          <t>영업지원-지역본부</t>
        </is>
      </c>
      <c r="F924" s="60" t="n">
        <v>63101000</v>
      </c>
      <c r="G924" s="60" t="inlineStr">
        <is>
          <t>임차료</t>
        </is>
      </c>
      <c r="H924" s="61" t="n">
        <v>7854680</v>
      </c>
      <c r="J924" s="63">
        <f>IF($A924="","",IFERROR(INDEX(부서매핑!$C$5:$C$504,MATCH($D924&amp;"",부서매핑!$A$5:$A$504,0)),"미매핑"))</f>
        <v/>
      </c>
      <c r="K924" s="63">
        <f>IF($A924="","",IFERROR(INDEX(계정매핑!$C$5:$C$504,MATCH($F924&amp;"",계정매핑!$A$5:$A$504,0)),"미매핑"))</f>
        <v/>
      </c>
      <c r="L924" s="4">
        <f>IF($A924="","",VALUE($A924&amp;""))</f>
        <v/>
      </c>
      <c r="M924" s="4">
        <f>IF($A924="","",VALUE($B924&amp;""))</f>
        <v/>
      </c>
      <c r="N924" s="64">
        <f>IF($A924="","",$H924*설정!$C$15)</f>
        <v/>
      </c>
      <c r="O924" s="4">
        <f>IF($A924="","",J924&amp;"|"&amp;K924)</f>
        <v/>
      </c>
      <c r="P924" s="63">
        <f>IF($A924="","",IF(COUNTIFS(예산_원본!$T$5:$T$3004,O924,예산_원본!$B$5:$B$3004,설정!$C$8,예산_원본!$U$5:$U$3004,L924)&gt;0,"Y","N"))</f>
        <v/>
      </c>
      <c r="Q924" s="63">
        <f>IF($A924="","",IF(COUNTIF(집계!$E$7:$E$506,O924)&gt;0,"Y","N"))</f>
        <v/>
      </c>
    </row>
    <row r="925">
      <c r="A925" s="60" t="n">
        <v>2025</v>
      </c>
      <c r="B925" s="60" t="n">
        <v>12</v>
      </c>
      <c r="C925" s="60" t="inlineStr">
        <is>
          <t>1000</t>
        </is>
      </c>
      <c r="D925" s="60" t="n">
        <v>1602</v>
      </c>
      <c r="E925" s="60" t="inlineStr">
        <is>
          <t>영업지원-지역본부</t>
        </is>
      </c>
      <c r="F925" s="60" t="n">
        <v>63201000</v>
      </c>
      <c r="G925" s="60" t="inlineStr">
        <is>
          <t>차량유지비</t>
        </is>
      </c>
      <c r="H925" s="61" t="n">
        <v>3506020</v>
      </c>
      <c r="J925" s="63">
        <f>IF($A925="","",IFERROR(INDEX(부서매핑!$C$5:$C$504,MATCH($D925&amp;"",부서매핑!$A$5:$A$504,0)),"미매핑"))</f>
        <v/>
      </c>
      <c r="K925" s="63">
        <f>IF($A925="","",IFERROR(INDEX(계정매핑!$C$5:$C$504,MATCH($F925&amp;"",계정매핑!$A$5:$A$504,0)),"미매핑"))</f>
        <v/>
      </c>
      <c r="L925" s="4">
        <f>IF($A925="","",VALUE($A925&amp;""))</f>
        <v/>
      </c>
      <c r="M925" s="4">
        <f>IF($A925="","",VALUE($B925&amp;""))</f>
        <v/>
      </c>
      <c r="N925" s="64">
        <f>IF($A925="","",$H925*설정!$C$15)</f>
        <v/>
      </c>
      <c r="O925" s="4">
        <f>IF($A925="","",J925&amp;"|"&amp;K925)</f>
        <v/>
      </c>
      <c r="P925" s="63">
        <f>IF($A925="","",IF(COUNTIFS(예산_원본!$T$5:$T$3004,O925,예산_원본!$B$5:$B$3004,설정!$C$8,예산_원본!$U$5:$U$3004,L925)&gt;0,"Y","N"))</f>
        <v/>
      </c>
      <c r="Q925" s="63">
        <f>IF($A925="","",IF(COUNTIF(집계!$E$7:$E$506,O925)&gt;0,"Y","N"))</f>
        <v/>
      </c>
    </row>
    <row r="926">
      <c r="A926" s="60" t="n">
        <v>2025</v>
      </c>
      <c r="B926" s="60" t="n">
        <v>12</v>
      </c>
      <c r="C926" s="60" t="inlineStr">
        <is>
          <t>1000</t>
        </is>
      </c>
      <c r="D926" s="60" t="n">
        <v>1701</v>
      </c>
      <c r="E926" s="60" t="inlineStr">
        <is>
          <t>IT운영</t>
        </is>
      </c>
      <c r="F926" s="60" t="n">
        <v>62101000</v>
      </c>
      <c r="G926" s="60" t="inlineStr">
        <is>
          <t>여비교통비-국내</t>
        </is>
      </c>
      <c r="H926" s="61" t="n">
        <v>1006460</v>
      </c>
      <c r="J926" s="63">
        <f>IF($A926="","",IFERROR(INDEX(부서매핑!$C$5:$C$504,MATCH($D926&amp;"",부서매핑!$A$5:$A$504,0)),"미매핑"))</f>
        <v/>
      </c>
      <c r="K926" s="63">
        <f>IF($A926="","",IFERROR(INDEX(계정매핑!$C$5:$C$504,MATCH($F926&amp;"",계정매핑!$A$5:$A$504,0)),"미매핑"))</f>
        <v/>
      </c>
      <c r="L926" s="4">
        <f>IF($A926="","",VALUE($A926&amp;""))</f>
        <v/>
      </c>
      <c r="M926" s="4">
        <f>IF($A926="","",VALUE($B926&amp;""))</f>
        <v/>
      </c>
      <c r="N926" s="64">
        <f>IF($A926="","",$H926*설정!$C$15)</f>
        <v/>
      </c>
      <c r="O926" s="4">
        <f>IF($A926="","",J926&amp;"|"&amp;K926)</f>
        <v/>
      </c>
      <c r="P926" s="63">
        <f>IF($A926="","",IF(COUNTIFS(예산_원본!$T$5:$T$3004,O926,예산_원본!$B$5:$B$3004,설정!$C$8,예산_원본!$U$5:$U$3004,L926)&gt;0,"Y","N"))</f>
        <v/>
      </c>
      <c r="Q926" s="63">
        <f>IF($A926="","",IF(COUNTIF(집계!$E$7:$E$506,O926)&gt;0,"Y","N"))</f>
        <v/>
      </c>
    </row>
    <row r="927">
      <c r="A927" s="60" t="n">
        <v>2025</v>
      </c>
      <c r="B927" s="60" t="n">
        <v>12</v>
      </c>
      <c r="C927" s="60" t="inlineStr">
        <is>
          <t>1000</t>
        </is>
      </c>
      <c r="D927" s="60" t="n">
        <v>1701</v>
      </c>
      <c r="E927" s="60" t="inlineStr">
        <is>
          <t>IT운영</t>
        </is>
      </c>
      <c r="F927" s="60" t="n">
        <v>62102000</v>
      </c>
      <c r="G927" s="60" t="inlineStr">
        <is>
          <t>여비교통비-해외</t>
        </is>
      </c>
      <c r="H927" s="61" t="n">
        <v>165300</v>
      </c>
      <c r="J927" s="63">
        <f>IF($A927="","",IFERROR(INDEX(부서매핑!$C$5:$C$504,MATCH($D927&amp;"",부서매핑!$A$5:$A$504,0)),"미매핑"))</f>
        <v/>
      </c>
      <c r="K927" s="63">
        <f>IF($A927="","",IFERROR(INDEX(계정매핑!$C$5:$C$504,MATCH($F927&amp;"",계정매핑!$A$5:$A$504,0)),"미매핑"))</f>
        <v/>
      </c>
      <c r="L927" s="4">
        <f>IF($A927="","",VALUE($A927&amp;""))</f>
        <v/>
      </c>
      <c r="M927" s="4">
        <f>IF($A927="","",VALUE($B927&amp;""))</f>
        <v/>
      </c>
      <c r="N927" s="64">
        <f>IF($A927="","",$H927*설정!$C$15)</f>
        <v/>
      </c>
      <c r="O927" s="4">
        <f>IF($A927="","",J927&amp;"|"&amp;K927)</f>
        <v/>
      </c>
      <c r="P927" s="63">
        <f>IF($A927="","",IF(COUNTIFS(예산_원본!$T$5:$T$3004,O927,예산_원본!$B$5:$B$3004,설정!$C$8,예산_원본!$U$5:$U$3004,L927)&gt;0,"Y","N"))</f>
        <v/>
      </c>
      <c r="Q927" s="63">
        <f>IF($A927="","",IF(COUNTIF(집계!$E$7:$E$506,O927)&gt;0,"Y","N"))</f>
        <v/>
      </c>
    </row>
    <row r="928">
      <c r="A928" s="60" t="n">
        <v>2025</v>
      </c>
      <c r="B928" s="60" t="n">
        <v>12</v>
      </c>
      <c r="C928" s="60" t="inlineStr">
        <is>
          <t>1000</t>
        </is>
      </c>
      <c r="D928" s="60" t="n">
        <v>1701</v>
      </c>
      <c r="E928" s="60" t="inlineStr">
        <is>
          <t>IT운영</t>
        </is>
      </c>
      <c r="F928" s="60" t="n">
        <v>62201000</v>
      </c>
      <c r="G928" s="60" t="inlineStr">
        <is>
          <t>통신비</t>
        </is>
      </c>
      <c r="H928" s="61" t="n">
        <v>12727670</v>
      </c>
      <c r="J928" s="63">
        <f>IF($A928="","",IFERROR(INDEX(부서매핑!$C$5:$C$504,MATCH($D928&amp;"",부서매핑!$A$5:$A$504,0)),"미매핑"))</f>
        <v/>
      </c>
      <c r="K928" s="63">
        <f>IF($A928="","",IFERROR(INDEX(계정매핑!$C$5:$C$504,MATCH($F928&amp;"",계정매핑!$A$5:$A$504,0)),"미매핑"))</f>
        <v/>
      </c>
      <c r="L928" s="4">
        <f>IF($A928="","",VALUE($A928&amp;""))</f>
        <v/>
      </c>
      <c r="M928" s="4">
        <f>IF($A928="","",VALUE($B928&amp;""))</f>
        <v/>
      </c>
      <c r="N928" s="64">
        <f>IF($A928="","",$H928*설정!$C$15)</f>
        <v/>
      </c>
      <c r="O928" s="4">
        <f>IF($A928="","",J928&amp;"|"&amp;K928)</f>
        <v/>
      </c>
      <c r="P928" s="63">
        <f>IF($A928="","",IF(COUNTIFS(예산_원본!$T$5:$T$3004,O928,예산_원본!$B$5:$B$3004,설정!$C$8,예산_원본!$U$5:$U$3004,L928)&gt;0,"Y","N"))</f>
        <v/>
      </c>
      <c r="Q928" s="63">
        <f>IF($A928="","",IF(COUNTIF(집계!$E$7:$E$506,O928)&gt;0,"Y","N"))</f>
        <v/>
      </c>
    </row>
    <row r="929">
      <c r="A929" s="60" t="n">
        <v>2025</v>
      </c>
      <c r="B929" s="60" t="n">
        <v>12</v>
      </c>
      <c r="C929" s="60" t="inlineStr">
        <is>
          <t>1000</t>
        </is>
      </c>
      <c r="D929" s="60" t="n">
        <v>1701</v>
      </c>
      <c r="E929" s="60" t="inlineStr">
        <is>
          <t>IT운영</t>
        </is>
      </c>
      <c r="F929" s="60" t="n">
        <v>62301000</v>
      </c>
      <c r="G929" s="60" t="inlineStr">
        <is>
          <t>소모품비</t>
        </is>
      </c>
      <c r="H929" s="61" t="n">
        <v>758390</v>
      </c>
      <c r="J929" s="63">
        <f>IF($A929="","",IFERROR(INDEX(부서매핑!$C$5:$C$504,MATCH($D929&amp;"",부서매핑!$A$5:$A$504,0)),"미매핑"))</f>
        <v/>
      </c>
      <c r="K929" s="63">
        <f>IF($A929="","",IFERROR(INDEX(계정매핑!$C$5:$C$504,MATCH($F929&amp;"",계정매핑!$A$5:$A$504,0)),"미매핑"))</f>
        <v/>
      </c>
      <c r="L929" s="4">
        <f>IF($A929="","",VALUE($A929&amp;""))</f>
        <v/>
      </c>
      <c r="M929" s="4">
        <f>IF($A929="","",VALUE($B929&amp;""))</f>
        <v/>
      </c>
      <c r="N929" s="64">
        <f>IF($A929="","",$H929*설정!$C$15)</f>
        <v/>
      </c>
      <c r="O929" s="4">
        <f>IF($A929="","",J929&amp;"|"&amp;K929)</f>
        <v/>
      </c>
      <c r="P929" s="63">
        <f>IF($A929="","",IF(COUNTIFS(예산_원본!$T$5:$T$3004,O929,예산_원본!$B$5:$B$3004,설정!$C$8,예산_원본!$U$5:$U$3004,L929)&gt;0,"Y","N"))</f>
        <v/>
      </c>
      <c r="Q929" s="63">
        <f>IF($A929="","",IF(COUNTIF(집계!$E$7:$E$506,O929)&gt;0,"Y","N"))</f>
        <v/>
      </c>
    </row>
    <row r="930">
      <c r="A930" s="60" t="n">
        <v>2025</v>
      </c>
      <c r="B930" s="60" t="n">
        <v>12</v>
      </c>
      <c r="C930" s="60" t="inlineStr">
        <is>
          <t>1000</t>
        </is>
      </c>
      <c r="D930" s="60" t="n">
        <v>1701</v>
      </c>
      <c r="E930" s="60" t="inlineStr">
        <is>
          <t>IT운영</t>
        </is>
      </c>
      <c r="F930" s="60" t="n">
        <v>62501000</v>
      </c>
      <c r="G930" s="60" t="inlineStr">
        <is>
          <t>회의비</t>
        </is>
      </c>
      <c r="H930" s="61" t="n">
        <v>304570</v>
      </c>
      <c r="J930" s="63">
        <f>IF($A930="","",IFERROR(INDEX(부서매핑!$C$5:$C$504,MATCH($D930&amp;"",부서매핑!$A$5:$A$504,0)),"미매핑"))</f>
        <v/>
      </c>
      <c r="K930" s="63">
        <f>IF($A930="","",IFERROR(INDEX(계정매핑!$C$5:$C$504,MATCH($F930&amp;"",계정매핑!$A$5:$A$504,0)),"미매핑"))</f>
        <v/>
      </c>
      <c r="L930" s="4">
        <f>IF($A930="","",VALUE($A930&amp;""))</f>
        <v/>
      </c>
      <c r="M930" s="4">
        <f>IF($A930="","",VALUE($B930&amp;""))</f>
        <v/>
      </c>
      <c r="N930" s="64">
        <f>IF($A930="","",$H930*설정!$C$15)</f>
        <v/>
      </c>
      <c r="O930" s="4">
        <f>IF($A930="","",J930&amp;"|"&amp;K930)</f>
        <v/>
      </c>
      <c r="P930" s="63">
        <f>IF($A930="","",IF(COUNTIFS(예산_원본!$T$5:$T$3004,O930,예산_원본!$B$5:$B$3004,설정!$C$8,예산_원본!$U$5:$U$3004,L930)&gt;0,"Y","N"))</f>
        <v/>
      </c>
      <c r="Q930" s="63">
        <f>IF($A930="","",IF(COUNTIF(집계!$E$7:$E$506,O930)&gt;0,"Y","N"))</f>
        <v/>
      </c>
    </row>
    <row r="931">
      <c r="A931" s="60" t="n">
        <v>2025</v>
      </c>
      <c r="B931" s="60" t="n">
        <v>12</v>
      </c>
      <c r="C931" s="60" t="inlineStr">
        <is>
          <t>1000</t>
        </is>
      </c>
      <c r="D931" s="60" t="n">
        <v>1701</v>
      </c>
      <c r="E931" s="60" t="inlineStr">
        <is>
          <t>IT운영</t>
        </is>
      </c>
      <c r="F931" s="60" t="n">
        <v>63001000</v>
      </c>
      <c r="G931" s="60" t="inlineStr">
        <is>
          <t>전산운영비-SW유지보수</t>
        </is>
      </c>
      <c r="H931" s="61" t="n">
        <v>91755510</v>
      </c>
      <c r="J931" s="63">
        <f>IF($A931="","",IFERROR(INDEX(부서매핑!$C$5:$C$504,MATCH($D931&amp;"",부서매핑!$A$5:$A$504,0)),"미매핑"))</f>
        <v/>
      </c>
      <c r="K931" s="63">
        <f>IF($A931="","",IFERROR(INDEX(계정매핑!$C$5:$C$504,MATCH($F931&amp;"",계정매핑!$A$5:$A$504,0)),"미매핑"))</f>
        <v/>
      </c>
      <c r="L931" s="4">
        <f>IF($A931="","",VALUE($A931&amp;""))</f>
        <v/>
      </c>
      <c r="M931" s="4">
        <f>IF($A931="","",VALUE($B931&amp;""))</f>
        <v/>
      </c>
      <c r="N931" s="64">
        <f>IF($A931="","",$H931*설정!$C$15)</f>
        <v/>
      </c>
      <c r="O931" s="4">
        <f>IF($A931="","",J931&amp;"|"&amp;K931)</f>
        <v/>
      </c>
      <c r="P931" s="63">
        <f>IF($A931="","",IF(COUNTIFS(예산_원본!$T$5:$T$3004,O931,예산_원본!$B$5:$B$3004,설정!$C$8,예산_원본!$U$5:$U$3004,L931)&gt;0,"Y","N"))</f>
        <v/>
      </c>
      <c r="Q931" s="63">
        <f>IF($A931="","",IF(COUNTIF(집계!$E$7:$E$506,O931)&gt;0,"Y","N"))</f>
        <v/>
      </c>
    </row>
    <row r="932">
      <c r="A932" s="60" t="n">
        <v>2025</v>
      </c>
      <c r="B932" s="60" t="n">
        <v>12</v>
      </c>
      <c r="C932" s="60" t="inlineStr">
        <is>
          <t>1000</t>
        </is>
      </c>
      <c r="D932" s="60" t="n">
        <v>1701</v>
      </c>
      <c r="E932" s="60" t="inlineStr">
        <is>
          <t>IT운영</t>
        </is>
      </c>
      <c r="F932" s="60" t="n">
        <v>63002000</v>
      </c>
      <c r="G932" s="60" t="inlineStr">
        <is>
          <t>전산운영비-클라우드</t>
        </is>
      </c>
      <c r="H932" s="61" t="n">
        <v>72064740</v>
      </c>
      <c r="J932" s="63">
        <f>IF($A932="","",IFERROR(INDEX(부서매핑!$C$5:$C$504,MATCH($D932&amp;"",부서매핑!$A$5:$A$504,0)),"미매핑"))</f>
        <v/>
      </c>
      <c r="K932" s="63">
        <f>IF($A932="","",IFERROR(INDEX(계정매핑!$C$5:$C$504,MATCH($F932&amp;"",계정매핑!$A$5:$A$504,0)),"미매핑"))</f>
        <v/>
      </c>
      <c r="L932" s="4">
        <f>IF($A932="","",VALUE($A932&amp;""))</f>
        <v/>
      </c>
      <c r="M932" s="4">
        <f>IF($A932="","",VALUE($B932&amp;""))</f>
        <v/>
      </c>
      <c r="N932" s="64">
        <f>IF($A932="","",$H932*설정!$C$15)</f>
        <v/>
      </c>
      <c r="O932" s="4">
        <f>IF($A932="","",J932&amp;"|"&amp;K932)</f>
        <v/>
      </c>
      <c r="P932" s="63">
        <f>IF($A932="","",IF(COUNTIFS(예산_원본!$T$5:$T$3004,O932,예산_원본!$B$5:$B$3004,설정!$C$8,예산_원본!$U$5:$U$3004,L932)&gt;0,"Y","N"))</f>
        <v/>
      </c>
      <c r="Q932" s="63">
        <f>IF($A932="","",IF(COUNTIF(집계!$E$7:$E$506,O932)&gt;0,"Y","N"))</f>
        <v/>
      </c>
    </row>
    <row r="933">
      <c r="A933" s="60" t="n">
        <v>2025</v>
      </c>
      <c r="B933" s="60" t="n">
        <v>12</v>
      </c>
      <c r="C933" s="60" t="inlineStr">
        <is>
          <t>1000</t>
        </is>
      </c>
      <c r="D933" s="60" t="n">
        <v>1801</v>
      </c>
      <c r="E933" s="60" t="inlineStr">
        <is>
          <t>고객서비스</t>
        </is>
      </c>
      <c r="F933" s="60" t="n">
        <v>62101000</v>
      </c>
      <c r="G933" s="60" t="inlineStr">
        <is>
          <t>여비교통비-국내</t>
        </is>
      </c>
      <c r="H933" s="61" t="n">
        <v>613110</v>
      </c>
      <c r="J933" s="63">
        <f>IF($A933="","",IFERROR(INDEX(부서매핑!$C$5:$C$504,MATCH($D933&amp;"",부서매핑!$A$5:$A$504,0)),"미매핑"))</f>
        <v/>
      </c>
      <c r="K933" s="63">
        <f>IF($A933="","",IFERROR(INDEX(계정매핑!$C$5:$C$504,MATCH($F933&amp;"",계정매핑!$A$5:$A$504,0)),"미매핑"))</f>
        <v/>
      </c>
      <c r="L933" s="4">
        <f>IF($A933="","",VALUE($A933&amp;""))</f>
        <v/>
      </c>
      <c r="M933" s="4">
        <f>IF($A933="","",VALUE($B933&amp;""))</f>
        <v/>
      </c>
      <c r="N933" s="64">
        <f>IF($A933="","",$H933*설정!$C$15)</f>
        <v/>
      </c>
      <c r="O933" s="4">
        <f>IF($A933="","",J933&amp;"|"&amp;K933)</f>
        <v/>
      </c>
      <c r="P933" s="63">
        <f>IF($A933="","",IF(COUNTIFS(예산_원본!$T$5:$T$3004,O933,예산_원본!$B$5:$B$3004,설정!$C$8,예산_원본!$U$5:$U$3004,L933)&gt;0,"Y","N"))</f>
        <v/>
      </c>
      <c r="Q933" s="63">
        <f>IF($A933="","",IF(COUNTIF(집계!$E$7:$E$506,O933)&gt;0,"Y","N"))</f>
        <v/>
      </c>
    </row>
    <row r="934">
      <c r="A934" s="60" t="n">
        <v>2025</v>
      </c>
      <c r="B934" s="60" t="n">
        <v>12</v>
      </c>
      <c r="C934" s="60" t="inlineStr">
        <is>
          <t>1000</t>
        </is>
      </c>
      <c r="D934" s="60" t="n">
        <v>1801</v>
      </c>
      <c r="E934" s="60" t="inlineStr">
        <is>
          <t>고객서비스</t>
        </is>
      </c>
      <c r="F934" s="60" t="n">
        <v>62102000</v>
      </c>
      <c r="G934" s="60" t="inlineStr">
        <is>
          <t>여비교통비-해외</t>
        </is>
      </c>
      <c r="H934" s="61" t="n">
        <v>126040</v>
      </c>
      <c r="J934" s="63">
        <f>IF($A934="","",IFERROR(INDEX(부서매핑!$C$5:$C$504,MATCH($D934&amp;"",부서매핑!$A$5:$A$504,0)),"미매핑"))</f>
        <v/>
      </c>
      <c r="K934" s="63">
        <f>IF($A934="","",IFERROR(INDEX(계정매핑!$C$5:$C$504,MATCH($F934&amp;"",계정매핑!$A$5:$A$504,0)),"미매핑"))</f>
        <v/>
      </c>
      <c r="L934" s="4">
        <f>IF($A934="","",VALUE($A934&amp;""))</f>
        <v/>
      </c>
      <c r="M934" s="4">
        <f>IF($A934="","",VALUE($B934&amp;""))</f>
        <v/>
      </c>
      <c r="N934" s="64">
        <f>IF($A934="","",$H934*설정!$C$15)</f>
        <v/>
      </c>
      <c r="O934" s="4">
        <f>IF($A934="","",J934&amp;"|"&amp;K934)</f>
        <v/>
      </c>
      <c r="P934" s="63">
        <f>IF($A934="","",IF(COUNTIFS(예산_원본!$T$5:$T$3004,O934,예산_원본!$B$5:$B$3004,설정!$C$8,예산_원본!$U$5:$U$3004,L934)&gt;0,"Y","N"))</f>
        <v/>
      </c>
      <c r="Q934" s="63">
        <f>IF($A934="","",IF(COUNTIF(집계!$E$7:$E$506,O934)&gt;0,"Y","N"))</f>
        <v/>
      </c>
    </row>
    <row r="935">
      <c r="A935" s="60" t="n">
        <v>2025</v>
      </c>
      <c r="B935" s="60" t="n">
        <v>12</v>
      </c>
      <c r="C935" s="60" t="inlineStr">
        <is>
          <t>1000</t>
        </is>
      </c>
      <c r="D935" s="60" t="n">
        <v>1801</v>
      </c>
      <c r="E935" s="60" t="inlineStr">
        <is>
          <t>고객서비스</t>
        </is>
      </c>
      <c r="F935" s="60" t="n">
        <v>62201000</v>
      </c>
      <c r="G935" s="60" t="inlineStr">
        <is>
          <t>통신비</t>
        </is>
      </c>
      <c r="H935" s="61" t="n">
        <v>17720870</v>
      </c>
      <c r="J935" s="63">
        <f>IF($A935="","",IFERROR(INDEX(부서매핑!$C$5:$C$504,MATCH($D935&amp;"",부서매핑!$A$5:$A$504,0)),"미매핑"))</f>
        <v/>
      </c>
      <c r="K935" s="63">
        <f>IF($A935="","",IFERROR(INDEX(계정매핑!$C$5:$C$504,MATCH($F935&amp;"",계정매핑!$A$5:$A$504,0)),"미매핑"))</f>
        <v/>
      </c>
      <c r="L935" s="4">
        <f>IF($A935="","",VALUE($A935&amp;""))</f>
        <v/>
      </c>
      <c r="M935" s="4">
        <f>IF($A935="","",VALUE($B935&amp;""))</f>
        <v/>
      </c>
      <c r="N935" s="64">
        <f>IF($A935="","",$H935*설정!$C$15)</f>
        <v/>
      </c>
      <c r="O935" s="4">
        <f>IF($A935="","",J935&amp;"|"&amp;K935)</f>
        <v/>
      </c>
      <c r="P935" s="63">
        <f>IF($A935="","",IF(COUNTIFS(예산_원본!$T$5:$T$3004,O935,예산_원본!$B$5:$B$3004,설정!$C$8,예산_원본!$U$5:$U$3004,L935)&gt;0,"Y","N"))</f>
        <v/>
      </c>
      <c r="Q935" s="63">
        <f>IF($A935="","",IF(COUNTIF(집계!$E$7:$E$506,O935)&gt;0,"Y","N"))</f>
        <v/>
      </c>
    </row>
    <row r="936">
      <c r="A936" s="60" t="n">
        <v>2025</v>
      </c>
      <c r="B936" s="60" t="n">
        <v>12</v>
      </c>
      <c r="C936" s="60" t="inlineStr">
        <is>
          <t>1000</t>
        </is>
      </c>
      <c r="D936" s="60" t="n">
        <v>1801</v>
      </c>
      <c r="E936" s="60" t="inlineStr">
        <is>
          <t>고객서비스</t>
        </is>
      </c>
      <c r="F936" s="60" t="n">
        <v>62301000</v>
      </c>
      <c r="G936" s="60" t="inlineStr">
        <is>
          <t>소모품비</t>
        </is>
      </c>
      <c r="H936" s="61" t="n">
        <v>1391050</v>
      </c>
      <c r="J936" s="63">
        <f>IF($A936="","",IFERROR(INDEX(부서매핑!$C$5:$C$504,MATCH($D936&amp;"",부서매핑!$A$5:$A$504,0)),"미매핑"))</f>
        <v/>
      </c>
      <c r="K936" s="63">
        <f>IF($A936="","",IFERROR(INDEX(계정매핑!$C$5:$C$504,MATCH($F936&amp;"",계정매핑!$A$5:$A$504,0)),"미매핑"))</f>
        <v/>
      </c>
      <c r="L936" s="4">
        <f>IF($A936="","",VALUE($A936&amp;""))</f>
        <v/>
      </c>
      <c r="M936" s="4">
        <f>IF($A936="","",VALUE($B936&amp;""))</f>
        <v/>
      </c>
      <c r="N936" s="64">
        <f>IF($A936="","",$H936*설정!$C$15)</f>
        <v/>
      </c>
      <c r="O936" s="4">
        <f>IF($A936="","",J936&amp;"|"&amp;K936)</f>
        <v/>
      </c>
      <c r="P936" s="63">
        <f>IF($A936="","",IF(COUNTIFS(예산_원본!$T$5:$T$3004,O936,예산_원본!$B$5:$B$3004,설정!$C$8,예산_원본!$U$5:$U$3004,L936)&gt;0,"Y","N"))</f>
        <v/>
      </c>
      <c r="Q936" s="63">
        <f>IF($A936="","",IF(COUNTIF(집계!$E$7:$E$506,O936)&gt;0,"Y","N"))</f>
        <v/>
      </c>
    </row>
    <row r="937">
      <c r="A937" s="60" t="n">
        <v>2025</v>
      </c>
      <c r="B937" s="60" t="n">
        <v>12</v>
      </c>
      <c r="C937" s="60" t="inlineStr">
        <is>
          <t>1000</t>
        </is>
      </c>
      <c r="D937" s="60" t="n">
        <v>1801</v>
      </c>
      <c r="E937" s="60" t="inlineStr">
        <is>
          <t>고객서비스</t>
        </is>
      </c>
      <c r="F937" s="60" t="n">
        <v>62401000</v>
      </c>
      <c r="G937" s="60" t="inlineStr">
        <is>
          <t>도서인쇄비</t>
        </is>
      </c>
      <c r="H937" s="61" t="n">
        <v>7862000</v>
      </c>
      <c r="J937" s="63">
        <f>IF($A937="","",IFERROR(INDEX(부서매핑!$C$5:$C$504,MATCH($D937&amp;"",부서매핑!$A$5:$A$504,0)),"미매핑"))</f>
        <v/>
      </c>
      <c r="K937" s="63">
        <f>IF($A937="","",IFERROR(INDEX(계정매핑!$C$5:$C$504,MATCH($F937&amp;"",계정매핑!$A$5:$A$504,0)),"미매핑"))</f>
        <v/>
      </c>
      <c r="L937" s="4">
        <f>IF($A937="","",VALUE($A937&amp;""))</f>
        <v/>
      </c>
      <c r="M937" s="4">
        <f>IF($A937="","",VALUE($B937&amp;""))</f>
        <v/>
      </c>
      <c r="N937" s="64">
        <f>IF($A937="","",$H937*설정!$C$15)</f>
        <v/>
      </c>
      <c r="O937" s="4">
        <f>IF($A937="","",J937&amp;"|"&amp;K937)</f>
        <v/>
      </c>
      <c r="P937" s="63">
        <f>IF($A937="","",IF(COUNTIFS(예산_원본!$T$5:$T$3004,O937,예산_원본!$B$5:$B$3004,설정!$C$8,예산_원본!$U$5:$U$3004,L937)&gt;0,"Y","N"))</f>
        <v/>
      </c>
      <c r="Q937" s="63">
        <f>IF($A937="","",IF(COUNTIF(집계!$E$7:$E$506,O937)&gt;0,"Y","N"))</f>
        <v/>
      </c>
    </row>
    <row r="938">
      <c r="A938" s="60" t="n">
        <v>2025</v>
      </c>
      <c r="B938" s="60" t="n">
        <v>12</v>
      </c>
      <c r="C938" s="60" t="inlineStr">
        <is>
          <t>1000</t>
        </is>
      </c>
      <c r="D938" s="60" t="n">
        <v>1801</v>
      </c>
      <c r="E938" s="60" t="inlineStr">
        <is>
          <t>고객서비스</t>
        </is>
      </c>
      <c r="F938" s="60" t="n">
        <v>62501000</v>
      </c>
      <c r="G938" s="60" t="inlineStr">
        <is>
          <t>회의비</t>
        </is>
      </c>
      <c r="H938" s="61" t="n">
        <v>554970</v>
      </c>
      <c r="J938" s="63">
        <f>IF($A938="","",IFERROR(INDEX(부서매핑!$C$5:$C$504,MATCH($D938&amp;"",부서매핑!$A$5:$A$504,0)),"미매핑"))</f>
        <v/>
      </c>
      <c r="K938" s="63">
        <f>IF($A938="","",IFERROR(INDEX(계정매핑!$C$5:$C$504,MATCH($F938&amp;"",계정매핑!$A$5:$A$504,0)),"미매핑"))</f>
        <v/>
      </c>
      <c r="L938" s="4">
        <f>IF($A938="","",VALUE($A938&amp;""))</f>
        <v/>
      </c>
      <c r="M938" s="4">
        <f>IF($A938="","",VALUE($B938&amp;""))</f>
        <v/>
      </c>
      <c r="N938" s="64">
        <f>IF($A938="","",$H938*설정!$C$15)</f>
        <v/>
      </c>
      <c r="O938" s="4">
        <f>IF($A938="","",J938&amp;"|"&amp;K938)</f>
        <v/>
      </c>
      <c r="P938" s="63">
        <f>IF($A938="","",IF(COUNTIFS(예산_원본!$T$5:$T$3004,O938,예산_원본!$B$5:$B$3004,설정!$C$8,예산_원본!$U$5:$U$3004,L938)&gt;0,"Y","N"))</f>
        <v/>
      </c>
      <c r="Q938" s="63">
        <f>IF($A938="","",IF(COUNTIF(집계!$E$7:$E$506,O938)&gt;0,"Y","N"))</f>
        <v/>
      </c>
    </row>
    <row r="939">
      <c r="A939" s="60" t="n">
        <v>2025</v>
      </c>
      <c r="B939" s="60" t="n">
        <v>12</v>
      </c>
      <c r="C939" s="60" t="inlineStr">
        <is>
          <t>1000</t>
        </is>
      </c>
      <c r="D939" s="60" t="n">
        <v>1801</v>
      </c>
      <c r="E939" s="60" t="inlineStr">
        <is>
          <t>고객서비스</t>
        </is>
      </c>
      <c r="F939" s="60" t="n">
        <v>62901000</v>
      </c>
      <c r="G939" s="60" t="inlineStr">
        <is>
          <t>지급수수료-컨설팅</t>
        </is>
      </c>
      <c r="H939" s="61" t="n">
        <v>28321720</v>
      </c>
      <c r="J939" s="63">
        <f>IF($A939="","",IFERROR(INDEX(부서매핑!$C$5:$C$504,MATCH($D939&amp;"",부서매핑!$A$5:$A$504,0)),"미매핑"))</f>
        <v/>
      </c>
      <c r="K939" s="63">
        <f>IF($A939="","",IFERROR(INDEX(계정매핑!$C$5:$C$504,MATCH($F939&amp;"",계정매핑!$A$5:$A$504,0)),"미매핑"))</f>
        <v/>
      </c>
      <c r="L939" s="4">
        <f>IF($A939="","",VALUE($A939&amp;""))</f>
        <v/>
      </c>
      <c r="M939" s="4">
        <f>IF($A939="","",VALUE($B939&amp;""))</f>
        <v/>
      </c>
      <c r="N939" s="64">
        <f>IF($A939="","",$H939*설정!$C$15)</f>
        <v/>
      </c>
      <c r="O939" s="4">
        <f>IF($A939="","",J939&amp;"|"&amp;K939)</f>
        <v/>
      </c>
      <c r="P939" s="63">
        <f>IF($A939="","",IF(COUNTIFS(예산_원본!$T$5:$T$3004,O939,예산_원본!$B$5:$B$3004,설정!$C$8,예산_원본!$U$5:$U$3004,L939)&gt;0,"Y","N"))</f>
        <v/>
      </c>
      <c r="Q939" s="63">
        <f>IF($A939="","",IF(COUNTIF(집계!$E$7:$E$506,O939)&gt;0,"Y","N"))</f>
        <v/>
      </c>
    </row>
    <row r="940">
      <c r="A940" s="60" t="n">
        <v>2025</v>
      </c>
      <c r="B940" s="60" t="n">
        <v>12</v>
      </c>
      <c r="C940" s="60" t="inlineStr">
        <is>
          <t>1000</t>
        </is>
      </c>
      <c r="D940" s="60" t="n">
        <v>1801</v>
      </c>
      <c r="E940" s="60" t="inlineStr">
        <is>
          <t>고객서비스</t>
        </is>
      </c>
      <c r="F940" s="60" t="n">
        <v>62902000</v>
      </c>
      <c r="G940" s="60" t="inlineStr">
        <is>
          <t>지급수수료-기타</t>
        </is>
      </c>
      <c r="H940" s="61" t="n">
        <v>13441970</v>
      </c>
      <c r="J940" s="63">
        <f>IF($A940="","",IFERROR(INDEX(부서매핑!$C$5:$C$504,MATCH($D940&amp;"",부서매핑!$A$5:$A$504,0)),"미매핑"))</f>
        <v/>
      </c>
      <c r="K940" s="63">
        <f>IF($A940="","",IFERROR(INDEX(계정매핑!$C$5:$C$504,MATCH($F940&amp;"",계정매핑!$A$5:$A$504,0)),"미매핑"))</f>
        <v/>
      </c>
      <c r="L940" s="4">
        <f>IF($A940="","",VALUE($A940&amp;""))</f>
        <v/>
      </c>
      <c r="M940" s="4">
        <f>IF($A940="","",VALUE($B940&amp;""))</f>
        <v/>
      </c>
      <c r="N940" s="64">
        <f>IF($A940="","",$H940*설정!$C$15)</f>
        <v/>
      </c>
      <c r="O940" s="4">
        <f>IF($A940="","",J940&amp;"|"&amp;K940)</f>
        <v/>
      </c>
      <c r="P940" s="63">
        <f>IF($A940="","",IF(COUNTIFS(예산_원본!$T$5:$T$3004,O940,예산_원본!$B$5:$B$3004,설정!$C$8,예산_원본!$U$5:$U$3004,L940)&gt;0,"Y","N"))</f>
        <v/>
      </c>
      <c r="Q940" s="63">
        <f>IF($A940="","",IF(COUNTIF(집계!$E$7:$E$506,O940)&gt;0,"Y","N"))</f>
        <v/>
      </c>
    </row>
    <row r="941">
      <c r="A941" s="60" t="n">
        <v>2026</v>
      </c>
      <c r="B941" s="60" t="n">
        <v>1</v>
      </c>
      <c r="C941" s="60" t="inlineStr">
        <is>
          <t>1000</t>
        </is>
      </c>
      <c r="D941" s="60" t="n">
        <v>1101</v>
      </c>
      <c r="E941" s="60" t="inlineStr">
        <is>
          <t>경영기획</t>
        </is>
      </c>
      <c r="F941" s="60" t="n">
        <v>62101000</v>
      </c>
      <c r="G941" s="60" t="inlineStr">
        <is>
          <t>여비교통비-국내</t>
        </is>
      </c>
      <c r="H941" s="61" t="n">
        <v>2356900</v>
      </c>
      <c r="J941" s="63">
        <f>IF($A941="","",IFERROR(INDEX(부서매핑!$C$5:$C$504,MATCH($D941&amp;"",부서매핑!$A$5:$A$504,0)),"미매핑"))</f>
        <v/>
      </c>
      <c r="K941" s="63">
        <f>IF($A941="","",IFERROR(INDEX(계정매핑!$C$5:$C$504,MATCH($F941&amp;"",계정매핑!$A$5:$A$504,0)),"미매핑"))</f>
        <v/>
      </c>
      <c r="L941" s="4">
        <f>IF($A941="","",VALUE($A941&amp;""))</f>
        <v/>
      </c>
      <c r="M941" s="4">
        <f>IF($A941="","",VALUE($B941&amp;""))</f>
        <v/>
      </c>
      <c r="N941" s="64">
        <f>IF($A941="","",$H941*설정!$C$15)</f>
        <v/>
      </c>
      <c r="O941" s="4">
        <f>IF($A941="","",J941&amp;"|"&amp;K941)</f>
        <v/>
      </c>
      <c r="P941" s="63">
        <f>IF($A941="","",IF(COUNTIFS(예산_원본!$T$5:$T$3004,O941,예산_원본!$B$5:$B$3004,설정!$C$8,예산_원본!$U$5:$U$3004,L941)&gt;0,"Y","N"))</f>
        <v/>
      </c>
      <c r="Q941" s="63">
        <f>IF($A941="","",IF(COUNTIF(집계!$E$7:$E$506,O941)&gt;0,"Y","N"))</f>
        <v/>
      </c>
    </row>
    <row r="942">
      <c r="A942" s="60" t="n">
        <v>2026</v>
      </c>
      <c r="B942" s="60" t="n">
        <v>1</v>
      </c>
      <c r="C942" s="60" t="inlineStr">
        <is>
          <t>1000</t>
        </is>
      </c>
      <c r="D942" s="60" t="n">
        <v>1101</v>
      </c>
      <c r="E942" s="60" t="inlineStr">
        <is>
          <t>경영기획</t>
        </is>
      </c>
      <c r="F942" s="60" t="n">
        <v>62102000</v>
      </c>
      <c r="G942" s="60" t="inlineStr">
        <is>
          <t>여비교통비-해외</t>
        </is>
      </c>
      <c r="H942" s="61" t="n">
        <v>405100</v>
      </c>
      <c r="J942" s="63">
        <f>IF($A942="","",IFERROR(INDEX(부서매핑!$C$5:$C$504,MATCH($D942&amp;"",부서매핑!$A$5:$A$504,0)),"미매핑"))</f>
        <v/>
      </c>
      <c r="K942" s="63">
        <f>IF($A942="","",IFERROR(INDEX(계정매핑!$C$5:$C$504,MATCH($F942&amp;"",계정매핑!$A$5:$A$504,0)),"미매핑"))</f>
        <v/>
      </c>
      <c r="L942" s="4">
        <f>IF($A942="","",VALUE($A942&amp;""))</f>
        <v/>
      </c>
      <c r="M942" s="4">
        <f>IF($A942="","",VALUE($B942&amp;""))</f>
        <v/>
      </c>
      <c r="N942" s="64">
        <f>IF($A942="","",$H942*설정!$C$15)</f>
        <v/>
      </c>
      <c r="O942" s="4">
        <f>IF($A942="","",J942&amp;"|"&amp;K942)</f>
        <v/>
      </c>
      <c r="P942" s="63">
        <f>IF($A942="","",IF(COUNTIFS(예산_원본!$T$5:$T$3004,O942,예산_원본!$B$5:$B$3004,설정!$C$8,예산_원본!$U$5:$U$3004,L942)&gt;0,"Y","N"))</f>
        <v/>
      </c>
      <c r="Q942" s="63">
        <f>IF($A942="","",IF(COUNTIF(집계!$E$7:$E$506,O942)&gt;0,"Y","N"))</f>
        <v/>
      </c>
    </row>
    <row r="943">
      <c r="A943" s="60" t="n">
        <v>2026</v>
      </c>
      <c r="B943" s="60" t="n">
        <v>1</v>
      </c>
      <c r="C943" s="60" t="inlineStr">
        <is>
          <t>1000</t>
        </is>
      </c>
      <c r="D943" s="60" t="n">
        <v>1101</v>
      </c>
      <c r="E943" s="60" t="inlineStr">
        <is>
          <t>경영기획</t>
        </is>
      </c>
      <c r="F943" s="60" t="n">
        <v>62201000</v>
      </c>
      <c r="G943" s="60" t="inlineStr">
        <is>
          <t>통신비</t>
        </is>
      </c>
      <c r="H943" s="61" t="n">
        <v>925840</v>
      </c>
      <c r="J943" s="63">
        <f>IF($A943="","",IFERROR(INDEX(부서매핑!$C$5:$C$504,MATCH($D943&amp;"",부서매핑!$A$5:$A$504,0)),"미매핑"))</f>
        <v/>
      </c>
      <c r="K943" s="63">
        <f>IF($A943="","",IFERROR(INDEX(계정매핑!$C$5:$C$504,MATCH($F943&amp;"",계정매핑!$A$5:$A$504,0)),"미매핑"))</f>
        <v/>
      </c>
      <c r="L943" s="4">
        <f>IF($A943="","",VALUE($A943&amp;""))</f>
        <v/>
      </c>
      <c r="M943" s="4">
        <f>IF($A943="","",VALUE($B943&amp;""))</f>
        <v/>
      </c>
      <c r="N943" s="64">
        <f>IF($A943="","",$H943*설정!$C$15)</f>
        <v/>
      </c>
      <c r="O943" s="4">
        <f>IF($A943="","",J943&amp;"|"&amp;K943)</f>
        <v/>
      </c>
      <c r="P943" s="63">
        <f>IF($A943="","",IF(COUNTIFS(예산_원본!$T$5:$T$3004,O943,예산_원본!$B$5:$B$3004,설정!$C$8,예산_원본!$U$5:$U$3004,L943)&gt;0,"Y","N"))</f>
        <v/>
      </c>
      <c r="Q943" s="63">
        <f>IF($A943="","",IF(COUNTIF(집계!$E$7:$E$506,O943)&gt;0,"Y","N"))</f>
        <v/>
      </c>
    </row>
    <row r="944">
      <c r="A944" s="60" t="n">
        <v>2026</v>
      </c>
      <c r="B944" s="60" t="n">
        <v>1</v>
      </c>
      <c r="C944" s="60" t="inlineStr">
        <is>
          <t>1000</t>
        </is>
      </c>
      <c r="D944" s="60" t="n">
        <v>1101</v>
      </c>
      <c r="E944" s="60" t="inlineStr">
        <is>
          <t>경영기획</t>
        </is>
      </c>
      <c r="F944" s="60" t="n">
        <v>62301000</v>
      </c>
      <c r="G944" s="60" t="inlineStr">
        <is>
          <t>소모품비</t>
        </is>
      </c>
      <c r="H944" s="61" t="n">
        <v>561230</v>
      </c>
      <c r="J944" s="63">
        <f>IF($A944="","",IFERROR(INDEX(부서매핑!$C$5:$C$504,MATCH($D944&amp;"",부서매핑!$A$5:$A$504,0)),"미매핑"))</f>
        <v/>
      </c>
      <c r="K944" s="63">
        <f>IF($A944="","",IFERROR(INDEX(계정매핑!$C$5:$C$504,MATCH($F944&amp;"",계정매핑!$A$5:$A$504,0)),"미매핑"))</f>
        <v/>
      </c>
      <c r="L944" s="4">
        <f>IF($A944="","",VALUE($A944&amp;""))</f>
        <v/>
      </c>
      <c r="M944" s="4">
        <f>IF($A944="","",VALUE($B944&amp;""))</f>
        <v/>
      </c>
      <c r="N944" s="64">
        <f>IF($A944="","",$H944*설정!$C$15)</f>
        <v/>
      </c>
      <c r="O944" s="4">
        <f>IF($A944="","",J944&amp;"|"&amp;K944)</f>
        <v/>
      </c>
      <c r="P944" s="63">
        <f>IF($A944="","",IF(COUNTIFS(예산_원본!$T$5:$T$3004,O944,예산_원본!$B$5:$B$3004,설정!$C$8,예산_원본!$U$5:$U$3004,L944)&gt;0,"Y","N"))</f>
        <v/>
      </c>
      <c r="Q944" s="63">
        <f>IF($A944="","",IF(COUNTIF(집계!$E$7:$E$506,O944)&gt;0,"Y","N"))</f>
        <v/>
      </c>
    </row>
    <row r="945">
      <c r="A945" s="60" t="n">
        <v>2026</v>
      </c>
      <c r="B945" s="60" t="n">
        <v>1</v>
      </c>
      <c r="C945" s="60" t="inlineStr">
        <is>
          <t>1000</t>
        </is>
      </c>
      <c r="D945" s="60" t="n">
        <v>1101</v>
      </c>
      <c r="E945" s="60" t="inlineStr">
        <is>
          <t>경영기획</t>
        </is>
      </c>
      <c r="F945" s="60" t="n">
        <v>62501000</v>
      </c>
      <c r="G945" s="60" t="inlineStr">
        <is>
          <t>회의비</t>
        </is>
      </c>
      <c r="H945" s="61" t="n">
        <v>797140</v>
      </c>
      <c r="J945" s="63">
        <f>IF($A945="","",IFERROR(INDEX(부서매핑!$C$5:$C$504,MATCH($D945&amp;"",부서매핑!$A$5:$A$504,0)),"미매핑"))</f>
        <v/>
      </c>
      <c r="K945" s="63">
        <f>IF($A945="","",IFERROR(INDEX(계정매핑!$C$5:$C$504,MATCH($F945&amp;"",계정매핑!$A$5:$A$504,0)),"미매핑"))</f>
        <v/>
      </c>
      <c r="L945" s="4">
        <f>IF($A945="","",VALUE($A945&amp;""))</f>
        <v/>
      </c>
      <c r="M945" s="4">
        <f>IF($A945="","",VALUE($B945&amp;""))</f>
        <v/>
      </c>
      <c r="N945" s="64">
        <f>IF($A945="","",$H945*설정!$C$15)</f>
        <v/>
      </c>
      <c r="O945" s="4">
        <f>IF($A945="","",J945&amp;"|"&amp;K945)</f>
        <v/>
      </c>
      <c r="P945" s="63">
        <f>IF($A945="","",IF(COUNTIFS(예산_원본!$T$5:$T$3004,O945,예산_원본!$B$5:$B$3004,설정!$C$8,예산_원본!$U$5:$U$3004,L945)&gt;0,"Y","N"))</f>
        <v/>
      </c>
      <c r="Q945" s="63">
        <f>IF($A945="","",IF(COUNTIF(집계!$E$7:$E$506,O945)&gt;0,"Y","N"))</f>
        <v/>
      </c>
    </row>
    <row r="946">
      <c r="A946" s="60" t="n">
        <v>2026</v>
      </c>
      <c r="B946" s="60" t="n">
        <v>1</v>
      </c>
      <c r="C946" s="60" t="inlineStr">
        <is>
          <t>1000</t>
        </is>
      </c>
      <c r="D946" s="60" t="n">
        <v>1101</v>
      </c>
      <c r="E946" s="60" t="inlineStr">
        <is>
          <t>경영기획</t>
        </is>
      </c>
      <c r="F946" s="60" t="n">
        <v>62601000</v>
      </c>
      <c r="G946" s="60" t="inlineStr">
        <is>
          <t>업무추진비</t>
        </is>
      </c>
      <c r="H946" s="61" t="n">
        <v>3973790</v>
      </c>
      <c r="J946" s="63">
        <f>IF($A946="","",IFERROR(INDEX(부서매핑!$C$5:$C$504,MATCH($D946&amp;"",부서매핑!$A$5:$A$504,0)),"미매핑"))</f>
        <v/>
      </c>
      <c r="K946" s="63">
        <f>IF($A946="","",IFERROR(INDEX(계정매핑!$C$5:$C$504,MATCH($F946&amp;"",계정매핑!$A$5:$A$504,0)),"미매핑"))</f>
        <v/>
      </c>
      <c r="L946" s="4">
        <f>IF($A946="","",VALUE($A946&amp;""))</f>
        <v/>
      </c>
      <c r="M946" s="4">
        <f>IF($A946="","",VALUE($B946&amp;""))</f>
        <v/>
      </c>
      <c r="N946" s="64">
        <f>IF($A946="","",$H946*설정!$C$15)</f>
        <v/>
      </c>
      <c r="O946" s="4">
        <f>IF($A946="","",J946&amp;"|"&amp;K946)</f>
        <v/>
      </c>
      <c r="P946" s="63">
        <f>IF($A946="","",IF(COUNTIFS(예산_원본!$T$5:$T$3004,O946,예산_원본!$B$5:$B$3004,설정!$C$8,예산_원본!$U$5:$U$3004,L946)&gt;0,"Y","N"))</f>
        <v/>
      </c>
      <c r="Q946" s="63">
        <f>IF($A946="","",IF(COUNTIF(집계!$E$7:$E$506,O946)&gt;0,"Y","N"))</f>
        <v/>
      </c>
    </row>
    <row r="947">
      <c r="A947" s="60" t="n">
        <v>2026</v>
      </c>
      <c r="B947" s="60" t="n">
        <v>1</v>
      </c>
      <c r="C947" s="60" t="inlineStr">
        <is>
          <t>1000</t>
        </is>
      </c>
      <c r="D947" s="60" t="n">
        <v>1101</v>
      </c>
      <c r="E947" s="60" t="inlineStr">
        <is>
          <t>경영기획</t>
        </is>
      </c>
      <c r="F947" s="60" t="n">
        <v>62901000</v>
      </c>
      <c r="G947" s="60" t="inlineStr">
        <is>
          <t>지급수수료-컨설팅</t>
        </is>
      </c>
      <c r="H947" s="61" t="n">
        <v>14256160</v>
      </c>
      <c r="J947" s="63">
        <f>IF($A947="","",IFERROR(INDEX(부서매핑!$C$5:$C$504,MATCH($D947&amp;"",부서매핑!$A$5:$A$504,0)),"미매핑"))</f>
        <v/>
      </c>
      <c r="K947" s="63">
        <f>IF($A947="","",IFERROR(INDEX(계정매핑!$C$5:$C$504,MATCH($F947&amp;"",계정매핑!$A$5:$A$504,0)),"미매핑"))</f>
        <v/>
      </c>
      <c r="L947" s="4">
        <f>IF($A947="","",VALUE($A947&amp;""))</f>
        <v/>
      </c>
      <c r="M947" s="4">
        <f>IF($A947="","",VALUE($B947&amp;""))</f>
        <v/>
      </c>
      <c r="N947" s="64">
        <f>IF($A947="","",$H947*설정!$C$15)</f>
        <v/>
      </c>
      <c r="O947" s="4">
        <f>IF($A947="","",J947&amp;"|"&amp;K947)</f>
        <v/>
      </c>
      <c r="P947" s="63">
        <f>IF($A947="","",IF(COUNTIFS(예산_원본!$T$5:$T$3004,O947,예산_원본!$B$5:$B$3004,설정!$C$8,예산_원본!$U$5:$U$3004,L947)&gt;0,"Y","N"))</f>
        <v/>
      </c>
      <c r="Q947" s="63">
        <f>IF($A947="","",IF(COUNTIF(집계!$E$7:$E$506,O947)&gt;0,"Y","N"))</f>
        <v/>
      </c>
    </row>
    <row r="948">
      <c r="A948" s="60" t="n">
        <v>2026</v>
      </c>
      <c r="B948" s="60" t="n">
        <v>1</v>
      </c>
      <c r="C948" s="60" t="inlineStr">
        <is>
          <t>1000</t>
        </is>
      </c>
      <c r="D948" s="60" t="n">
        <v>1101</v>
      </c>
      <c r="E948" s="60" t="inlineStr">
        <is>
          <t>경영기획</t>
        </is>
      </c>
      <c r="F948" s="60" t="n">
        <v>62902000</v>
      </c>
      <c r="G948" s="60" t="inlineStr">
        <is>
          <t>지급수수료-기타</t>
        </is>
      </c>
      <c r="H948" s="61" t="n">
        <v>6209640</v>
      </c>
      <c r="J948" s="63">
        <f>IF($A948="","",IFERROR(INDEX(부서매핑!$C$5:$C$504,MATCH($D948&amp;"",부서매핑!$A$5:$A$504,0)),"미매핑"))</f>
        <v/>
      </c>
      <c r="K948" s="63">
        <f>IF($A948="","",IFERROR(INDEX(계정매핑!$C$5:$C$504,MATCH($F948&amp;"",계정매핑!$A$5:$A$504,0)),"미매핑"))</f>
        <v/>
      </c>
      <c r="L948" s="4">
        <f>IF($A948="","",VALUE($A948&amp;""))</f>
        <v/>
      </c>
      <c r="M948" s="4">
        <f>IF($A948="","",VALUE($B948&amp;""))</f>
        <v/>
      </c>
      <c r="N948" s="64">
        <f>IF($A948="","",$H948*설정!$C$15)</f>
        <v/>
      </c>
      <c r="O948" s="4">
        <f>IF($A948="","",J948&amp;"|"&amp;K948)</f>
        <v/>
      </c>
      <c r="P948" s="63">
        <f>IF($A948="","",IF(COUNTIFS(예산_원본!$T$5:$T$3004,O948,예산_원본!$B$5:$B$3004,설정!$C$8,예산_원본!$U$5:$U$3004,L948)&gt;0,"Y","N"))</f>
        <v/>
      </c>
      <c r="Q948" s="63">
        <f>IF($A948="","",IF(COUNTIF(집계!$E$7:$E$506,O948)&gt;0,"Y","N"))</f>
        <v/>
      </c>
    </row>
    <row r="949">
      <c r="A949" s="60" t="n">
        <v>2026</v>
      </c>
      <c r="B949" s="60" t="n">
        <v>1</v>
      </c>
      <c r="C949" s="60" t="inlineStr">
        <is>
          <t>1000</t>
        </is>
      </c>
      <c r="D949" s="60" t="n">
        <v>1201</v>
      </c>
      <c r="E949" s="60" t="inlineStr">
        <is>
          <t>재무회계</t>
        </is>
      </c>
      <c r="F949" s="60" t="n">
        <v>62101000</v>
      </c>
      <c r="G949" s="60" t="inlineStr">
        <is>
          <t>여비교통비-국내</t>
        </is>
      </c>
      <c r="H949" s="61" t="n">
        <v>970080</v>
      </c>
      <c r="J949" s="63">
        <f>IF($A949="","",IFERROR(INDEX(부서매핑!$C$5:$C$504,MATCH($D949&amp;"",부서매핑!$A$5:$A$504,0)),"미매핑"))</f>
        <v/>
      </c>
      <c r="K949" s="63">
        <f>IF($A949="","",IFERROR(INDEX(계정매핑!$C$5:$C$504,MATCH($F949&amp;"",계정매핑!$A$5:$A$504,0)),"미매핑"))</f>
        <v/>
      </c>
      <c r="L949" s="4">
        <f>IF($A949="","",VALUE($A949&amp;""))</f>
        <v/>
      </c>
      <c r="M949" s="4">
        <f>IF($A949="","",VALUE($B949&amp;""))</f>
        <v/>
      </c>
      <c r="N949" s="64">
        <f>IF($A949="","",$H949*설정!$C$15)</f>
        <v/>
      </c>
      <c r="O949" s="4">
        <f>IF($A949="","",J949&amp;"|"&amp;K949)</f>
        <v/>
      </c>
      <c r="P949" s="63">
        <f>IF($A949="","",IF(COUNTIFS(예산_원본!$T$5:$T$3004,O949,예산_원본!$B$5:$B$3004,설정!$C$8,예산_원본!$U$5:$U$3004,L949)&gt;0,"Y","N"))</f>
        <v/>
      </c>
      <c r="Q949" s="63">
        <f>IF($A949="","",IF(COUNTIF(집계!$E$7:$E$506,O949)&gt;0,"Y","N"))</f>
        <v/>
      </c>
    </row>
    <row r="950">
      <c r="A950" s="60" t="n">
        <v>2026</v>
      </c>
      <c r="B950" s="60" t="n">
        <v>1</v>
      </c>
      <c r="C950" s="60" t="inlineStr">
        <is>
          <t>1000</t>
        </is>
      </c>
      <c r="D950" s="60" t="n">
        <v>1201</v>
      </c>
      <c r="E950" s="60" t="inlineStr">
        <is>
          <t>재무회계</t>
        </is>
      </c>
      <c r="F950" s="60" t="n">
        <v>62102000</v>
      </c>
      <c r="G950" s="60" t="inlineStr">
        <is>
          <t>여비교통비-해외</t>
        </is>
      </c>
      <c r="H950" s="61" t="n">
        <v>194880</v>
      </c>
      <c r="J950" s="63">
        <f>IF($A950="","",IFERROR(INDEX(부서매핑!$C$5:$C$504,MATCH($D950&amp;"",부서매핑!$A$5:$A$504,0)),"미매핑"))</f>
        <v/>
      </c>
      <c r="K950" s="63">
        <f>IF($A950="","",IFERROR(INDEX(계정매핑!$C$5:$C$504,MATCH($F950&amp;"",계정매핑!$A$5:$A$504,0)),"미매핑"))</f>
        <v/>
      </c>
      <c r="L950" s="4">
        <f>IF($A950="","",VALUE($A950&amp;""))</f>
        <v/>
      </c>
      <c r="M950" s="4">
        <f>IF($A950="","",VALUE($B950&amp;""))</f>
        <v/>
      </c>
      <c r="N950" s="64">
        <f>IF($A950="","",$H950*설정!$C$15)</f>
        <v/>
      </c>
      <c r="O950" s="4">
        <f>IF($A950="","",J950&amp;"|"&amp;K950)</f>
        <v/>
      </c>
      <c r="P950" s="63">
        <f>IF($A950="","",IF(COUNTIFS(예산_원본!$T$5:$T$3004,O950,예산_원본!$B$5:$B$3004,설정!$C$8,예산_원본!$U$5:$U$3004,L950)&gt;0,"Y","N"))</f>
        <v/>
      </c>
      <c r="Q950" s="63">
        <f>IF($A950="","",IF(COUNTIF(집계!$E$7:$E$506,O950)&gt;0,"Y","N"))</f>
        <v/>
      </c>
    </row>
    <row r="951">
      <c r="A951" s="60" t="n">
        <v>2026</v>
      </c>
      <c r="B951" s="60" t="n">
        <v>1</v>
      </c>
      <c r="C951" s="60" t="inlineStr">
        <is>
          <t>1000</t>
        </is>
      </c>
      <c r="D951" s="60" t="n">
        <v>1201</v>
      </c>
      <c r="E951" s="60" t="inlineStr">
        <is>
          <t>재무회계</t>
        </is>
      </c>
      <c r="F951" s="60" t="n">
        <v>62201000</v>
      </c>
      <c r="G951" s="60" t="inlineStr">
        <is>
          <t>통신비</t>
        </is>
      </c>
      <c r="H951" s="61" t="n">
        <v>500150</v>
      </c>
      <c r="J951" s="63">
        <f>IF($A951="","",IFERROR(INDEX(부서매핑!$C$5:$C$504,MATCH($D951&amp;"",부서매핑!$A$5:$A$504,0)),"미매핑"))</f>
        <v/>
      </c>
      <c r="K951" s="63">
        <f>IF($A951="","",IFERROR(INDEX(계정매핑!$C$5:$C$504,MATCH($F951&amp;"",계정매핑!$A$5:$A$504,0)),"미매핑"))</f>
        <v/>
      </c>
      <c r="L951" s="4">
        <f>IF($A951="","",VALUE($A951&amp;""))</f>
        <v/>
      </c>
      <c r="M951" s="4">
        <f>IF($A951="","",VALUE($B951&amp;""))</f>
        <v/>
      </c>
      <c r="N951" s="64">
        <f>IF($A951="","",$H951*설정!$C$15)</f>
        <v/>
      </c>
      <c r="O951" s="4">
        <f>IF($A951="","",J951&amp;"|"&amp;K951)</f>
        <v/>
      </c>
      <c r="P951" s="63">
        <f>IF($A951="","",IF(COUNTIFS(예산_원본!$T$5:$T$3004,O951,예산_원본!$B$5:$B$3004,설정!$C$8,예산_원본!$U$5:$U$3004,L951)&gt;0,"Y","N"))</f>
        <v/>
      </c>
      <c r="Q951" s="63">
        <f>IF($A951="","",IF(COUNTIF(집계!$E$7:$E$506,O951)&gt;0,"Y","N"))</f>
        <v/>
      </c>
    </row>
    <row r="952">
      <c r="A952" s="60" t="n">
        <v>2026</v>
      </c>
      <c r="B952" s="60" t="n">
        <v>1</v>
      </c>
      <c r="C952" s="60" t="inlineStr">
        <is>
          <t>1000</t>
        </is>
      </c>
      <c r="D952" s="60" t="n">
        <v>1201</v>
      </c>
      <c r="E952" s="60" t="inlineStr">
        <is>
          <t>재무회계</t>
        </is>
      </c>
      <c r="F952" s="60" t="n">
        <v>62301000</v>
      </c>
      <c r="G952" s="60" t="inlineStr">
        <is>
          <t>소모품비</t>
        </is>
      </c>
      <c r="H952" s="61" t="n">
        <v>670580</v>
      </c>
      <c r="J952" s="63">
        <f>IF($A952="","",IFERROR(INDEX(부서매핑!$C$5:$C$504,MATCH($D952&amp;"",부서매핑!$A$5:$A$504,0)),"미매핑"))</f>
        <v/>
      </c>
      <c r="K952" s="63">
        <f>IF($A952="","",IFERROR(INDEX(계정매핑!$C$5:$C$504,MATCH($F952&amp;"",계정매핑!$A$5:$A$504,0)),"미매핑"))</f>
        <v/>
      </c>
      <c r="L952" s="4">
        <f>IF($A952="","",VALUE($A952&amp;""))</f>
        <v/>
      </c>
      <c r="M952" s="4">
        <f>IF($A952="","",VALUE($B952&amp;""))</f>
        <v/>
      </c>
      <c r="N952" s="64">
        <f>IF($A952="","",$H952*설정!$C$15)</f>
        <v/>
      </c>
      <c r="O952" s="4">
        <f>IF($A952="","",J952&amp;"|"&amp;K952)</f>
        <v/>
      </c>
      <c r="P952" s="63">
        <f>IF($A952="","",IF(COUNTIFS(예산_원본!$T$5:$T$3004,O952,예산_원본!$B$5:$B$3004,설정!$C$8,예산_원본!$U$5:$U$3004,L952)&gt;0,"Y","N"))</f>
        <v/>
      </c>
      <c r="Q952" s="63">
        <f>IF($A952="","",IF(COUNTIF(집계!$E$7:$E$506,O952)&gt;0,"Y","N"))</f>
        <v/>
      </c>
    </row>
    <row r="953">
      <c r="A953" s="60" t="n">
        <v>2026</v>
      </c>
      <c r="B953" s="60" t="n">
        <v>1</v>
      </c>
      <c r="C953" s="60" t="inlineStr">
        <is>
          <t>1000</t>
        </is>
      </c>
      <c r="D953" s="60" t="n">
        <v>1201</v>
      </c>
      <c r="E953" s="60" t="inlineStr">
        <is>
          <t>재무회계</t>
        </is>
      </c>
      <c r="F953" s="60" t="n">
        <v>62501000</v>
      </c>
      <c r="G953" s="60" t="inlineStr">
        <is>
          <t>회의비</t>
        </is>
      </c>
      <c r="H953" s="61" t="n">
        <v>492300</v>
      </c>
      <c r="J953" s="63">
        <f>IF($A953="","",IFERROR(INDEX(부서매핑!$C$5:$C$504,MATCH($D953&amp;"",부서매핑!$A$5:$A$504,0)),"미매핑"))</f>
        <v/>
      </c>
      <c r="K953" s="63">
        <f>IF($A953="","",IFERROR(INDEX(계정매핑!$C$5:$C$504,MATCH($F953&amp;"",계정매핑!$A$5:$A$504,0)),"미매핑"))</f>
        <v/>
      </c>
      <c r="L953" s="4">
        <f>IF($A953="","",VALUE($A953&amp;""))</f>
        <v/>
      </c>
      <c r="M953" s="4">
        <f>IF($A953="","",VALUE($B953&amp;""))</f>
        <v/>
      </c>
      <c r="N953" s="64">
        <f>IF($A953="","",$H953*설정!$C$15)</f>
        <v/>
      </c>
      <c r="O953" s="4">
        <f>IF($A953="","",J953&amp;"|"&amp;K953)</f>
        <v/>
      </c>
      <c r="P953" s="63">
        <f>IF($A953="","",IF(COUNTIFS(예산_원본!$T$5:$T$3004,O953,예산_원본!$B$5:$B$3004,설정!$C$8,예산_원본!$U$5:$U$3004,L953)&gt;0,"Y","N"))</f>
        <v/>
      </c>
      <c r="Q953" s="63">
        <f>IF($A953="","",IF(COUNTIF(집계!$E$7:$E$506,O953)&gt;0,"Y","N"))</f>
        <v/>
      </c>
    </row>
    <row r="954">
      <c r="A954" s="60" t="n">
        <v>2026</v>
      </c>
      <c r="B954" s="60" t="n">
        <v>1</v>
      </c>
      <c r="C954" s="60" t="inlineStr">
        <is>
          <t>1000</t>
        </is>
      </c>
      <c r="D954" s="60" t="n">
        <v>1201</v>
      </c>
      <c r="E954" s="60" t="inlineStr">
        <is>
          <t>재무회계</t>
        </is>
      </c>
      <c r="F954" s="60" t="n">
        <v>62901000</v>
      </c>
      <c r="G954" s="60" t="inlineStr">
        <is>
          <t>지급수수료-컨설팅</t>
        </is>
      </c>
      <c r="H954" s="61" t="n">
        <v>22534590</v>
      </c>
      <c r="J954" s="63">
        <f>IF($A954="","",IFERROR(INDEX(부서매핑!$C$5:$C$504,MATCH($D954&amp;"",부서매핑!$A$5:$A$504,0)),"미매핑"))</f>
        <v/>
      </c>
      <c r="K954" s="63">
        <f>IF($A954="","",IFERROR(INDEX(계정매핑!$C$5:$C$504,MATCH($F954&amp;"",계정매핑!$A$5:$A$504,0)),"미매핑"))</f>
        <v/>
      </c>
      <c r="L954" s="4">
        <f>IF($A954="","",VALUE($A954&amp;""))</f>
        <v/>
      </c>
      <c r="M954" s="4">
        <f>IF($A954="","",VALUE($B954&amp;""))</f>
        <v/>
      </c>
      <c r="N954" s="64">
        <f>IF($A954="","",$H954*설정!$C$15)</f>
        <v/>
      </c>
      <c r="O954" s="4">
        <f>IF($A954="","",J954&amp;"|"&amp;K954)</f>
        <v/>
      </c>
      <c r="P954" s="63">
        <f>IF($A954="","",IF(COUNTIFS(예산_원본!$T$5:$T$3004,O954,예산_원본!$B$5:$B$3004,설정!$C$8,예산_원본!$U$5:$U$3004,L954)&gt;0,"Y","N"))</f>
        <v/>
      </c>
      <c r="Q954" s="63">
        <f>IF($A954="","",IF(COUNTIF(집계!$E$7:$E$506,O954)&gt;0,"Y","N"))</f>
        <v/>
      </c>
    </row>
    <row r="955">
      <c r="A955" s="60" t="n">
        <v>2026</v>
      </c>
      <c r="B955" s="60" t="n">
        <v>1</v>
      </c>
      <c r="C955" s="60" t="inlineStr">
        <is>
          <t>1000</t>
        </is>
      </c>
      <c r="D955" s="60" t="n">
        <v>1201</v>
      </c>
      <c r="E955" s="60" t="inlineStr">
        <is>
          <t>재무회계</t>
        </is>
      </c>
      <c r="F955" s="60" t="n">
        <v>62902000</v>
      </c>
      <c r="G955" s="60" t="inlineStr">
        <is>
          <t>지급수수료-기타</t>
        </is>
      </c>
      <c r="H955" s="61" t="n">
        <v>9367390</v>
      </c>
      <c r="J955" s="63">
        <f>IF($A955="","",IFERROR(INDEX(부서매핑!$C$5:$C$504,MATCH($D955&amp;"",부서매핑!$A$5:$A$504,0)),"미매핑"))</f>
        <v/>
      </c>
      <c r="K955" s="63">
        <f>IF($A955="","",IFERROR(INDEX(계정매핑!$C$5:$C$504,MATCH($F955&amp;"",계정매핑!$A$5:$A$504,0)),"미매핑"))</f>
        <v/>
      </c>
      <c r="L955" s="4">
        <f>IF($A955="","",VALUE($A955&amp;""))</f>
        <v/>
      </c>
      <c r="M955" s="4">
        <f>IF($A955="","",VALUE($B955&amp;""))</f>
        <v/>
      </c>
      <c r="N955" s="64">
        <f>IF($A955="","",$H955*설정!$C$15)</f>
        <v/>
      </c>
      <c r="O955" s="4">
        <f>IF($A955="","",J955&amp;"|"&amp;K955)</f>
        <v/>
      </c>
      <c r="P955" s="63">
        <f>IF($A955="","",IF(COUNTIFS(예산_원본!$T$5:$T$3004,O955,예산_원본!$B$5:$B$3004,설정!$C$8,예산_원본!$U$5:$U$3004,L955)&gt;0,"Y","N"))</f>
        <v/>
      </c>
      <c r="Q955" s="63">
        <f>IF($A955="","",IF(COUNTIF(집계!$E$7:$E$506,O955)&gt;0,"Y","N"))</f>
        <v/>
      </c>
    </row>
    <row r="956">
      <c r="A956" s="60" t="n">
        <v>2026</v>
      </c>
      <c r="B956" s="60" t="n">
        <v>1</v>
      </c>
      <c r="C956" s="60" t="inlineStr">
        <is>
          <t>1000</t>
        </is>
      </c>
      <c r="D956" s="60" t="n">
        <v>1301</v>
      </c>
      <c r="E956" s="60" t="inlineStr">
        <is>
          <t>인사</t>
        </is>
      </c>
      <c r="F956" s="60" t="n">
        <v>62101000</v>
      </c>
      <c r="G956" s="60" t="inlineStr">
        <is>
          <t>여비교통비-국내</t>
        </is>
      </c>
      <c r="H956" s="61" t="n">
        <v>2002080</v>
      </c>
      <c r="J956" s="63">
        <f>IF($A956="","",IFERROR(INDEX(부서매핑!$C$5:$C$504,MATCH($D956&amp;"",부서매핑!$A$5:$A$504,0)),"미매핑"))</f>
        <v/>
      </c>
      <c r="K956" s="63">
        <f>IF($A956="","",IFERROR(INDEX(계정매핑!$C$5:$C$504,MATCH($F956&amp;"",계정매핑!$A$5:$A$504,0)),"미매핑"))</f>
        <v/>
      </c>
      <c r="L956" s="4">
        <f>IF($A956="","",VALUE($A956&amp;""))</f>
        <v/>
      </c>
      <c r="M956" s="4">
        <f>IF($A956="","",VALUE($B956&amp;""))</f>
        <v/>
      </c>
      <c r="N956" s="64">
        <f>IF($A956="","",$H956*설정!$C$15)</f>
        <v/>
      </c>
      <c r="O956" s="4">
        <f>IF($A956="","",J956&amp;"|"&amp;K956)</f>
        <v/>
      </c>
      <c r="P956" s="63">
        <f>IF($A956="","",IF(COUNTIFS(예산_원본!$T$5:$T$3004,O956,예산_원본!$B$5:$B$3004,설정!$C$8,예산_원본!$U$5:$U$3004,L956)&gt;0,"Y","N"))</f>
        <v/>
      </c>
      <c r="Q956" s="63">
        <f>IF($A956="","",IF(COUNTIF(집계!$E$7:$E$506,O956)&gt;0,"Y","N"))</f>
        <v/>
      </c>
    </row>
    <row r="957">
      <c r="A957" s="60" t="n">
        <v>2026</v>
      </c>
      <c r="B957" s="60" t="n">
        <v>1</v>
      </c>
      <c r="C957" s="60" t="inlineStr">
        <is>
          <t>1000</t>
        </is>
      </c>
      <c r="D957" s="60" t="n">
        <v>1301</v>
      </c>
      <c r="E957" s="60" t="inlineStr">
        <is>
          <t>인사</t>
        </is>
      </c>
      <c r="F957" s="60" t="n">
        <v>62102000</v>
      </c>
      <c r="G957" s="60" t="inlineStr">
        <is>
          <t>여비교통비-해외</t>
        </is>
      </c>
      <c r="H957" s="61" t="n">
        <v>318180</v>
      </c>
      <c r="J957" s="63">
        <f>IF($A957="","",IFERROR(INDEX(부서매핑!$C$5:$C$504,MATCH($D957&amp;"",부서매핑!$A$5:$A$504,0)),"미매핑"))</f>
        <v/>
      </c>
      <c r="K957" s="63">
        <f>IF($A957="","",IFERROR(INDEX(계정매핑!$C$5:$C$504,MATCH($F957&amp;"",계정매핑!$A$5:$A$504,0)),"미매핑"))</f>
        <v/>
      </c>
      <c r="L957" s="4">
        <f>IF($A957="","",VALUE($A957&amp;""))</f>
        <v/>
      </c>
      <c r="M957" s="4">
        <f>IF($A957="","",VALUE($B957&amp;""))</f>
        <v/>
      </c>
      <c r="N957" s="64">
        <f>IF($A957="","",$H957*설정!$C$15)</f>
        <v/>
      </c>
      <c r="O957" s="4">
        <f>IF($A957="","",J957&amp;"|"&amp;K957)</f>
        <v/>
      </c>
      <c r="P957" s="63">
        <f>IF($A957="","",IF(COUNTIFS(예산_원본!$T$5:$T$3004,O957,예산_원본!$B$5:$B$3004,설정!$C$8,예산_원본!$U$5:$U$3004,L957)&gt;0,"Y","N"))</f>
        <v/>
      </c>
      <c r="Q957" s="63">
        <f>IF($A957="","",IF(COUNTIF(집계!$E$7:$E$506,O957)&gt;0,"Y","N"))</f>
        <v/>
      </c>
    </row>
    <row r="958">
      <c r="A958" s="60" t="n">
        <v>2026</v>
      </c>
      <c r="B958" s="60" t="n">
        <v>1</v>
      </c>
      <c r="C958" s="60" t="inlineStr">
        <is>
          <t>1000</t>
        </is>
      </c>
      <c r="D958" s="60" t="n">
        <v>1301</v>
      </c>
      <c r="E958" s="60" t="inlineStr">
        <is>
          <t>인사</t>
        </is>
      </c>
      <c r="F958" s="60" t="n">
        <v>62201000</v>
      </c>
      <c r="G958" s="60" t="inlineStr">
        <is>
          <t>통신비</t>
        </is>
      </c>
      <c r="H958" s="61" t="n">
        <v>715330</v>
      </c>
      <c r="J958" s="63">
        <f>IF($A958="","",IFERROR(INDEX(부서매핑!$C$5:$C$504,MATCH($D958&amp;"",부서매핑!$A$5:$A$504,0)),"미매핑"))</f>
        <v/>
      </c>
      <c r="K958" s="63">
        <f>IF($A958="","",IFERROR(INDEX(계정매핑!$C$5:$C$504,MATCH($F958&amp;"",계정매핑!$A$5:$A$504,0)),"미매핑"))</f>
        <v/>
      </c>
      <c r="L958" s="4">
        <f>IF($A958="","",VALUE($A958&amp;""))</f>
        <v/>
      </c>
      <c r="M958" s="4">
        <f>IF($A958="","",VALUE($B958&amp;""))</f>
        <v/>
      </c>
      <c r="N958" s="64">
        <f>IF($A958="","",$H958*설정!$C$15)</f>
        <v/>
      </c>
      <c r="O958" s="4">
        <f>IF($A958="","",J958&amp;"|"&amp;K958)</f>
        <v/>
      </c>
      <c r="P958" s="63">
        <f>IF($A958="","",IF(COUNTIFS(예산_원본!$T$5:$T$3004,O958,예산_원본!$B$5:$B$3004,설정!$C$8,예산_원본!$U$5:$U$3004,L958)&gt;0,"Y","N"))</f>
        <v/>
      </c>
      <c r="Q958" s="63">
        <f>IF($A958="","",IF(COUNTIF(집계!$E$7:$E$506,O958)&gt;0,"Y","N"))</f>
        <v/>
      </c>
    </row>
    <row r="959">
      <c r="A959" s="60" t="n">
        <v>2026</v>
      </c>
      <c r="B959" s="60" t="n">
        <v>1</v>
      </c>
      <c r="C959" s="60" t="inlineStr">
        <is>
          <t>1000</t>
        </is>
      </c>
      <c r="D959" s="60" t="n">
        <v>1301</v>
      </c>
      <c r="E959" s="60" t="inlineStr">
        <is>
          <t>인사</t>
        </is>
      </c>
      <c r="F959" s="60" t="n">
        <v>62301000</v>
      </c>
      <c r="G959" s="60" t="inlineStr">
        <is>
          <t>소모품비</t>
        </is>
      </c>
      <c r="H959" s="61" t="n">
        <v>734040</v>
      </c>
      <c r="J959" s="63">
        <f>IF($A959="","",IFERROR(INDEX(부서매핑!$C$5:$C$504,MATCH($D959&amp;"",부서매핑!$A$5:$A$504,0)),"미매핑"))</f>
        <v/>
      </c>
      <c r="K959" s="63">
        <f>IF($A959="","",IFERROR(INDEX(계정매핑!$C$5:$C$504,MATCH($F959&amp;"",계정매핑!$A$5:$A$504,0)),"미매핑"))</f>
        <v/>
      </c>
      <c r="L959" s="4">
        <f>IF($A959="","",VALUE($A959&amp;""))</f>
        <v/>
      </c>
      <c r="M959" s="4">
        <f>IF($A959="","",VALUE($B959&amp;""))</f>
        <v/>
      </c>
      <c r="N959" s="64">
        <f>IF($A959="","",$H959*설정!$C$15)</f>
        <v/>
      </c>
      <c r="O959" s="4">
        <f>IF($A959="","",J959&amp;"|"&amp;K959)</f>
        <v/>
      </c>
      <c r="P959" s="63">
        <f>IF($A959="","",IF(COUNTIFS(예산_원본!$T$5:$T$3004,O959,예산_원본!$B$5:$B$3004,설정!$C$8,예산_원본!$U$5:$U$3004,L959)&gt;0,"Y","N"))</f>
        <v/>
      </c>
      <c r="Q959" s="63">
        <f>IF($A959="","",IF(COUNTIF(집계!$E$7:$E$506,O959)&gt;0,"Y","N"))</f>
        <v/>
      </c>
    </row>
    <row r="960">
      <c r="A960" s="60" t="n">
        <v>2026</v>
      </c>
      <c r="B960" s="60" t="n">
        <v>1</v>
      </c>
      <c r="C960" s="60" t="inlineStr">
        <is>
          <t>1000</t>
        </is>
      </c>
      <c r="D960" s="60" t="n">
        <v>1301</v>
      </c>
      <c r="E960" s="60" t="inlineStr">
        <is>
          <t>인사</t>
        </is>
      </c>
      <c r="F960" s="60" t="n">
        <v>62501000</v>
      </c>
      <c r="G960" s="60" t="inlineStr">
        <is>
          <t>회의비</t>
        </is>
      </c>
      <c r="H960" s="61" t="n">
        <v>854730</v>
      </c>
      <c r="J960" s="63">
        <f>IF($A960="","",IFERROR(INDEX(부서매핑!$C$5:$C$504,MATCH($D960&amp;"",부서매핑!$A$5:$A$504,0)),"미매핑"))</f>
        <v/>
      </c>
      <c r="K960" s="63">
        <f>IF($A960="","",IFERROR(INDEX(계정매핑!$C$5:$C$504,MATCH($F960&amp;"",계정매핑!$A$5:$A$504,0)),"미매핑"))</f>
        <v/>
      </c>
      <c r="L960" s="4">
        <f>IF($A960="","",VALUE($A960&amp;""))</f>
        <v/>
      </c>
      <c r="M960" s="4">
        <f>IF($A960="","",VALUE($B960&amp;""))</f>
        <v/>
      </c>
      <c r="N960" s="64">
        <f>IF($A960="","",$H960*설정!$C$15)</f>
        <v/>
      </c>
      <c r="O960" s="4">
        <f>IF($A960="","",J960&amp;"|"&amp;K960)</f>
        <v/>
      </c>
      <c r="P960" s="63">
        <f>IF($A960="","",IF(COUNTIFS(예산_원본!$T$5:$T$3004,O960,예산_원본!$B$5:$B$3004,설정!$C$8,예산_원본!$U$5:$U$3004,L960)&gt;0,"Y","N"))</f>
        <v/>
      </c>
      <c r="Q960" s="63">
        <f>IF($A960="","",IF(COUNTIF(집계!$E$7:$E$506,O960)&gt;0,"Y","N"))</f>
        <v/>
      </c>
    </row>
    <row r="961">
      <c r="A961" s="60" t="n">
        <v>2026</v>
      </c>
      <c r="B961" s="60" t="n">
        <v>1</v>
      </c>
      <c r="C961" s="60" t="inlineStr">
        <is>
          <t>1000</t>
        </is>
      </c>
      <c r="D961" s="60" t="n">
        <v>1301</v>
      </c>
      <c r="E961" s="60" t="inlineStr">
        <is>
          <t>인사</t>
        </is>
      </c>
      <c r="F961" s="60" t="n">
        <v>62601000</v>
      </c>
      <c r="G961" s="60" t="inlineStr">
        <is>
          <t>업무추진비</t>
        </is>
      </c>
      <c r="H961" s="61" t="n">
        <v>2245600</v>
      </c>
      <c r="J961" s="63">
        <f>IF($A961="","",IFERROR(INDEX(부서매핑!$C$5:$C$504,MATCH($D961&amp;"",부서매핑!$A$5:$A$504,0)),"미매핑"))</f>
        <v/>
      </c>
      <c r="K961" s="63">
        <f>IF($A961="","",IFERROR(INDEX(계정매핑!$C$5:$C$504,MATCH($F961&amp;"",계정매핑!$A$5:$A$504,0)),"미매핑"))</f>
        <v/>
      </c>
      <c r="L961" s="4">
        <f>IF($A961="","",VALUE($A961&amp;""))</f>
        <v/>
      </c>
      <c r="M961" s="4">
        <f>IF($A961="","",VALUE($B961&amp;""))</f>
        <v/>
      </c>
      <c r="N961" s="64">
        <f>IF($A961="","",$H961*설정!$C$15)</f>
        <v/>
      </c>
      <c r="O961" s="4">
        <f>IF($A961="","",J961&amp;"|"&amp;K961)</f>
        <v/>
      </c>
      <c r="P961" s="63">
        <f>IF($A961="","",IF(COUNTIFS(예산_원본!$T$5:$T$3004,O961,예산_원본!$B$5:$B$3004,설정!$C$8,예산_원본!$U$5:$U$3004,L961)&gt;0,"Y","N"))</f>
        <v/>
      </c>
      <c r="Q961" s="63">
        <f>IF($A961="","",IF(COUNTIF(집계!$E$7:$E$506,O961)&gt;0,"Y","N"))</f>
        <v/>
      </c>
    </row>
    <row r="962">
      <c r="A962" s="60" t="n">
        <v>2026</v>
      </c>
      <c r="B962" s="60" t="n">
        <v>1</v>
      </c>
      <c r="C962" s="60" t="inlineStr">
        <is>
          <t>1000</t>
        </is>
      </c>
      <c r="D962" s="60" t="n">
        <v>1301</v>
      </c>
      <c r="E962" s="60" t="inlineStr">
        <is>
          <t>인사</t>
        </is>
      </c>
      <c r="F962" s="60" t="n">
        <v>62801000</v>
      </c>
      <c r="G962" s="60" t="inlineStr">
        <is>
          <t>교육훈련비-사내</t>
        </is>
      </c>
      <c r="H962" s="61" t="n">
        <v>4841610</v>
      </c>
      <c r="J962" s="63">
        <f>IF($A962="","",IFERROR(INDEX(부서매핑!$C$5:$C$504,MATCH($D962&amp;"",부서매핑!$A$5:$A$504,0)),"미매핑"))</f>
        <v/>
      </c>
      <c r="K962" s="63">
        <f>IF($A962="","",IFERROR(INDEX(계정매핑!$C$5:$C$504,MATCH($F962&amp;"",계정매핑!$A$5:$A$504,0)),"미매핑"))</f>
        <v/>
      </c>
      <c r="L962" s="4">
        <f>IF($A962="","",VALUE($A962&amp;""))</f>
        <v/>
      </c>
      <c r="M962" s="4">
        <f>IF($A962="","",VALUE($B962&amp;""))</f>
        <v/>
      </c>
      <c r="N962" s="64">
        <f>IF($A962="","",$H962*설정!$C$15)</f>
        <v/>
      </c>
      <c r="O962" s="4">
        <f>IF($A962="","",J962&amp;"|"&amp;K962)</f>
        <v/>
      </c>
      <c r="P962" s="63">
        <f>IF($A962="","",IF(COUNTIFS(예산_원본!$T$5:$T$3004,O962,예산_원본!$B$5:$B$3004,설정!$C$8,예산_원본!$U$5:$U$3004,L962)&gt;0,"Y","N"))</f>
        <v/>
      </c>
      <c r="Q962" s="63">
        <f>IF($A962="","",IF(COUNTIF(집계!$E$7:$E$506,O962)&gt;0,"Y","N"))</f>
        <v/>
      </c>
    </row>
    <row r="963">
      <c r="A963" s="60" t="n">
        <v>2026</v>
      </c>
      <c r="B963" s="60" t="n">
        <v>1</v>
      </c>
      <c r="C963" s="60" t="inlineStr">
        <is>
          <t>1000</t>
        </is>
      </c>
      <c r="D963" s="60" t="n">
        <v>1301</v>
      </c>
      <c r="E963" s="60" t="inlineStr">
        <is>
          <t>인사</t>
        </is>
      </c>
      <c r="F963" s="60" t="n">
        <v>62802000</v>
      </c>
      <c r="G963" s="60" t="inlineStr">
        <is>
          <t>교육훈련비-외부위탁</t>
        </is>
      </c>
      <c r="H963" s="61" t="n">
        <v>7050210</v>
      </c>
      <c r="J963" s="63">
        <f>IF($A963="","",IFERROR(INDEX(부서매핑!$C$5:$C$504,MATCH($D963&amp;"",부서매핑!$A$5:$A$504,0)),"미매핑"))</f>
        <v/>
      </c>
      <c r="K963" s="63">
        <f>IF($A963="","",IFERROR(INDEX(계정매핑!$C$5:$C$504,MATCH($F963&amp;"",계정매핑!$A$5:$A$504,0)),"미매핑"))</f>
        <v/>
      </c>
      <c r="L963" s="4">
        <f>IF($A963="","",VALUE($A963&amp;""))</f>
        <v/>
      </c>
      <c r="M963" s="4">
        <f>IF($A963="","",VALUE($B963&amp;""))</f>
        <v/>
      </c>
      <c r="N963" s="64">
        <f>IF($A963="","",$H963*설정!$C$15)</f>
        <v/>
      </c>
      <c r="O963" s="4">
        <f>IF($A963="","",J963&amp;"|"&amp;K963)</f>
        <v/>
      </c>
      <c r="P963" s="63">
        <f>IF($A963="","",IF(COUNTIFS(예산_원본!$T$5:$T$3004,O963,예산_원본!$B$5:$B$3004,설정!$C$8,예산_원본!$U$5:$U$3004,L963)&gt;0,"Y","N"))</f>
        <v/>
      </c>
      <c r="Q963" s="63">
        <f>IF($A963="","",IF(COUNTIF(집계!$E$7:$E$506,O963)&gt;0,"Y","N"))</f>
        <v/>
      </c>
    </row>
    <row r="964">
      <c r="A964" s="60" t="n">
        <v>2026</v>
      </c>
      <c r="B964" s="60" t="n">
        <v>1</v>
      </c>
      <c r="C964" s="60" t="inlineStr">
        <is>
          <t>1000</t>
        </is>
      </c>
      <c r="D964" s="60" t="n">
        <v>1401</v>
      </c>
      <c r="E964" s="60" t="inlineStr">
        <is>
          <t>상품개발</t>
        </is>
      </c>
      <c r="F964" s="60" t="n">
        <v>62101000</v>
      </c>
      <c r="G964" s="60" t="inlineStr">
        <is>
          <t>여비교통비-국내</t>
        </is>
      </c>
      <c r="H964" s="61" t="n">
        <v>2086010</v>
      </c>
      <c r="J964" s="63">
        <f>IF($A964="","",IFERROR(INDEX(부서매핑!$C$5:$C$504,MATCH($D964&amp;"",부서매핑!$A$5:$A$504,0)),"미매핑"))</f>
        <v/>
      </c>
      <c r="K964" s="63">
        <f>IF($A964="","",IFERROR(INDEX(계정매핑!$C$5:$C$504,MATCH($F964&amp;"",계정매핑!$A$5:$A$504,0)),"미매핑"))</f>
        <v/>
      </c>
      <c r="L964" s="4">
        <f>IF($A964="","",VALUE($A964&amp;""))</f>
        <v/>
      </c>
      <c r="M964" s="4">
        <f>IF($A964="","",VALUE($B964&amp;""))</f>
        <v/>
      </c>
      <c r="N964" s="64">
        <f>IF($A964="","",$H964*설정!$C$15)</f>
        <v/>
      </c>
      <c r="O964" s="4">
        <f>IF($A964="","",J964&amp;"|"&amp;K964)</f>
        <v/>
      </c>
      <c r="P964" s="63">
        <f>IF($A964="","",IF(COUNTIFS(예산_원본!$T$5:$T$3004,O964,예산_원본!$B$5:$B$3004,설정!$C$8,예산_원본!$U$5:$U$3004,L964)&gt;0,"Y","N"))</f>
        <v/>
      </c>
      <c r="Q964" s="63">
        <f>IF($A964="","",IF(COUNTIF(집계!$E$7:$E$506,O964)&gt;0,"Y","N"))</f>
        <v/>
      </c>
    </row>
    <row r="965">
      <c r="A965" s="60" t="n">
        <v>2026</v>
      </c>
      <c r="B965" s="60" t="n">
        <v>1</v>
      </c>
      <c r="C965" s="60" t="inlineStr">
        <is>
          <t>1000</t>
        </is>
      </c>
      <c r="D965" s="60" t="n">
        <v>1401</v>
      </c>
      <c r="E965" s="60" t="inlineStr">
        <is>
          <t>상품개발</t>
        </is>
      </c>
      <c r="F965" s="60" t="n">
        <v>62102000</v>
      </c>
      <c r="G965" s="60" t="inlineStr">
        <is>
          <t>여비교통비-해외</t>
        </is>
      </c>
      <c r="H965" s="61" t="n">
        <v>339460</v>
      </c>
      <c r="J965" s="63">
        <f>IF($A965="","",IFERROR(INDEX(부서매핑!$C$5:$C$504,MATCH($D965&amp;"",부서매핑!$A$5:$A$504,0)),"미매핑"))</f>
        <v/>
      </c>
      <c r="K965" s="63">
        <f>IF($A965="","",IFERROR(INDEX(계정매핑!$C$5:$C$504,MATCH($F965&amp;"",계정매핑!$A$5:$A$504,0)),"미매핑"))</f>
        <v/>
      </c>
      <c r="L965" s="4">
        <f>IF($A965="","",VALUE($A965&amp;""))</f>
        <v/>
      </c>
      <c r="M965" s="4">
        <f>IF($A965="","",VALUE($B965&amp;""))</f>
        <v/>
      </c>
      <c r="N965" s="64">
        <f>IF($A965="","",$H965*설정!$C$15)</f>
        <v/>
      </c>
      <c r="O965" s="4">
        <f>IF($A965="","",J965&amp;"|"&amp;K965)</f>
        <v/>
      </c>
      <c r="P965" s="63">
        <f>IF($A965="","",IF(COUNTIFS(예산_원본!$T$5:$T$3004,O965,예산_원본!$B$5:$B$3004,설정!$C$8,예산_원본!$U$5:$U$3004,L965)&gt;0,"Y","N"))</f>
        <v/>
      </c>
      <c r="Q965" s="63">
        <f>IF($A965="","",IF(COUNTIF(집계!$E$7:$E$506,O965)&gt;0,"Y","N"))</f>
        <v/>
      </c>
    </row>
    <row r="966">
      <c r="A966" s="60" t="n">
        <v>2026</v>
      </c>
      <c r="B966" s="60" t="n">
        <v>1</v>
      </c>
      <c r="C966" s="60" t="inlineStr">
        <is>
          <t>1000</t>
        </is>
      </c>
      <c r="D966" s="60" t="n">
        <v>1401</v>
      </c>
      <c r="E966" s="60" t="inlineStr">
        <is>
          <t>상품개발</t>
        </is>
      </c>
      <c r="F966" s="60" t="n">
        <v>62201000</v>
      </c>
      <c r="G966" s="60" t="inlineStr">
        <is>
          <t>통신비</t>
        </is>
      </c>
      <c r="H966" s="61" t="n">
        <v>506730</v>
      </c>
      <c r="J966" s="63">
        <f>IF($A966="","",IFERROR(INDEX(부서매핑!$C$5:$C$504,MATCH($D966&amp;"",부서매핑!$A$5:$A$504,0)),"미매핑"))</f>
        <v/>
      </c>
      <c r="K966" s="63">
        <f>IF($A966="","",IFERROR(INDEX(계정매핑!$C$5:$C$504,MATCH($F966&amp;"",계정매핑!$A$5:$A$504,0)),"미매핑"))</f>
        <v/>
      </c>
      <c r="L966" s="4">
        <f>IF($A966="","",VALUE($A966&amp;""))</f>
        <v/>
      </c>
      <c r="M966" s="4">
        <f>IF($A966="","",VALUE($B966&amp;""))</f>
        <v/>
      </c>
      <c r="N966" s="64">
        <f>IF($A966="","",$H966*설정!$C$15)</f>
        <v/>
      </c>
      <c r="O966" s="4">
        <f>IF($A966="","",J966&amp;"|"&amp;K966)</f>
        <v/>
      </c>
      <c r="P966" s="63">
        <f>IF($A966="","",IF(COUNTIFS(예산_원본!$T$5:$T$3004,O966,예산_원본!$B$5:$B$3004,설정!$C$8,예산_원본!$U$5:$U$3004,L966)&gt;0,"Y","N"))</f>
        <v/>
      </c>
      <c r="Q966" s="63">
        <f>IF($A966="","",IF(COUNTIF(집계!$E$7:$E$506,O966)&gt;0,"Y","N"))</f>
        <v/>
      </c>
    </row>
    <row r="967">
      <c r="A967" s="60" t="n">
        <v>2026</v>
      </c>
      <c r="B967" s="60" t="n">
        <v>1</v>
      </c>
      <c r="C967" s="60" t="inlineStr">
        <is>
          <t>1000</t>
        </is>
      </c>
      <c r="D967" s="60" t="n">
        <v>1401</v>
      </c>
      <c r="E967" s="60" t="inlineStr">
        <is>
          <t>상품개발</t>
        </is>
      </c>
      <c r="F967" s="60" t="n">
        <v>62301000</v>
      </c>
      <c r="G967" s="60" t="inlineStr">
        <is>
          <t>소모품비</t>
        </is>
      </c>
      <c r="H967" s="61" t="n">
        <v>467000</v>
      </c>
      <c r="J967" s="63">
        <f>IF($A967="","",IFERROR(INDEX(부서매핑!$C$5:$C$504,MATCH($D967&amp;"",부서매핑!$A$5:$A$504,0)),"미매핑"))</f>
        <v/>
      </c>
      <c r="K967" s="63">
        <f>IF($A967="","",IFERROR(INDEX(계정매핑!$C$5:$C$504,MATCH($F967&amp;"",계정매핑!$A$5:$A$504,0)),"미매핑"))</f>
        <v/>
      </c>
      <c r="L967" s="4">
        <f>IF($A967="","",VALUE($A967&amp;""))</f>
        <v/>
      </c>
      <c r="M967" s="4">
        <f>IF($A967="","",VALUE($B967&amp;""))</f>
        <v/>
      </c>
      <c r="N967" s="64">
        <f>IF($A967="","",$H967*설정!$C$15)</f>
        <v/>
      </c>
      <c r="O967" s="4">
        <f>IF($A967="","",J967&amp;"|"&amp;K967)</f>
        <v/>
      </c>
      <c r="P967" s="63">
        <f>IF($A967="","",IF(COUNTIFS(예산_원본!$T$5:$T$3004,O967,예산_원본!$B$5:$B$3004,설정!$C$8,예산_원본!$U$5:$U$3004,L967)&gt;0,"Y","N"))</f>
        <v/>
      </c>
      <c r="Q967" s="63">
        <f>IF($A967="","",IF(COUNTIF(집계!$E$7:$E$506,O967)&gt;0,"Y","N"))</f>
        <v/>
      </c>
    </row>
    <row r="968">
      <c r="A968" s="60" t="n">
        <v>2026</v>
      </c>
      <c r="B968" s="60" t="n">
        <v>1</v>
      </c>
      <c r="C968" s="60" t="inlineStr">
        <is>
          <t>1000</t>
        </is>
      </c>
      <c r="D968" s="60" t="n">
        <v>1401</v>
      </c>
      <c r="E968" s="60" t="inlineStr">
        <is>
          <t>상품개발</t>
        </is>
      </c>
      <c r="F968" s="60" t="n">
        <v>62401000</v>
      </c>
      <c r="G968" s="60" t="inlineStr">
        <is>
          <t>도서인쇄비</t>
        </is>
      </c>
      <c r="H968" s="61" t="n">
        <v>1026290</v>
      </c>
      <c r="J968" s="63">
        <f>IF($A968="","",IFERROR(INDEX(부서매핑!$C$5:$C$504,MATCH($D968&amp;"",부서매핑!$A$5:$A$504,0)),"미매핑"))</f>
        <v/>
      </c>
      <c r="K968" s="63">
        <f>IF($A968="","",IFERROR(INDEX(계정매핑!$C$5:$C$504,MATCH($F968&amp;"",계정매핑!$A$5:$A$504,0)),"미매핑"))</f>
        <v/>
      </c>
      <c r="L968" s="4">
        <f>IF($A968="","",VALUE($A968&amp;""))</f>
        <v/>
      </c>
      <c r="M968" s="4">
        <f>IF($A968="","",VALUE($B968&amp;""))</f>
        <v/>
      </c>
      <c r="N968" s="64">
        <f>IF($A968="","",$H968*설정!$C$15)</f>
        <v/>
      </c>
      <c r="O968" s="4">
        <f>IF($A968="","",J968&amp;"|"&amp;K968)</f>
        <v/>
      </c>
      <c r="P968" s="63">
        <f>IF($A968="","",IF(COUNTIFS(예산_원본!$T$5:$T$3004,O968,예산_원본!$B$5:$B$3004,설정!$C$8,예산_원본!$U$5:$U$3004,L968)&gt;0,"Y","N"))</f>
        <v/>
      </c>
      <c r="Q968" s="63">
        <f>IF($A968="","",IF(COUNTIF(집계!$E$7:$E$506,O968)&gt;0,"Y","N"))</f>
        <v/>
      </c>
    </row>
    <row r="969">
      <c r="A969" s="60" t="n">
        <v>2026</v>
      </c>
      <c r="B969" s="60" t="n">
        <v>1</v>
      </c>
      <c r="C969" s="60" t="inlineStr">
        <is>
          <t>1000</t>
        </is>
      </c>
      <c r="D969" s="60" t="n">
        <v>1401</v>
      </c>
      <c r="E969" s="60" t="inlineStr">
        <is>
          <t>상품개발</t>
        </is>
      </c>
      <c r="F969" s="60" t="n">
        <v>62501000</v>
      </c>
      <c r="G969" s="60" t="inlineStr">
        <is>
          <t>회의비</t>
        </is>
      </c>
      <c r="H969" s="61" t="n">
        <v>646290</v>
      </c>
      <c r="J969" s="63">
        <f>IF($A969="","",IFERROR(INDEX(부서매핑!$C$5:$C$504,MATCH($D969&amp;"",부서매핑!$A$5:$A$504,0)),"미매핑"))</f>
        <v/>
      </c>
      <c r="K969" s="63">
        <f>IF($A969="","",IFERROR(INDEX(계정매핑!$C$5:$C$504,MATCH($F969&amp;"",계정매핑!$A$5:$A$504,0)),"미매핑"))</f>
        <v/>
      </c>
      <c r="L969" s="4">
        <f>IF($A969="","",VALUE($A969&amp;""))</f>
        <v/>
      </c>
      <c r="M969" s="4">
        <f>IF($A969="","",VALUE($B969&amp;""))</f>
        <v/>
      </c>
      <c r="N969" s="64">
        <f>IF($A969="","",$H969*설정!$C$15)</f>
        <v/>
      </c>
      <c r="O969" s="4">
        <f>IF($A969="","",J969&amp;"|"&amp;K969)</f>
        <v/>
      </c>
      <c r="P969" s="63">
        <f>IF($A969="","",IF(COUNTIFS(예산_원본!$T$5:$T$3004,O969,예산_원본!$B$5:$B$3004,설정!$C$8,예산_원본!$U$5:$U$3004,L969)&gt;0,"Y","N"))</f>
        <v/>
      </c>
      <c r="Q969" s="63">
        <f>IF($A969="","",IF(COUNTIF(집계!$E$7:$E$506,O969)&gt;0,"Y","N"))</f>
        <v/>
      </c>
    </row>
    <row r="970">
      <c r="A970" s="60" t="n">
        <v>2026</v>
      </c>
      <c r="B970" s="60" t="n">
        <v>1</v>
      </c>
      <c r="C970" s="60" t="inlineStr">
        <is>
          <t>1000</t>
        </is>
      </c>
      <c r="D970" s="60" t="n">
        <v>1401</v>
      </c>
      <c r="E970" s="60" t="inlineStr">
        <is>
          <t>상품개발</t>
        </is>
      </c>
      <c r="F970" s="60" t="n">
        <v>62901000</v>
      </c>
      <c r="G970" s="60" t="inlineStr">
        <is>
          <t>지급수수료-컨설팅</t>
        </is>
      </c>
      <c r="H970" s="61" t="n">
        <v>8201210</v>
      </c>
      <c r="J970" s="63">
        <f>IF($A970="","",IFERROR(INDEX(부서매핑!$C$5:$C$504,MATCH($D970&amp;"",부서매핑!$A$5:$A$504,0)),"미매핑"))</f>
        <v/>
      </c>
      <c r="K970" s="63">
        <f>IF($A970="","",IFERROR(INDEX(계정매핑!$C$5:$C$504,MATCH($F970&amp;"",계정매핑!$A$5:$A$504,0)),"미매핑"))</f>
        <v/>
      </c>
      <c r="L970" s="4">
        <f>IF($A970="","",VALUE($A970&amp;""))</f>
        <v/>
      </c>
      <c r="M970" s="4">
        <f>IF($A970="","",VALUE($B970&amp;""))</f>
        <v/>
      </c>
      <c r="N970" s="64">
        <f>IF($A970="","",$H970*설정!$C$15)</f>
        <v/>
      </c>
      <c r="O970" s="4">
        <f>IF($A970="","",J970&amp;"|"&amp;K970)</f>
        <v/>
      </c>
      <c r="P970" s="63">
        <f>IF($A970="","",IF(COUNTIFS(예산_원본!$T$5:$T$3004,O970,예산_원본!$B$5:$B$3004,설정!$C$8,예산_원본!$U$5:$U$3004,L970)&gt;0,"Y","N"))</f>
        <v/>
      </c>
      <c r="Q970" s="63">
        <f>IF($A970="","",IF(COUNTIF(집계!$E$7:$E$506,O970)&gt;0,"Y","N"))</f>
        <v/>
      </c>
    </row>
    <row r="971">
      <c r="A971" s="60" t="n">
        <v>2026</v>
      </c>
      <c r="B971" s="60" t="n">
        <v>1</v>
      </c>
      <c r="C971" s="60" t="inlineStr">
        <is>
          <t>1000</t>
        </is>
      </c>
      <c r="D971" s="60" t="n">
        <v>1401</v>
      </c>
      <c r="E971" s="60" t="inlineStr">
        <is>
          <t>상품개발</t>
        </is>
      </c>
      <c r="F971" s="60" t="n">
        <v>62902000</v>
      </c>
      <c r="G971" s="60" t="inlineStr">
        <is>
          <t>지급수수료-기타</t>
        </is>
      </c>
      <c r="H971" s="61" t="n">
        <v>3496890</v>
      </c>
      <c r="J971" s="63">
        <f>IF($A971="","",IFERROR(INDEX(부서매핑!$C$5:$C$504,MATCH($D971&amp;"",부서매핑!$A$5:$A$504,0)),"미매핑"))</f>
        <v/>
      </c>
      <c r="K971" s="63">
        <f>IF($A971="","",IFERROR(INDEX(계정매핑!$C$5:$C$504,MATCH($F971&amp;"",계정매핑!$A$5:$A$504,0)),"미매핑"))</f>
        <v/>
      </c>
      <c r="L971" s="4">
        <f>IF($A971="","",VALUE($A971&amp;""))</f>
        <v/>
      </c>
      <c r="M971" s="4">
        <f>IF($A971="","",VALUE($B971&amp;""))</f>
        <v/>
      </c>
      <c r="N971" s="64">
        <f>IF($A971="","",$H971*설정!$C$15)</f>
        <v/>
      </c>
      <c r="O971" s="4">
        <f>IF($A971="","",J971&amp;"|"&amp;K971)</f>
        <v/>
      </c>
      <c r="P971" s="63">
        <f>IF($A971="","",IF(COUNTIFS(예산_원본!$T$5:$T$3004,O971,예산_원본!$B$5:$B$3004,설정!$C$8,예산_원본!$U$5:$U$3004,L971)&gt;0,"Y","N"))</f>
        <v/>
      </c>
      <c r="Q971" s="63">
        <f>IF($A971="","",IF(COUNTIF(집계!$E$7:$E$506,O971)&gt;0,"Y","N"))</f>
        <v/>
      </c>
    </row>
    <row r="972">
      <c r="A972" s="60" t="n">
        <v>2026</v>
      </c>
      <c r="B972" s="60" t="n">
        <v>1</v>
      </c>
      <c r="C972" s="60" t="inlineStr">
        <is>
          <t>1000</t>
        </is>
      </c>
      <c r="D972" s="60" t="n">
        <v>1501</v>
      </c>
      <c r="E972" s="60" t="inlineStr">
        <is>
          <t>마케팅전략</t>
        </is>
      </c>
      <c r="F972" s="60" t="n">
        <v>62101000</v>
      </c>
      <c r="G972" s="60" t="inlineStr">
        <is>
          <t>여비교통비-국내</t>
        </is>
      </c>
      <c r="H972" s="61" t="n">
        <v>1992260</v>
      </c>
      <c r="J972" s="63">
        <f>IF($A972="","",IFERROR(INDEX(부서매핑!$C$5:$C$504,MATCH($D972&amp;"",부서매핑!$A$5:$A$504,0)),"미매핑"))</f>
        <v/>
      </c>
      <c r="K972" s="63">
        <f>IF($A972="","",IFERROR(INDEX(계정매핑!$C$5:$C$504,MATCH($F972&amp;"",계정매핑!$A$5:$A$504,0)),"미매핑"))</f>
        <v/>
      </c>
      <c r="L972" s="4">
        <f>IF($A972="","",VALUE($A972&amp;""))</f>
        <v/>
      </c>
      <c r="M972" s="4">
        <f>IF($A972="","",VALUE($B972&amp;""))</f>
        <v/>
      </c>
      <c r="N972" s="64">
        <f>IF($A972="","",$H972*설정!$C$15)</f>
        <v/>
      </c>
      <c r="O972" s="4">
        <f>IF($A972="","",J972&amp;"|"&amp;K972)</f>
        <v/>
      </c>
      <c r="P972" s="63">
        <f>IF($A972="","",IF(COUNTIFS(예산_원본!$T$5:$T$3004,O972,예산_원본!$B$5:$B$3004,설정!$C$8,예산_원본!$U$5:$U$3004,L972)&gt;0,"Y","N"))</f>
        <v/>
      </c>
      <c r="Q972" s="63">
        <f>IF($A972="","",IF(COUNTIF(집계!$E$7:$E$506,O972)&gt;0,"Y","N"))</f>
        <v/>
      </c>
    </row>
    <row r="973">
      <c r="A973" s="60" t="n">
        <v>2026</v>
      </c>
      <c r="B973" s="60" t="n">
        <v>1</v>
      </c>
      <c r="C973" s="60" t="inlineStr">
        <is>
          <t>1000</t>
        </is>
      </c>
      <c r="D973" s="60" t="n">
        <v>1501</v>
      </c>
      <c r="E973" s="60" t="inlineStr">
        <is>
          <t>마케팅전략</t>
        </is>
      </c>
      <c r="F973" s="60" t="n">
        <v>62102000</v>
      </c>
      <c r="G973" s="60" t="inlineStr">
        <is>
          <t>여비교통비-해외</t>
        </is>
      </c>
      <c r="H973" s="61" t="n">
        <v>289090</v>
      </c>
      <c r="J973" s="63">
        <f>IF($A973="","",IFERROR(INDEX(부서매핑!$C$5:$C$504,MATCH($D973&amp;"",부서매핑!$A$5:$A$504,0)),"미매핑"))</f>
        <v/>
      </c>
      <c r="K973" s="63">
        <f>IF($A973="","",IFERROR(INDEX(계정매핑!$C$5:$C$504,MATCH($F973&amp;"",계정매핑!$A$5:$A$504,0)),"미매핑"))</f>
        <v/>
      </c>
      <c r="L973" s="4">
        <f>IF($A973="","",VALUE($A973&amp;""))</f>
        <v/>
      </c>
      <c r="M973" s="4">
        <f>IF($A973="","",VALUE($B973&amp;""))</f>
        <v/>
      </c>
      <c r="N973" s="64">
        <f>IF($A973="","",$H973*설정!$C$15)</f>
        <v/>
      </c>
      <c r="O973" s="4">
        <f>IF($A973="","",J973&amp;"|"&amp;K973)</f>
        <v/>
      </c>
      <c r="P973" s="63">
        <f>IF($A973="","",IF(COUNTIFS(예산_원본!$T$5:$T$3004,O973,예산_원본!$B$5:$B$3004,설정!$C$8,예산_원본!$U$5:$U$3004,L973)&gt;0,"Y","N"))</f>
        <v/>
      </c>
      <c r="Q973" s="63">
        <f>IF($A973="","",IF(COUNTIF(집계!$E$7:$E$506,O973)&gt;0,"Y","N"))</f>
        <v/>
      </c>
    </row>
    <row r="974">
      <c r="A974" s="60" t="n">
        <v>2026</v>
      </c>
      <c r="B974" s="60" t="n">
        <v>1</v>
      </c>
      <c r="C974" s="60" t="inlineStr">
        <is>
          <t>1000</t>
        </is>
      </c>
      <c r="D974" s="60" t="n">
        <v>1501</v>
      </c>
      <c r="E974" s="60" t="inlineStr">
        <is>
          <t>마케팅전략</t>
        </is>
      </c>
      <c r="F974" s="60" t="n">
        <v>62201000</v>
      </c>
      <c r="G974" s="60" t="inlineStr">
        <is>
          <t>통신비</t>
        </is>
      </c>
      <c r="H974" s="61" t="n">
        <v>512920</v>
      </c>
      <c r="J974" s="63">
        <f>IF($A974="","",IFERROR(INDEX(부서매핑!$C$5:$C$504,MATCH($D974&amp;"",부서매핑!$A$5:$A$504,0)),"미매핑"))</f>
        <v/>
      </c>
      <c r="K974" s="63">
        <f>IF($A974="","",IFERROR(INDEX(계정매핑!$C$5:$C$504,MATCH($F974&amp;"",계정매핑!$A$5:$A$504,0)),"미매핑"))</f>
        <v/>
      </c>
      <c r="L974" s="4">
        <f>IF($A974="","",VALUE($A974&amp;""))</f>
        <v/>
      </c>
      <c r="M974" s="4">
        <f>IF($A974="","",VALUE($B974&amp;""))</f>
        <v/>
      </c>
      <c r="N974" s="64">
        <f>IF($A974="","",$H974*설정!$C$15)</f>
        <v/>
      </c>
      <c r="O974" s="4">
        <f>IF($A974="","",J974&amp;"|"&amp;K974)</f>
        <v/>
      </c>
      <c r="P974" s="63">
        <f>IF($A974="","",IF(COUNTIFS(예산_원본!$T$5:$T$3004,O974,예산_원본!$B$5:$B$3004,설정!$C$8,예산_원본!$U$5:$U$3004,L974)&gt;0,"Y","N"))</f>
        <v/>
      </c>
      <c r="Q974" s="63">
        <f>IF($A974="","",IF(COUNTIF(집계!$E$7:$E$506,O974)&gt;0,"Y","N"))</f>
        <v/>
      </c>
    </row>
    <row r="975">
      <c r="A975" s="60" t="n">
        <v>2026</v>
      </c>
      <c r="B975" s="60" t="n">
        <v>1</v>
      </c>
      <c r="C975" s="60" t="inlineStr">
        <is>
          <t>1000</t>
        </is>
      </c>
      <c r="D975" s="60" t="n">
        <v>1501</v>
      </c>
      <c r="E975" s="60" t="inlineStr">
        <is>
          <t>마케팅전략</t>
        </is>
      </c>
      <c r="F975" s="60" t="n">
        <v>62301000</v>
      </c>
      <c r="G975" s="60" t="inlineStr">
        <is>
          <t>소모품비</t>
        </is>
      </c>
      <c r="H975" s="61" t="n">
        <v>438750</v>
      </c>
      <c r="J975" s="63">
        <f>IF($A975="","",IFERROR(INDEX(부서매핑!$C$5:$C$504,MATCH($D975&amp;"",부서매핑!$A$5:$A$504,0)),"미매핑"))</f>
        <v/>
      </c>
      <c r="K975" s="63">
        <f>IF($A975="","",IFERROR(INDEX(계정매핑!$C$5:$C$504,MATCH($F975&amp;"",계정매핑!$A$5:$A$504,0)),"미매핑"))</f>
        <v/>
      </c>
      <c r="L975" s="4">
        <f>IF($A975="","",VALUE($A975&amp;""))</f>
        <v/>
      </c>
      <c r="M975" s="4">
        <f>IF($A975="","",VALUE($B975&amp;""))</f>
        <v/>
      </c>
      <c r="N975" s="64">
        <f>IF($A975="","",$H975*설정!$C$15)</f>
        <v/>
      </c>
      <c r="O975" s="4">
        <f>IF($A975="","",J975&amp;"|"&amp;K975)</f>
        <v/>
      </c>
      <c r="P975" s="63">
        <f>IF($A975="","",IF(COUNTIFS(예산_원본!$T$5:$T$3004,O975,예산_원본!$B$5:$B$3004,설정!$C$8,예산_원본!$U$5:$U$3004,L975)&gt;0,"Y","N"))</f>
        <v/>
      </c>
      <c r="Q975" s="63">
        <f>IF($A975="","",IF(COUNTIF(집계!$E$7:$E$506,O975)&gt;0,"Y","N"))</f>
        <v/>
      </c>
    </row>
    <row r="976">
      <c r="A976" s="60" t="n">
        <v>2026</v>
      </c>
      <c r="B976" s="60" t="n">
        <v>1</v>
      </c>
      <c r="C976" s="60" t="inlineStr">
        <is>
          <t>1000</t>
        </is>
      </c>
      <c r="D976" s="60" t="n">
        <v>1501</v>
      </c>
      <c r="E976" s="60" t="inlineStr">
        <is>
          <t>마케팅전략</t>
        </is>
      </c>
      <c r="F976" s="60" t="n">
        <v>62401000</v>
      </c>
      <c r="G976" s="60" t="inlineStr">
        <is>
          <t>도서인쇄비</t>
        </is>
      </c>
      <c r="H976" s="61" t="n">
        <v>5047760</v>
      </c>
      <c r="J976" s="63">
        <f>IF($A976="","",IFERROR(INDEX(부서매핑!$C$5:$C$504,MATCH($D976&amp;"",부서매핑!$A$5:$A$504,0)),"미매핑"))</f>
        <v/>
      </c>
      <c r="K976" s="63">
        <f>IF($A976="","",IFERROR(INDEX(계정매핑!$C$5:$C$504,MATCH($F976&amp;"",계정매핑!$A$5:$A$504,0)),"미매핑"))</f>
        <v/>
      </c>
      <c r="L976" s="4">
        <f>IF($A976="","",VALUE($A976&amp;""))</f>
        <v/>
      </c>
      <c r="M976" s="4">
        <f>IF($A976="","",VALUE($B976&amp;""))</f>
        <v/>
      </c>
      <c r="N976" s="64">
        <f>IF($A976="","",$H976*설정!$C$15)</f>
        <v/>
      </c>
      <c r="O976" s="4">
        <f>IF($A976="","",J976&amp;"|"&amp;K976)</f>
        <v/>
      </c>
      <c r="P976" s="63">
        <f>IF($A976="","",IF(COUNTIFS(예산_원본!$T$5:$T$3004,O976,예산_원본!$B$5:$B$3004,설정!$C$8,예산_원본!$U$5:$U$3004,L976)&gt;0,"Y","N"))</f>
        <v/>
      </c>
      <c r="Q976" s="63">
        <f>IF($A976="","",IF(COUNTIF(집계!$E$7:$E$506,O976)&gt;0,"Y","N"))</f>
        <v/>
      </c>
    </row>
    <row r="977">
      <c r="A977" s="60" t="n">
        <v>2026</v>
      </c>
      <c r="B977" s="60" t="n">
        <v>1</v>
      </c>
      <c r="C977" s="60" t="inlineStr">
        <is>
          <t>1000</t>
        </is>
      </c>
      <c r="D977" s="60" t="n">
        <v>1501</v>
      </c>
      <c r="E977" s="60" t="inlineStr">
        <is>
          <t>마케팅전략</t>
        </is>
      </c>
      <c r="F977" s="60" t="n">
        <v>62501000</v>
      </c>
      <c r="G977" s="60" t="inlineStr">
        <is>
          <t>회의비</t>
        </is>
      </c>
      <c r="H977" s="61" t="n">
        <v>729150</v>
      </c>
      <c r="J977" s="63">
        <f>IF($A977="","",IFERROR(INDEX(부서매핑!$C$5:$C$504,MATCH($D977&amp;"",부서매핑!$A$5:$A$504,0)),"미매핑"))</f>
        <v/>
      </c>
      <c r="K977" s="63">
        <f>IF($A977="","",IFERROR(INDEX(계정매핑!$C$5:$C$504,MATCH($F977&amp;"",계정매핑!$A$5:$A$504,0)),"미매핑"))</f>
        <v/>
      </c>
      <c r="L977" s="4">
        <f>IF($A977="","",VALUE($A977&amp;""))</f>
        <v/>
      </c>
      <c r="M977" s="4">
        <f>IF($A977="","",VALUE($B977&amp;""))</f>
        <v/>
      </c>
      <c r="N977" s="64">
        <f>IF($A977="","",$H977*설정!$C$15)</f>
        <v/>
      </c>
      <c r="O977" s="4">
        <f>IF($A977="","",J977&amp;"|"&amp;K977)</f>
        <v/>
      </c>
      <c r="P977" s="63">
        <f>IF($A977="","",IF(COUNTIFS(예산_원본!$T$5:$T$3004,O977,예산_원본!$B$5:$B$3004,설정!$C$8,예산_원본!$U$5:$U$3004,L977)&gt;0,"Y","N"))</f>
        <v/>
      </c>
      <c r="Q977" s="63">
        <f>IF($A977="","",IF(COUNTIF(집계!$E$7:$E$506,O977)&gt;0,"Y","N"))</f>
        <v/>
      </c>
    </row>
    <row r="978">
      <c r="A978" s="60" t="n">
        <v>2026</v>
      </c>
      <c r="B978" s="60" t="n">
        <v>1</v>
      </c>
      <c r="C978" s="60" t="inlineStr">
        <is>
          <t>1000</t>
        </is>
      </c>
      <c r="D978" s="60" t="n">
        <v>1501</v>
      </c>
      <c r="E978" s="60" t="inlineStr">
        <is>
          <t>마케팅전략</t>
        </is>
      </c>
      <c r="F978" s="60" t="n">
        <v>62601000</v>
      </c>
      <c r="G978" s="60" t="inlineStr">
        <is>
          <t>업무추진비</t>
        </is>
      </c>
      <c r="H978" s="61" t="n">
        <v>1625470</v>
      </c>
      <c r="J978" s="63">
        <f>IF($A978="","",IFERROR(INDEX(부서매핑!$C$5:$C$504,MATCH($D978&amp;"",부서매핑!$A$5:$A$504,0)),"미매핑"))</f>
        <v/>
      </c>
      <c r="K978" s="63">
        <f>IF($A978="","",IFERROR(INDEX(계정매핑!$C$5:$C$504,MATCH($F978&amp;"",계정매핑!$A$5:$A$504,0)),"미매핑"))</f>
        <v/>
      </c>
      <c r="L978" s="4">
        <f>IF($A978="","",VALUE($A978&amp;""))</f>
        <v/>
      </c>
      <c r="M978" s="4">
        <f>IF($A978="","",VALUE($B978&amp;""))</f>
        <v/>
      </c>
      <c r="N978" s="64">
        <f>IF($A978="","",$H978*설정!$C$15)</f>
        <v/>
      </c>
      <c r="O978" s="4">
        <f>IF($A978="","",J978&amp;"|"&amp;K978)</f>
        <v/>
      </c>
      <c r="P978" s="63">
        <f>IF($A978="","",IF(COUNTIFS(예산_원본!$T$5:$T$3004,O978,예산_원본!$B$5:$B$3004,설정!$C$8,예산_원본!$U$5:$U$3004,L978)&gt;0,"Y","N"))</f>
        <v/>
      </c>
      <c r="Q978" s="63">
        <f>IF($A978="","",IF(COUNTIF(집계!$E$7:$E$506,O978)&gt;0,"Y","N"))</f>
        <v/>
      </c>
    </row>
    <row r="979">
      <c r="A979" s="60" t="n">
        <v>2026</v>
      </c>
      <c r="B979" s="60" t="n">
        <v>1</v>
      </c>
      <c r="C979" s="60" t="inlineStr">
        <is>
          <t>1000</t>
        </is>
      </c>
      <c r="D979" s="60" t="n">
        <v>1501</v>
      </c>
      <c r="E979" s="60" t="inlineStr">
        <is>
          <t>마케팅전략</t>
        </is>
      </c>
      <c r="F979" s="60" t="n">
        <v>62701000</v>
      </c>
      <c r="G979" s="60" t="inlineStr">
        <is>
          <t>광고선전비</t>
        </is>
      </c>
      <c r="H979" s="61" t="n">
        <v>82805730</v>
      </c>
      <c r="J979" s="63">
        <f>IF($A979="","",IFERROR(INDEX(부서매핑!$C$5:$C$504,MATCH($D979&amp;"",부서매핑!$A$5:$A$504,0)),"미매핑"))</f>
        <v/>
      </c>
      <c r="K979" s="63">
        <f>IF($A979="","",IFERROR(INDEX(계정매핑!$C$5:$C$504,MATCH($F979&amp;"",계정매핑!$A$5:$A$504,0)),"미매핑"))</f>
        <v/>
      </c>
      <c r="L979" s="4">
        <f>IF($A979="","",VALUE($A979&amp;""))</f>
        <v/>
      </c>
      <c r="M979" s="4">
        <f>IF($A979="","",VALUE($B979&amp;""))</f>
        <v/>
      </c>
      <c r="N979" s="64">
        <f>IF($A979="","",$H979*설정!$C$15)</f>
        <v/>
      </c>
      <c r="O979" s="4">
        <f>IF($A979="","",J979&amp;"|"&amp;K979)</f>
        <v/>
      </c>
      <c r="P979" s="63">
        <f>IF($A979="","",IF(COUNTIFS(예산_원본!$T$5:$T$3004,O979,예산_원본!$B$5:$B$3004,설정!$C$8,예산_원본!$U$5:$U$3004,L979)&gt;0,"Y","N"))</f>
        <v/>
      </c>
      <c r="Q979" s="63">
        <f>IF($A979="","",IF(COUNTIF(집계!$E$7:$E$506,O979)&gt;0,"Y","N"))</f>
        <v/>
      </c>
    </row>
    <row r="980">
      <c r="A980" s="60" t="n">
        <v>2026</v>
      </c>
      <c r="B980" s="60" t="n">
        <v>1</v>
      </c>
      <c r="C980" s="60" t="inlineStr">
        <is>
          <t>1000</t>
        </is>
      </c>
      <c r="D980" s="60" t="n">
        <v>1502</v>
      </c>
      <c r="E980" s="60" t="inlineStr">
        <is>
          <t>디지털마케팅</t>
        </is>
      </c>
      <c r="F980" s="60" t="n">
        <v>62101000</v>
      </c>
      <c r="G980" s="60" t="inlineStr">
        <is>
          <t>여비교통비-국내</t>
        </is>
      </c>
      <c r="H980" s="61" t="n">
        <v>1210080</v>
      </c>
      <c r="J980" s="63">
        <f>IF($A980="","",IFERROR(INDEX(부서매핑!$C$5:$C$504,MATCH($D980&amp;"",부서매핑!$A$5:$A$504,0)),"미매핑"))</f>
        <v/>
      </c>
      <c r="K980" s="63">
        <f>IF($A980="","",IFERROR(INDEX(계정매핑!$C$5:$C$504,MATCH($F980&amp;"",계정매핑!$A$5:$A$504,0)),"미매핑"))</f>
        <v/>
      </c>
      <c r="L980" s="4">
        <f>IF($A980="","",VALUE($A980&amp;""))</f>
        <v/>
      </c>
      <c r="M980" s="4">
        <f>IF($A980="","",VALUE($B980&amp;""))</f>
        <v/>
      </c>
      <c r="N980" s="64">
        <f>IF($A980="","",$H980*설정!$C$15)</f>
        <v/>
      </c>
      <c r="O980" s="4">
        <f>IF($A980="","",J980&amp;"|"&amp;K980)</f>
        <v/>
      </c>
      <c r="P980" s="63">
        <f>IF($A980="","",IF(COUNTIFS(예산_원본!$T$5:$T$3004,O980,예산_원본!$B$5:$B$3004,설정!$C$8,예산_원본!$U$5:$U$3004,L980)&gt;0,"Y","N"))</f>
        <v/>
      </c>
      <c r="Q980" s="63">
        <f>IF($A980="","",IF(COUNTIF(집계!$E$7:$E$506,O980)&gt;0,"Y","N"))</f>
        <v/>
      </c>
    </row>
    <row r="981">
      <c r="A981" s="60" t="n">
        <v>2026</v>
      </c>
      <c r="B981" s="60" t="n">
        <v>1</v>
      </c>
      <c r="C981" s="60" t="inlineStr">
        <is>
          <t>1000</t>
        </is>
      </c>
      <c r="D981" s="60" t="n">
        <v>1502</v>
      </c>
      <c r="E981" s="60" t="inlineStr">
        <is>
          <t>디지털마케팅</t>
        </is>
      </c>
      <c r="F981" s="60" t="n">
        <v>62102000</v>
      </c>
      <c r="G981" s="60" t="inlineStr">
        <is>
          <t>여비교통비-해외</t>
        </is>
      </c>
      <c r="H981" s="61" t="n">
        <v>213570</v>
      </c>
      <c r="J981" s="63">
        <f>IF($A981="","",IFERROR(INDEX(부서매핑!$C$5:$C$504,MATCH($D981&amp;"",부서매핑!$A$5:$A$504,0)),"미매핑"))</f>
        <v/>
      </c>
      <c r="K981" s="63">
        <f>IF($A981="","",IFERROR(INDEX(계정매핑!$C$5:$C$504,MATCH($F981&amp;"",계정매핑!$A$5:$A$504,0)),"미매핑"))</f>
        <v/>
      </c>
      <c r="L981" s="4">
        <f>IF($A981="","",VALUE($A981&amp;""))</f>
        <v/>
      </c>
      <c r="M981" s="4">
        <f>IF($A981="","",VALUE($B981&amp;""))</f>
        <v/>
      </c>
      <c r="N981" s="64">
        <f>IF($A981="","",$H981*설정!$C$15)</f>
        <v/>
      </c>
      <c r="O981" s="4">
        <f>IF($A981="","",J981&amp;"|"&amp;K981)</f>
        <v/>
      </c>
      <c r="P981" s="63">
        <f>IF($A981="","",IF(COUNTIFS(예산_원본!$T$5:$T$3004,O981,예산_원본!$B$5:$B$3004,설정!$C$8,예산_원본!$U$5:$U$3004,L981)&gt;0,"Y","N"))</f>
        <v/>
      </c>
      <c r="Q981" s="63">
        <f>IF($A981="","",IF(COUNTIF(집계!$E$7:$E$506,O981)&gt;0,"Y","N"))</f>
        <v/>
      </c>
    </row>
    <row r="982">
      <c r="A982" s="60" t="n">
        <v>2026</v>
      </c>
      <c r="B982" s="60" t="n">
        <v>1</v>
      </c>
      <c r="C982" s="60" t="inlineStr">
        <is>
          <t>1000</t>
        </is>
      </c>
      <c r="D982" s="60" t="n">
        <v>1502</v>
      </c>
      <c r="E982" s="60" t="inlineStr">
        <is>
          <t>디지털마케팅</t>
        </is>
      </c>
      <c r="F982" s="60" t="n">
        <v>62201000</v>
      </c>
      <c r="G982" s="60" t="inlineStr">
        <is>
          <t>통신비</t>
        </is>
      </c>
      <c r="H982" s="61" t="n">
        <v>369310</v>
      </c>
      <c r="J982" s="63">
        <f>IF($A982="","",IFERROR(INDEX(부서매핑!$C$5:$C$504,MATCH($D982&amp;"",부서매핑!$A$5:$A$504,0)),"미매핑"))</f>
        <v/>
      </c>
      <c r="K982" s="63">
        <f>IF($A982="","",IFERROR(INDEX(계정매핑!$C$5:$C$504,MATCH($F982&amp;"",계정매핑!$A$5:$A$504,0)),"미매핑"))</f>
        <v/>
      </c>
      <c r="L982" s="4">
        <f>IF($A982="","",VALUE($A982&amp;""))</f>
        <v/>
      </c>
      <c r="M982" s="4">
        <f>IF($A982="","",VALUE($B982&amp;""))</f>
        <v/>
      </c>
      <c r="N982" s="64">
        <f>IF($A982="","",$H982*설정!$C$15)</f>
        <v/>
      </c>
      <c r="O982" s="4">
        <f>IF($A982="","",J982&amp;"|"&amp;K982)</f>
        <v/>
      </c>
      <c r="P982" s="63">
        <f>IF($A982="","",IF(COUNTIFS(예산_원본!$T$5:$T$3004,O982,예산_원본!$B$5:$B$3004,설정!$C$8,예산_원본!$U$5:$U$3004,L982)&gt;0,"Y","N"))</f>
        <v/>
      </c>
      <c r="Q982" s="63">
        <f>IF($A982="","",IF(COUNTIF(집계!$E$7:$E$506,O982)&gt;0,"Y","N"))</f>
        <v/>
      </c>
    </row>
    <row r="983">
      <c r="A983" s="60" t="n">
        <v>2026</v>
      </c>
      <c r="B983" s="60" t="n">
        <v>1</v>
      </c>
      <c r="C983" s="60" t="inlineStr">
        <is>
          <t>1000</t>
        </is>
      </c>
      <c r="D983" s="60" t="n">
        <v>1502</v>
      </c>
      <c r="E983" s="60" t="inlineStr">
        <is>
          <t>디지털마케팅</t>
        </is>
      </c>
      <c r="F983" s="60" t="n">
        <v>62301000</v>
      </c>
      <c r="G983" s="60" t="inlineStr">
        <is>
          <t>소모품비</t>
        </is>
      </c>
      <c r="H983" s="61" t="n">
        <v>258960</v>
      </c>
      <c r="J983" s="63">
        <f>IF($A983="","",IFERROR(INDEX(부서매핑!$C$5:$C$504,MATCH($D983&amp;"",부서매핑!$A$5:$A$504,0)),"미매핑"))</f>
        <v/>
      </c>
      <c r="K983" s="63">
        <f>IF($A983="","",IFERROR(INDEX(계정매핑!$C$5:$C$504,MATCH($F983&amp;"",계정매핑!$A$5:$A$504,0)),"미매핑"))</f>
        <v/>
      </c>
      <c r="L983" s="4">
        <f>IF($A983="","",VALUE($A983&amp;""))</f>
        <v/>
      </c>
      <c r="M983" s="4">
        <f>IF($A983="","",VALUE($B983&amp;""))</f>
        <v/>
      </c>
      <c r="N983" s="64">
        <f>IF($A983="","",$H983*설정!$C$15)</f>
        <v/>
      </c>
      <c r="O983" s="4">
        <f>IF($A983="","",J983&amp;"|"&amp;K983)</f>
        <v/>
      </c>
      <c r="P983" s="63">
        <f>IF($A983="","",IF(COUNTIFS(예산_원본!$T$5:$T$3004,O983,예산_원본!$B$5:$B$3004,설정!$C$8,예산_원본!$U$5:$U$3004,L983)&gt;0,"Y","N"))</f>
        <v/>
      </c>
      <c r="Q983" s="63">
        <f>IF($A983="","",IF(COUNTIF(집계!$E$7:$E$506,O983)&gt;0,"Y","N"))</f>
        <v/>
      </c>
    </row>
    <row r="984">
      <c r="A984" s="60" t="n">
        <v>2026</v>
      </c>
      <c r="B984" s="60" t="n">
        <v>1</v>
      </c>
      <c r="C984" s="60" t="inlineStr">
        <is>
          <t>1000</t>
        </is>
      </c>
      <c r="D984" s="60" t="n">
        <v>1502</v>
      </c>
      <c r="E984" s="60" t="inlineStr">
        <is>
          <t>디지털마케팅</t>
        </is>
      </c>
      <c r="F984" s="60" t="n">
        <v>62401000</v>
      </c>
      <c r="G984" s="60" t="inlineStr">
        <is>
          <t>도서인쇄비</t>
        </is>
      </c>
      <c r="H984" s="61" t="n">
        <v>3100230</v>
      </c>
      <c r="J984" s="63">
        <f>IF($A984="","",IFERROR(INDEX(부서매핑!$C$5:$C$504,MATCH($D984&amp;"",부서매핑!$A$5:$A$504,0)),"미매핑"))</f>
        <v/>
      </c>
      <c r="K984" s="63">
        <f>IF($A984="","",IFERROR(INDEX(계정매핑!$C$5:$C$504,MATCH($F984&amp;"",계정매핑!$A$5:$A$504,0)),"미매핑"))</f>
        <v/>
      </c>
      <c r="L984" s="4">
        <f>IF($A984="","",VALUE($A984&amp;""))</f>
        <v/>
      </c>
      <c r="M984" s="4">
        <f>IF($A984="","",VALUE($B984&amp;""))</f>
        <v/>
      </c>
      <c r="N984" s="64">
        <f>IF($A984="","",$H984*설정!$C$15)</f>
        <v/>
      </c>
      <c r="O984" s="4">
        <f>IF($A984="","",J984&amp;"|"&amp;K984)</f>
        <v/>
      </c>
      <c r="P984" s="63">
        <f>IF($A984="","",IF(COUNTIFS(예산_원본!$T$5:$T$3004,O984,예산_원본!$B$5:$B$3004,설정!$C$8,예산_원본!$U$5:$U$3004,L984)&gt;0,"Y","N"))</f>
        <v/>
      </c>
      <c r="Q984" s="63">
        <f>IF($A984="","",IF(COUNTIF(집계!$E$7:$E$506,O984)&gt;0,"Y","N"))</f>
        <v/>
      </c>
    </row>
    <row r="985">
      <c r="A985" s="60" t="n">
        <v>2026</v>
      </c>
      <c r="B985" s="60" t="n">
        <v>1</v>
      </c>
      <c r="C985" s="60" t="inlineStr">
        <is>
          <t>1000</t>
        </is>
      </c>
      <c r="D985" s="60" t="n">
        <v>1502</v>
      </c>
      <c r="E985" s="60" t="inlineStr">
        <is>
          <t>디지털마케팅</t>
        </is>
      </c>
      <c r="F985" s="60" t="n">
        <v>62501000</v>
      </c>
      <c r="G985" s="60" t="inlineStr">
        <is>
          <t>회의비</t>
        </is>
      </c>
      <c r="H985" s="61" t="n">
        <v>434470</v>
      </c>
      <c r="J985" s="63">
        <f>IF($A985="","",IFERROR(INDEX(부서매핑!$C$5:$C$504,MATCH($D985&amp;"",부서매핑!$A$5:$A$504,0)),"미매핑"))</f>
        <v/>
      </c>
      <c r="K985" s="63">
        <f>IF($A985="","",IFERROR(INDEX(계정매핑!$C$5:$C$504,MATCH($F985&amp;"",계정매핑!$A$5:$A$504,0)),"미매핑"))</f>
        <v/>
      </c>
      <c r="L985" s="4">
        <f>IF($A985="","",VALUE($A985&amp;""))</f>
        <v/>
      </c>
      <c r="M985" s="4">
        <f>IF($A985="","",VALUE($B985&amp;""))</f>
        <v/>
      </c>
      <c r="N985" s="64">
        <f>IF($A985="","",$H985*설정!$C$15)</f>
        <v/>
      </c>
      <c r="O985" s="4">
        <f>IF($A985="","",J985&amp;"|"&amp;K985)</f>
        <v/>
      </c>
      <c r="P985" s="63">
        <f>IF($A985="","",IF(COUNTIFS(예산_원본!$T$5:$T$3004,O985,예산_원본!$B$5:$B$3004,설정!$C$8,예산_원본!$U$5:$U$3004,L985)&gt;0,"Y","N"))</f>
        <v/>
      </c>
      <c r="Q985" s="63">
        <f>IF($A985="","",IF(COUNTIF(집계!$E$7:$E$506,O985)&gt;0,"Y","N"))</f>
        <v/>
      </c>
    </row>
    <row r="986">
      <c r="A986" s="60" t="n">
        <v>2026</v>
      </c>
      <c r="B986" s="60" t="n">
        <v>1</v>
      </c>
      <c r="C986" s="60" t="inlineStr">
        <is>
          <t>1000</t>
        </is>
      </c>
      <c r="D986" s="60" t="n">
        <v>1502</v>
      </c>
      <c r="E986" s="60" t="inlineStr">
        <is>
          <t>디지털마케팅</t>
        </is>
      </c>
      <c r="F986" s="60" t="n">
        <v>62601000</v>
      </c>
      <c r="G986" s="60" t="inlineStr">
        <is>
          <t>업무추진비</t>
        </is>
      </c>
      <c r="H986" s="61" t="n">
        <v>1035690</v>
      </c>
      <c r="J986" s="63">
        <f>IF($A986="","",IFERROR(INDEX(부서매핑!$C$5:$C$504,MATCH($D986&amp;"",부서매핑!$A$5:$A$504,0)),"미매핑"))</f>
        <v/>
      </c>
      <c r="K986" s="63">
        <f>IF($A986="","",IFERROR(INDEX(계정매핑!$C$5:$C$504,MATCH($F986&amp;"",계정매핑!$A$5:$A$504,0)),"미매핑"))</f>
        <v/>
      </c>
      <c r="L986" s="4">
        <f>IF($A986="","",VALUE($A986&amp;""))</f>
        <v/>
      </c>
      <c r="M986" s="4">
        <f>IF($A986="","",VALUE($B986&amp;""))</f>
        <v/>
      </c>
      <c r="N986" s="64">
        <f>IF($A986="","",$H986*설정!$C$15)</f>
        <v/>
      </c>
      <c r="O986" s="4">
        <f>IF($A986="","",J986&amp;"|"&amp;K986)</f>
        <v/>
      </c>
      <c r="P986" s="63">
        <f>IF($A986="","",IF(COUNTIFS(예산_원본!$T$5:$T$3004,O986,예산_원본!$B$5:$B$3004,설정!$C$8,예산_원본!$U$5:$U$3004,L986)&gt;0,"Y","N"))</f>
        <v/>
      </c>
      <c r="Q986" s="63">
        <f>IF($A986="","",IF(COUNTIF(집계!$E$7:$E$506,O986)&gt;0,"Y","N"))</f>
        <v/>
      </c>
    </row>
    <row r="987">
      <c r="A987" s="60" t="n">
        <v>2026</v>
      </c>
      <c r="B987" s="60" t="n">
        <v>1</v>
      </c>
      <c r="C987" s="60" t="inlineStr">
        <is>
          <t>1000</t>
        </is>
      </c>
      <c r="D987" s="60" t="n">
        <v>1502</v>
      </c>
      <c r="E987" s="60" t="inlineStr">
        <is>
          <t>디지털마케팅</t>
        </is>
      </c>
      <c r="F987" s="60" t="n">
        <v>62701000</v>
      </c>
      <c r="G987" s="60" t="inlineStr">
        <is>
          <t>광고선전비</t>
        </is>
      </c>
      <c r="H987" s="61" t="n">
        <v>52928570</v>
      </c>
      <c r="J987" s="63">
        <f>IF($A987="","",IFERROR(INDEX(부서매핑!$C$5:$C$504,MATCH($D987&amp;"",부서매핑!$A$5:$A$504,0)),"미매핑"))</f>
        <v/>
      </c>
      <c r="K987" s="63">
        <f>IF($A987="","",IFERROR(INDEX(계정매핑!$C$5:$C$504,MATCH($F987&amp;"",계정매핑!$A$5:$A$504,0)),"미매핑"))</f>
        <v/>
      </c>
      <c r="L987" s="4">
        <f>IF($A987="","",VALUE($A987&amp;""))</f>
        <v/>
      </c>
      <c r="M987" s="4">
        <f>IF($A987="","",VALUE($B987&amp;""))</f>
        <v/>
      </c>
      <c r="N987" s="64">
        <f>IF($A987="","",$H987*설정!$C$15)</f>
        <v/>
      </c>
      <c r="O987" s="4">
        <f>IF($A987="","",J987&amp;"|"&amp;K987)</f>
        <v/>
      </c>
      <c r="P987" s="63">
        <f>IF($A987="","",IF(COUNTIFS(예산_원본!$T$5:$T$3004,O987,예산_원본!$B$5:$B$3004,설정!$C$8,예산_원본!$U$5:$U$3004,L987)&gt;0,"Y","N"))</f>
        <v/>
      </c>
      <c r="Q987" s="63">
        <f>IF($A987="","",IF(COUNTIF(집계!$E$7:$E$506,O987)&gt;0,"Y","N"))</f>
        <v/>
      </c>
    </row>
    <row r="988">
      <c r="A988" s="60" t="n">
        <v>2026</v>
      </c>
      <c r="B988" s="60" t="n">
        <v>1</v>
      </c>
      <c r="C988" s="60" t="inlineStr">
        <is>
          <t>1000</t>
        </is>
      </c>
      <c r="D988" s="60" t="n">
        <v>1601</v>
      </c>
      <c r="E988" s="60" t="inlineStr">
        <is>
          <t>영업지원-본사</t>
        </is>
      </c>
      <c r="F988" s="60" t="n">
        <v>62101000</v>
      </c>
      <c r="G988" s="60" t="inlineStr">
        <is>
          <t>여비교통비-국내</t>
        </is>
      </c>
      <c r="H988" s="61" t="n">
        <v>3735130</v>
      </c>
      <c r="J988" s="63">
        <f>IF($A988="","",IFERROR(INDEX(부서매핑!$C$5:$C$504,MATCH($D988&amp;"",부서매핑!$A$5:$A$504,0)),"미매핑"))</f>
        <v/>
      </c>
      <c r="K988" s="63">
        <f>IF($A988="","",IFERROR(INDEX(계정매핑!$C$5:$C$504,MATCH($F988&amp;"",계정매핑!$A$5:$A$504,0)),"미매핑"))</f>
        <v/>
      </c>
      <c r="L988" s="4">
        <f>IF($A988="","",VALUE($A988&amp;""))</f>
        <v/>
      </c>
      <c r="M988" s="4">
        <f>IF($A988="","",VALUE($B988&amp;""))</f>
        <v/>
      </c>
      <c r="N988" s="64">
        <f>IF($A988="","",$H988*설정!$C$15)</f>
        <v/>
      </c>
      <c r="O988" s="4">
        <f>IF($A988="","",J988&amp;"|"&amp;K988)</f>
        <v/>
      </c>
      <c r="P988" s="63">
        <f>IF($A988="","",IF(COUNTIFS(예산_원본!$T$5:$T$3004,O988,예산_원본!$B$5:$B$3004,설정!$C$8,예산_원본!$U$5:$U$3004,L988)&gt;0,"Y","N"))</f>
        <v/>
      </c>
      <c r="Q988" s="63">
        <f>IF($A988="","",IF(COUNTIF(집계!$E$7:$E$506,O988)&gt;0,"Y","N"))</f>
        <v/>
      </c>
    </row>
    <row r="989">
      <c r="A989" s="60" t="n">
        <v>2026</v>
      </c>
      <c r="B989" s="60" t="n">
        <v>1</v>
      </c>
      <c r="C989" s="60" t="inlineStr">
        <is>
          <t>1000</t>
        </is>
      </c>
      <c r="D989" s="60" t="n">
        <v>1601</v>
      </c>
      <c r="E989" s="60" t="inlineStr">
        <is>
          <t>영업지원-본사</t>
        </is>
      </c>
      <c r="F989" s="60" t="n">
        <v>62102000</v>
      </c>
      <c r="G989" s="60" t="inlineStr">
        <is>
          <t>여비교통비-해외</t>
        </is>
      </c>
      <c r="H989" s="61" t="n">
        <v>615040</v>
      </c>
      <c r="J989" s="63">
        <f>IF($A989="","",IFERROR(INDEX(부서매핑!$C$5:$C$504,MATCH($D989&amp;"",부서매핑!$A$5:$A$504,0)),"미매핑"))</f>
        <v/>
      </c>
      <c r="K989" s="63">
        <f>IF($A989="","",IFERROR(INDEX(계정매핑!$C$5:$C$504,MATCH($F989&amp;"",계정매핑!$A$5:$A$504,0)),"미매핑"))</f>
        <v/>
      </c>
      <c r="L989" s="4">
        <f>IF($A989="","",VALUE($A989&amp;""))</f>
        <v/>
      </c>
      <c r="M989" s="4">
        <f>IF($A989="","",VALUE($B989&amp;""))</f>
        <v/>
      </c>
      <c r="N989" s="64">
        <f>IF($A989="","",$H989*설정!$C$15)</f>
        <v/>
      </c>
      <c r="O989" s="4">
        <f>IF($A989="","",J989&amp;"|"&amp;K989)</f>
        <v/>
      </c>
      <c r="P989" s="63">
        <f>IF($A989="","",IF(COUNTIFS(예산_원본!$T$5:$T$3004,O989,예산_원본!$B$5:$B$3004,설정!$C$8,예산_원본!$U$5:$U$3004,L989)&gt;0,"Y","N"))</f>
        <v/>
      </c>
      <c r="Q989" s="63">
        <f>IF($A989="","",IF(COUNTIF(집계!$E$7:$E$506,O989)&gt;0,"Y","N"))</f>
        <v/>
      </c>
    </row>
    <row r="990">
      <c r="A990" s="60" t="n">
        <v>2026</v>
      </c>
      <c r="B990" s="60" t="n">
        <v>1</v>
      </c>
      <c r="C990" s="60" t="inlineStr">
        <is>
          <t>1000</t>
        </is>
      </c>
      <c r="D990" s="60" t="n">
        <v>1601</v>
      </c>
      <c r="E990" s="60" t="inlineStr">
        <is>
          <t>영업지원-본사</t>
        </is>
      </c>
      <c r="F990" s="60" t="n">
        <v>62201000</v>
      </c>
      <c r="G990" s="60" t="inlineStr">
        <is>
          <t>통신비</t>
        </is>
      </c>
      <c r="H990" s="61" t="n">
        <v>945540</v>
      </c>
      <c r="J990" s="63">
        <f>IF($A990="","",IFERROR(INDEX(부서매핑!$C$5:$C$504,MATCH($D990&amp;"",부서매핑!$A$5:$A$504,0)),"미매핑"))</f>
        <v/>
      </c>
      <c r="K990" s="63">
        <f>IF($A990="","",IFERROR(INDEX(계정매핑!$C$5:$C$504,MATCH($F990&amp;"",계정매핑!$A$5:$A$504,0)),"미매핑"))</f>
        <v/>
      </c>
      <c r="L990" s="4">
        <f>IF($A990="","",VALUE($A990&amp;""))</f>
        <v/>
      </c>
      <c r="M990" s="4">
        <f>IF($A990="","",VALUE($B990&amp;""))</f>
        <v/>
      </c>
      <c r="N990" s="64">
        <f>IF($A990="","",$H990*설정!$C$15)</f>
        <v/>
      </c>
      <c r="O990" s="4">
        <f>IF($A990="","",J990&amp;"|"&amp;K990)</f>
        <v/>
      </c>
      <c r="P990" s="63">
        <f>IF($A990="","",IF(COUNTIFS(예산_원본!$T$5:$T$3004,O990,예산_원본!$B$5:$B$3004,설정!$C$8,예산_원본!$U$5:$U$3004,L990)&gt;0,"Y","N"))</f>
        <v/>
      </c>
      <c r="Q990" s="63">
        <f>IF($A990="","",IF(COUNTIF(집계!$E$7:$E$506,O990)&gt;0,"Y","N"))</f>
        <v/>
      </c>
    </row>
    <row r="991">
      <c r="A991" s="60" t="n">
        <v>2026</v>
      </c>
      <c r="B991" s="60" t="n">
        <v>1</v>
      </c>
      <c r="C991" s="60" t="inlineStr">
        <is>
          <t>1000</t>
        </is>
      </c>
      <c r="D991" s="60" t="n">
        <v>1601</v>
      </c>
      <c r="E991" s="60" t="inlineStr">
        <is>
          <t>영업지원-본사</t>
        </is>
      </c>
      <c r="F991" s="60" t="n">
        <v>62301000</v>
      </c>
      <c r="G991" s="60" t="inlineStr">
        <is>
          <t>소모품비</t>
        </is>
      </c>
      <c r="H991" s="61" t="n">
        <v>618210</v>
      </c>
      <c r="J991" s="63">
        <f>IF($A991="","",IFERROR(INDEX(부서매핑!$C$5:$C$504,MATCH($D991&amp;"",부서매핑!$A$5:$A$504,0)),"미매핑"))</f>
        <v/>
      </c>
      <c r="K991" s="63">
        <f>IF($A991="","",IFERROR(INDEX(계정매핑!$C$5:$C$504,MATCH($F991&amp;"",계정매핑!$A$5:$A$504,0)),"미매핑"))</f>
        <v/>
      </c>
      <c r="L991" s="4">
        <f>IF($A991="","",VALUE($A991&amp;""))</f>
        <v/>
      </c>
      <c r="M991" s="4">
        <f>IF($A991="","",VALUE($B991&amp;""))</f>
        <v/>
      </c>
      <c r="N991" s="64">
        <f>IF($A991="","",$H991*설정!$C$15)</f>
        <v/>
      </c>
      <c r="O991" s="4">
        <f>IF($A991="","",J991&amp;"|"&amp;K991)</f>
        <v/>
      </c>
      <c r="P991" s="63">
        <f>IF($A991="","",IF(COUNTIFS(예산_원본!$T$5:$T$3004,O991,예산_원본!$B$5:$B$3004,설정!$C$8,예산_원본!$U$5:$U$3004,L991)&gt;0,"Y","N"))</f>
        <v/>
      </c>
      <c r="Q991" s="63">
        <f>IF($A991="","",IF(COUNTIF(집계!$E$7:$E$506,O991)&gt;0,"Y","N"))</f>
        <v/>
      </c>
    </row>
    <row r="992">
      <c r="A992" s="60" t="n">
        <v>2026</v>
      </c>
      <c r="B992" s="60" t="n">
        <v>1</v>
      </c>
      <c r="C992" s="60" t="inlineStr">
        <is>
          <t>1000</t>
        </is>
      </c>
      <c r="D992" s="60" t="n">
        <v>1601</v>
      </c>
      <c r="E992" s="60" t="inlineStr">
        <is>
          <t>영업지원-본사</t>
        </is>
      </c>
      <c r="F992" s="60" t="n">
        <v>62501000</v>
      </c>
      <c r="G992" s="60" t="inlineStr">
        <is>
          <t>회의비</t>
        </is>
      </c>
      <c r="H992" s="61" t="n">
        <v>752110</v>
      </c>
      <c r="J992" s="63">
        <f>IF($A992="","",IFERROR(INDEX(부서매핑!$C$5:$C$504,MATCH($D992&amp;"",부서매핑!$A$5:$A$504,0)),"미매핑"))</f>
        <v/>
      </c>
      <c r="K992" s="63">
        <f>IF($A992="","",IFERROR(INDEX(계정매핑!$C$5:$C$504,MATCH($F992&amp;"",계정매핑!$A$5:$A$504,0)),"미매핑"))</f>
        <v/>
      </c>
      <c r="L992" s="4">
        <f>IF($A992="","",VALUE($A992&amp;""))</f>
        <v/>
      </c>
      <c r="M992" s="4">
        <f>IF($A992="","",VALUE($B992&amp;""))</f>
        <v/>
      </c>
      <c r="N992" s="64">
        <f>IF($A992="","",$H992*설정!$C$15)</f>
        <v/>
      </c>
      <c r="O992" s="4">
        <f>IF($A992="","",J992&amp;"|"&amp;K992)</f>
        <v/>
      </c>
      <c r="P992" s="63">
        <f>IF($A992="","",IF(COUNTIFS(예산_원본!$T$5:$T$3004,O992,예산_원본!$B$5:$B$3004,설정!$C$8,예산_원본!$U$5:$U$3004,L992)&gt;0,"Y","N"))</f>
        <v/>
      </c>
      <c r="Q992" s="63">
        <f>IF($A992="","",IF(COUNTIF(집계!$E$7:$E$506,O992)&gt;0,"Y","N"))</f>
        <v/>
      </c>
    </row>
    <row r="993">
      <c r="A993" s="60" t="n">
        <v>2026</v>
      </c>
      <c r="B993" s="60" t="n">
        <v>1</v>
      </c>
      <c r="C993" s="60" t="inlineStr">
        <is>
          <t>1000</t>
        </is>
      </c>
      <c r="D993" s="60" t="n">
        <v>1601</v>
      </c>
      <c r="E993" s="60" t="inlineStr">
        <is>
          <t>영업지원-본사</t>
        </is>
      </c>
      <c r="F993" s="60" t="n">
        <v>62601000</v>
      </c>
      <c r="G993" s="60" t="inlineStr">
        <is>
          <t>업무추진비</t>
        </is>
      </c>
      <c r="H993" s="61" t="n">
        <v>1809760</v>
      </c>
      <c r="J993" s="63">
        <f>IF($A993="","",IFERROR(INDEX(부서매핑!$C$5:$C$504,MATCH($D993&amp;"",부서매핑!$A$5:$A$504,0)),"미매핑"))</f>
        <v/>
      </c>
      <c r="K993" s="63">
        <f>IF($A993="","",IFERROR(INDEX(계정매핑!$C$5:$C$504,MATCH($F993&amp;"",계정매핑!$A$5:$A$504,0)),"미매핑"))</f>
        <v/>
      </c>
      <c r="L993" s="4">
        <f>IF($A993="","",VALUE($A993&amp;""))</f>
        <v/>
      </c>
      <c r="M993" s="4">
        <f>IF($A993="","",VALUE($B993&amp;""))</f>
        <v/>
      </c>
      <c r="N993" s="64">
        <f>IF($A993="","",$H993*설정!$C$15)</f>
        <v/>
      </c>
      <c r="O993" s="4">
        <f>IF($A993="","",J993&amp;"|"&amp;K993)</f>
        <v/>
      </c>
      <c r="P993" s="63">
        <f>IF($A993="","",IF(COUNTIFS(예산_원본!$T$5:$T$3004,O993,예산_원본!$B$5:$B$3004,설정!$C$8,예산_원본!$U$5:$U$3004,L993)&gt;0,"Y","N"))</f>
        <v/>
      </c>
      <c r="Q993" s="63">
        <f>IF($A993="","",IF(COUNTIF(집계!$E$7:$E$506,O993)&gt;0,"Y","N"))</f>
        <v/>
      </c>
    </row>
    <row r="994">
      <c r="A994" s="60" t="n">
        <v>2026</v>
      </c>
      <c r="B994" s="60" t="n">
        <v>1</v>
      </c>
      <c r="C994" s="60" t="inlineStr">
        <is>
          <t>1000</t>
        </is>
      </c>
      <c r="D994" s="60" t="n">
        <v>1601</v>
      </c>
      <c r="E994" s="60" t="inlineStr">
        <is>
          <t>영업지원-본사</t>
        </is>
      </c>
      <c r="F994" s="60" t="n">
        <v>63101000</v>
      </c>
      <c r="G994" s="60" t="inlineStr">
        <is>
          <t>임차료</t>
        </is>
      </c>
      <c r="H994" s="61" t="n">
        <v>9975470</v>
      </c>
      <c r="J994" s="63">
        <f>IF($A994="","",IFERROR(INDEX(부서매핑!$C$5:$C$504,MATCH($D994&amp;"",부서매핑!$A$5:$A$504,0)),"미매핑"))</f>
        <v/>
      </c>
      <c r="K994" s="63">
        <f>IF($A994="","",IFERROR(INDEX(계정매핑!$C$5:$C$504,MATCH($F994&amp;"",계정매핑!$A$5:$A$504,0)),"미매핑"))</f>
        <v/>
      </c>
      <c r="L994" s="4">
        <f>IF($A994="","",VALUE($A994&amp;""))</f>
        <v/>
      </c>
      <c r="M994" s="4">
        <f>IF($A994="","",VALUE($B994&amp;""))</f>
        <v/>
      </c>
      <c r="N994" s="64">
        <f>IF($A994="","",$H994*설정!$C$15)</f>
        <v/>
      </c>
      <c r="O994" s="4">
        <f>IF($A994="","",J994&amp;"|"&amp;K994)</f>
        <v/>
      </c>
      <c r="P994" s="63">
        <f>IF($A994="","",IF(COUNTIFS(예산_원본!$T$5:$T$3004,O994,예산_원본!$B$5:$B$3004,설정!$C$8,예산_원본!$U$5:$U$3004,L994)&gt;0,"Y","N"))</f>
        <v/>
      </c>
      <c r="Q994" s="63">
        <f>IF($A994="","",IF(COUNTIF(집계!$E$7:$E$506,O994)&gt;0,"Y","N"))</f>
        <v/>
      </c>
    </row>
    <row r="995">
      <c r="A995" s="60" t="n">
        <v>2026</v>
      </c>
      <c r="B995" s="60" t="n">
        <v>1</v>
      </c>
      <c r="C995" s="60" t="inlineStr">
        <is>
          <t>1000</t>
        </is>
      </c>
      <c r="D995" s="60" t="n">
        <v>1601</v>
      </c>
      <c r="E995" s="60" t="inlineStr">
        <is>
          <t>영업지원-본사</t>
        </is>
      </c>
      <c r="F995" s="60" t="n">
        <v>63201000</v>
      </c>
      <c r="G995" s="60" t="inlineStr">
        <is>
          <t>차량유지비</t>
        </is>
      </c>
      <c r="H995" s="61" t="n">
        <v>5282620</v>
      </c>
      <c r="J995" s="63">
        <f>IF($A995="","",IFERROR(INDEX(부서매핑!$C$5:$C$504,MATCH($D995&amp;"",부서매핑!$A$5:$A$504,0)),"미매핑"))</f>
        <v/>
      </c>
      <c r="K995" s="63">
        <f>IF($A995="","",IFERROR(INDEX(계정매핑!$C$5:$C$504,MATCH($F995&amp;"",계정매핑!$A$5:$A$504,0)),"미매핑"))</f>
        <v/>
      </c>
      <c r="L995" s="4">
        <f>IF($A995="","",VALUE($A995&amp;""))</f>
        <v/>
      </c>
      <c r="M995" s="4">
        <f>IF($A995="","",VALUE($B995&amp;""))</f>
        <v/>
      </c>
      <c r="N995" s="64">
        <f>IF($A995="","",$H995*설정!$C$15)</f>
        <v/>
      </c>
      <c r="O995" s="4">
        <f>IF($A995="","",J995&amp;"|"&amp;K995)</f>
        <v/>
      </c>
      <c r="P995" s="63">
        <f>IF($A995="","",IF(COUNTIFS(예산_원본!$T$5:$T$3004,O995,예산_원본!$B$5:$B$3004,설정!$C$8,예산_원본!$U$5:$U$3004,L995)&gt;0,"Y","N"))</f>
        <v/>
      </c>
      <c r="Q995" s="63">
        <f>IF($A995="","",IF(COUNTIF(집계!$E$7:$E$506,O995)&gt;0,"Y","N"))</f>
        <v/>
      </c>
    </row>
    <row r="996">
      <c r="A996" s="60" t="n">
        <v>2026</v>
      </c>
      <c r="B996" s="60" t="n">
        <v>1</v>
      </c>
      <c r="C996" s="60" t="inlineStr">
        <is>
          <t>1000</t>
        </is>
      </c>
      <c r="D996" s="60" t="n">
        <v>1602</v>
      </c>
      <c r="E996" s="60" t="inlineStr">
        <is>
          <t>영업지원-지역본부</t>
        </is>
      </c>
      <c r="F996" s="60" t="n">
        <v>62101000</v>
      </c>
      <c r="G996" s="60" t="inlineStr">
        <is>
          <t>여비교통비-국내</t>
        </is>
      </c>
      <c r="H996" s="61" t="n">
        <v>3152870</v>
      </c>
      <c r="J996" s="63">
        <f>IF($A996="","",IFERROR(INDEX(부서매핑!$C$5:$C$504,MATCH($D996&amp;"",부서매핑!$A$5:$A$504,0)),"미매핑"))</f>
        <v/>
      </c>
      <c r="K996" s="63">
        <f>IF($A996="","",IFERROR(INDEX(계정매핑!$C$5:$C$504,MATCH($F996&amp;"",계정매핑!$A$5:$A$504,0)),"미매핑"))</f>
        <v/>
      </c>
      <c r="L996" s="4">
        <f>IF($A996="","",VALUE($A996&amp;""))</f>
        <v/>
      </c>
      <c r="M996" s="4">
        <f>IF($A996="","",VALUE($B996&amp;""))</f>
        <v/>
      </c>
      <c r="N996" s="64">
        <f>IF($A996="","",$H996*설정!$C$15)</f>
        <v/>
      </c>
      <c r="O996" s="4">
        <f>IF($A996="","",J996&amp;"|"&amp;K996)</f>
        <v/>
      </c>
      <c r="P996" s="63">
        <f>IF($A996="","",IF(COUNTIFS(예산_원본!$T$5:$T$3004,O996,예산_원본!$B$5:$B$3004,설정!$C$8,예산_원본!$U$5:$U$3004,L996)&gt;0,"Y","N"))</f>
        <v/>
      </c>
      <c r="Q996" s="63">
        <f>IF($A996="","",IF(COUNTIF(집계!$E$7:$E$506,O996)&gt;0,"Y","N"))</f>
        <v/>
      </c>
    </row>
    <row r="997">
      <c r="A997" s="60" t="n">
        <v>2026</v>
      </c>
      <c r="B997" s="60" t="n">
        <v>1</v>
      </c>
      <c r="C997" s="60" t="inlineStr">
        <is>
          <t>1000</t>
        </is>
      </c>
      <c r="D997" s="60" t="n">
        <v>1602</v>
      </c>
      <c r="E997" s="60" t="inlineStr">
        <is>
          <t>영업지원-지역본부</t>
        </is>
      </c>
      <c r="F997" s="60" t="n">
        <v>62102000</v>
      </c>
      <c r="G997" s="60" t="inlineStr">
        <is>
          <t>여비교통비-해외</t>
        </is>
      </c>
      <c r="H997" s="61" t="n">
        <v>538080</v>
      </c>
      <c r="J997" s="63">
        <f>IF($A997="","",IFERROR(INDEX(부서매핑!$C$5:$C$504,MATCH($D997&amp;"",부서매핑!$A$5:$A$504,0)),"미매핑"))</f>
        <v/>
      </c>
      <c r="K997" s="63">
        <f>IF($A997="","",IFERROR(INDEX(계정매핑!$C$5:$C$504,MATCH($F997&amp;"",계정매핑!$A$5:$A$504,0)),"미매핑"))</f>
        <v/>
      </c>
      <c r="L997" s="4">
        <f>IF($A997="","",VALUE($A997&amp;""))</f>
        <v/>
      </c>
      <c r="M997" s="4">
        <f>IF($A997="","",VALUE($B997&amp;""))</f>
        <v/>
      </c>
      <c r="N997" s="64">
        <f>IF($A997="","",$H997*설정!$C$15)</f>
        <v/>
      </c>
      <c r="O997" s="4">
        <f>IF($A997="","",J997&amp;"|"&amp;K997)</f>
        <v/>
      </c>
      <c r="P997" s="63">
        <f>IF($A997="","",IF(COUNTIFS(예산_원본!$T$5:$T$3004,O997,예산_원본!$B$5:$B$3004,설정!$C$8,예산_원본!$U$5:$U$3004,L997)&gt;0,"Y","N"))</f>
        <v/>
      </c>
      <c r="Q997" s="63">
        <f>IF($A997="","",IF(COUNTIF(집계!$E$7:$E$506,O997)&gt;0,"Y","N"))</f>
        <v/>
      </c>
    </row>
    <row r="998">
      <c r="A998" s="60" t="n">
        <v>2026</v>
      </c>
      <c r="B998" s="60" t="n">
        <v>1</v>
      </c>
      <c r="C998" s="60" t="inlineStr">
        <is>
          <t>1000</t>
        </is>
      </c>
      <c r="D998" s="60" t="n">
        <v>1602</v>
      </c>
      <c r="E998" s="60" t="inlineStr">
        <is>
          <t>영업지원-지역본부</t>
        </is>
      </c>
      <c r="F998" s="60" t="n">
        <v>62201000</v>
      </c>
      <c r="G998" s="60" t="inlineStr">
        <is>
          <t>통신비</t>
        </is>
      </c>
      <c r="H998" s="61" t="n">
        <v>885160</v>
      </c>
      <c r="J998" s="63">
        <f>IF($A998="","",IFERROR(INDEX(부서매핑!$C$5:$C$504,MATCH($D998&amp;"",부서매핑!$A$5:$A$504,0)),"미매핑"))</f>
        <v/>
      </c>
      <c r="K998" s="63">
        <f>IF($A998="","",IFERROR(INDEX(계정매핑!$C$5:$C$504,MATCH($F998&amp;"",계정매핑!$A$5:$A$504,0)),"미매핑"))</f>
        <v/>
      </c>
      <c r="L998" s="4">
        <f>IF($A998="","",VALUE($A998&amp;""))</f>
        <v/>
      </c>
      <c r="M998" s="4">
        <f>IF($A998="","",VALUE($B998&amp;""))</f>
        <v/>
      </c>
      <c r="N998" s="64">
        <f>IF($A998="","",$H998*설정!$C$15)</f>
        <v/>
      </c>
      <c r="O998" s="4">
        <f>IF($A998="","",J998&amp;"|"&amp;K998)</f>
        <v/>
      </c>
      <c r="P998" s="63">
        <f>IF($A998="","",IF(COUNTIFS(예산_원본!$T$5:$T$3004,O998,예산_원본!$B$5:$B$3004,설정!$C$8,예산_원본!$U$5:$U$3004,L998)&gt;0,"Y","N"))</f>
        <v/>
      </c>
      <c r="Q998" s="63">
        <f>IF($A998="","",IF(COUNTIF(집계!$E$7:$E$506,O998)&gt;0,"Y","N"))</f>
        <v/>
      </c>
    </row>
    <row r="999">
      <c r="A999" s="60" t="n">
        <v>2026</v>
      </c>
      <c r="B999" s="60" t="n">
        <v>1</v>
      </c>
      <c r="C999" s="60" t="inlineStr">
        <is>
          <t>1000</t>
        </is>
      </c>
      <c r="D999" s="60" t="n">
        <v>1602</v>
      </c>
      <c r="E999" s="60" t="inlineStr">
        <is>
          <t>영업지원-지역본부</t>
        </is>
      </c>
      <c r="F999" s="60" t="n">
        <v>62301000</v>
      </c>
      <c r="G999" s="60" t="inlineStr">
        <is>
          <t>소모품비</t>
        </is>
      </c>
      <c r="H999" s="61" t="n">
        <v>474430</v>
      </c>
      <c r="J999" s="63">
        <f>IF($A999="","",IFERROR(INDEX(부서매핑!$C$5:$C$504,MATCH($D999&amp;"",부서매핑!$A$5:$A$504,0)),"미매핑"))</f>
        <v/>
      </c>
      <c r="K999" s="63">
        <f>IF($A999="","",IFERROR(INDEX(계정매핑!$C$5:$C$504,MATCH($F999&amp;"",계정매핑!$A$5:$A$504,0)),"미매핑"))</f>
        <v/>
      </c>
      <c r="L999" s="4">
        <f>IF($A999="","",VALUE($A999&amp;""))</f>
        <v/>
      </c>
      <c r="M999" s="4">
        <f>IF($A999="","",VALUE($B999&amp;""))</f>
        <v/>
      </c>
      <c r="N999" s="64">
        <f>IF($A999="","",$H999*설정!$C$15)</f>
        <v/>
      </c>
      <c r="O999" s="4">
        <f>IF($A999="","",J999&amp;"|"&amp;K999)</f>
        <v/>
      </c>
      <c r="P999" s="63">
        <f>IF($A999="","",IF(COUNTIFS(예산_원본!$T$5:$T$3004,O999,예산_원본!$B$5:$B$3004,설정!$C$8,예산_원본!$U$5:$U$3004,L999)&gt;0,"Y","N"))</f>
        <v/>
      </c>
      <c r="Q999" s="63">
        <f>IF($A999="","",IF(COUNTIF(집계!$E$7:$E$506,O999)&gt;0,"Y","N"))</f>
        <v/>
      </c>
    </row>
    <row r="1000">
      <c r="A1000" s="60" t="n">
        <v>2026</v>
      </c>
      <c r="B1000" s="60" t="n">
        <v>1</v>
      </c>
      <c r="C1000" s="60" t="inlineStr">
        <is>
          <t>1000</t>
        </is>
      </c>
      <c r="D1000" s="60" t="n">
        <v>1602</v>
      </c>
      <c r="E1000" s="60" t="inlineStr">
        <is>
          <t>영업지원-지역본부</t>
        </is>
      </c>
      <c r="F1000" s="60" t="n">
        <v>62501000</v>
      </c>
      <c r="G1000" s="60" t="inlineStr">
        <is>
          <t>회의비</t>
        </is>
      </c>
      <c r="H1000" s="61" t="n">
        <v>675720</v>
      </c>
      <c r="J1000" s="63">
        <f>IF($A1000="","",IFERROR(INDEX(부서매핑!$C$5:$C$504,MATCH($D1000&amp;"",부서매핑!$A$5:$A$504,0)),"미매핑"))</f>
        <v/>
      </c>
      <c r="K1000" s="63">
        <f>IF($A1000="","",IFERROR(INDEX(계정매핑!$C$5:$C$504,MATCH($F1000&amp;"",계정매핑!$A$5:$A$504,0)),"미매핑"))</f>
        <v/>
      </c>
      <c r="L1000" s="4">
        <f>IF($A1000="","",VALUE($A1000&amp;""))</f>
        <v/>
      </c>
      <c r="M1000" s="4">
        <f>IF($A1000="","",VALUE($B1000&amp;""))</f>
        <v/>
      </c>
      <c r="N1000" s="64">
        <f>IF($A1000="","",$H1000*설정!$C$15)</f>
        <v/>
      </c>
      <c r="O1000" s="4">
        <f>IF($A1000="","",J1000&amp;"|"&amp;K1000)</f>
        <v/>
      </c>
      <c r="P1000" s="63">
        <f>IF($A1000="","",IF(COUNTIFS(예산_원본!$T$5:$T$3004,O1000,예산_원본!$B$5:$B$3004,설정!$C$8,예산_원본!$U$5:$U$3004,L1000)&gt;0,"Y","N"))</f>
        <v/>
      </c>
      <c r="Q1000" s="63">
        <f>IF($A1000="","",IF(COUNTIF(집계!$E$7:$E$506,O1000)&gt;0,"Y","N"))</f>
        <v/>
      </c>
    </row>
    <row r="1001">
      <c r="A1001" s="60" t="n">
        <v>2026</v>
      </c>
      <c r="B1001" s="60" t="n">
        <v>1</v>
      </c>
      <c r="C1001" s="60" t="inlineStr">
        <is>
          <t>1000</t>
        </is>
      </c>
      <c r="D1001" s="60" t="n">
        <v>1602</v>
      </c>
      <c r="E1001" s="60" t="inlineStr">
        <is>
          <t>영업지원-지역본부</t>
        </is>
      </c>
      <c r="F1001" s="60" t="n">
        <v>62601000</v>
      </c>
      <c r="G1001" s="60" t="inlineStr">
        <is>
          <t>업무추진비</t>
        </is>
      </c>
      <c r="H1001" s="61" t="n">
        <v>1542200</v>
      </c>
      <c r="J1001" s="63">
        <f>IF($A1001="","",IFERROR(INDEX(부서매핑!$C$5:$C$504,MATCH($D1001&amp;"",부서매핑!$A$5:$A$504,0)),"미매핑"))</f>
        <v/>
      </c>
      <c r="K1001" s="63">
        <f>IF($A1001="","",IFERROR(INDEX(계정매핑!$C$5:$C$504,MATCH($F1001&amp;"",계정매핑!$A$5:$A$504,0)),"미매핑"))</f>
        <v/>
      </c>
      <c r="L1001" s="4">
        <f>IF($A1001="","",VALUE($A1001&amp;""))</f>
        <v/>
      </c>
      <c r="M1001" s="4">
        <f>IF($A1001="","",VALUE($B1001&amp;""))</f>
        <v/>
      </c>
      <c r="N1001" s="64">
        <f>IF($A1001="","",$H1001*설정!$C$15)</f>
        <v/>
      </c>
      <c r="O1001" s="4">
        <f>IF($A1001="","",J1001&amp;"|"&amp;K1001)</f>
        <v/>
      </c>
      <c r="P1001" s="63">
        <f>IF($A1001="","",IF(COUNTIFS(예산_원본!$T$5:$T$3004,O1001,예산_원본!$B$5:$B$3004,설정!$C$8,예산_원본!$U$5:$U$3004,L1001)&gt;0,"Y","N"))</f>
        <v/>
      </c>
      <c r="Q1001" s="63">
        <f>IF($A1001="","",IF(COUNTIF(집계!$E$7:$E$506,O1001)&gt;0,"Y","N"))</f>
        <v/>
      </c>
    </row>
    <row r="1002">
      <c r="A1002" s="60" t="n">
        <v>2026</v>
      </c>
      <c r="B1002" s="60" t="n">
        <v>1</v>
      </c>
      <c r="C1002" s="60" t="inlineStr">
        <is>
          <t>1000</t>
        </is>
      </c>
      <c r="D1002" s="60" t="n">
        <v>1602</v>
      </c>
      <c r="E1002" s="60" t="inlineStr">
        <is>
          <t>영업지원-지역본부</t>
        </is>
      </c>
      <c r="F1002" s="60" t="n">
        <v>63101000</v>
      </c>
      <c r="G1002" s="60" t="inlineStr">
        <is>
          <t>임차료</t>
        </is>
      </c>
      <c r="H1002" s="61" t="n">
        <v>9473250</v>
      </c>
      <c r="J1002" s="63">
        <f>IF($A1002="","",IFERROR(INDEX(부서매핑!$C$5:$C$504,MATCH($D1002&amp;"",부서매핑!$A$5:$A$504,0)),"미매핑"))</f>
        <v/>
      </c>
      <c r="K1002" s="63">
        <f>IF($A1002="","",IFERROR(INDEX(계정매핑!$C$5:$C$504,MATCH($F1002&amp;"",계정매핑!$A$5:$A$504,0)),"미매핑"))</f>
        <v/>
      </c>
      <c r="L1002" s="4">
        <f>IF($A1002="","",VALUE($A1002&amp;""))</f>
        <v/>
      </c>
      <c r="M1002" s="4">
        <f>IF($A1002="","",VALUE($B1002&amp;""))</f>
        <v/>
      </c>
      <c r="N1002" s="64">
        <f>IF($A1002="","",$H1002*설정!$C$15)</f>
        <v/>
      </c>
      <c r="O1002" s="4">
        <f>IF($A1002="","",J1002&amp;"|"&amp;K1002)</f>
        <v/>
      </c>
      <c r="P1002" s="63">
        <f>IF($A1002="","",IF(COUNTIFS(예산_원본!$T$5:$T$3004,O1002,예산_원본!$B$5:$B$3004,설정!$C$8,예산_원본!$U$5:$U$3004,L1002)&gt;0,"Y","N"))</f>
        <v/>
      </c>
      <c r="Q1002" s="63">
        <f>IF($A1002="","",IF(COUNTIF(집계!$E$7:$E$506,O1002)&gt;0,"Y","N"))</f>
        <v/>
      </c>
    </row>
    <row r="1003">
      <c r="A1003" s="60" t="n">
        <v>2026</v>
      </c>
      <c r="B1003" s="60" t="n">
        <v>1</v>
      </c>
      <c r="C1003" s="60" t="inlineStr">
        <is>
          <t>1000</t>
        </is>
      </c>
      <c r="D1003" s="60" t="n">
        <v>1602</v>
      </c>
      <c r="E1003" s="60" t="inlineStr">
        <is>
          <t>영업지원-지역본부</t>
        </is>
      </c>
      <c r="F1003" s="60" t="n">
        <v>63201000</v>
      </c>
      <c r="G1003" s="60" t="inlineStr">
        <is>
          <t>차량유지비</t>
        </is>
      </c>
      <c r="H1003" s="61" t="n">
        <v>4483510</v>
      </c>
      <c r="J1003" s="63">
        <f>IF($A1003="","",IFERROR(INDEX(부서매핑!$C$5:$C$504,MATCH($D1003&amp;"",부서매핑!$A$5:$A$504,0)),"미매핑"))</f>
        <v/>
      </c>
      <c r="K1003" s="63">
        <f>IF($A1003="","",IFERROR(INDEX(계정매핑!$C$5:$C$504,MATCH($F1003&amp;"",계정매핑!$A$5:$A$504,0)),"미매핑"))</f>
        <v/>
      </c>
      <c r="L1003" s="4">
        <f>IF($A1003="","",VALUE($A1003&amp;""))</f>
        <v/>
      </c>
      <c r="M1003" s="4">
        <f>IF($A1003="","",VALUE($B1003&amp;""))</f>
        <v/>
      </c>
      <c r="N1003" s="64">
        <f>IF($A1003="","",$H1003*설정!$C$15)</f>
        <v/>
      </c>
      <c r="O1003" s="4">
        <f>IF($A1003="","",J1003&amp;"|"&amp;K1003)</f>
        <v/>
      </c>
      <c r="P1003" s="63">
        <f>IF($A1003="","",IF(COUNTIFS(예산_원본!$T$5:$T$3004,O1003,예산_원본!$B$5:$B$3004,설정!$C$8,예산_원본!$U$5:$U$3004,L1003)&gt;0,"Y","N"))</f>
        <v/>
      </c>
      <c r="Q1003" s="63">
        <f>IF($A1003="","",IF(COUNTIF(집계!$E$7:$E$506,O1003)&gt;0,"Y","N"))</f>
        <v/>
      </c>
    </row>
    <row r="1004">
      <c r="A1004" s="60" t="n">
        <v>2026</v>
      </c>
      <c r="B1004" s="60" t="n">
        <v>1</v>
      </c>
      <c r="C1004" s="60" t="inlineStr">
        <is>
          <t>1000</t>
        </is>
      </c>
      <c r="D1004" s="60" t="n">
        <v>1701</v>
      </c>
      <c r="E1004" s="60" t="inlineStr">
        <is>
          <t>IT운영</t>
        </is>
      </c>
      <c r="F1004" s="60" t="n">
        <v>62101000</v>
      </c>
      <c r="G1004" s="60" t="inlineStr">
        <is>
          <t>여비교통비-국내</t>
        </is>
      </c>
      <c r="H1004" s="61" t="n">
        <v>845570</v>
      </c>
      <c r="J1004" s="63">
        <f>IF($A1004="","",IFERROR(INDEX(부서매핑!$C$5:$C$504,MATCH($D1004&amp;"",부서매핑!$A$5:$A$504,0)),"미매핑"))</f>
        <v/>
      </c>
      <c r="K1004" s="63">
        <f>IF($A1004="","",IFERROR(INDEX(계정매핑!$C$5:$C$504,MATCH($F1004&amp;"",계정매핑!$A$5:$A$504,0)),"미매핑"))</f>
        <v/>
      </c>
      <c r="L1004" s="4">
        <f>IF($A1004="","",VALUE($A1004&amp;""))</f>
        <v/>
      </c>
      <c r="M1004" s="4">
        <f>IF($A1004="","",VALUE($B1004&amp;""))</f>
        <v/>
      </c>
      <c r="N1004" s="64">
        <f>IF($A1004="","",$H1004*설정!$C$15)</f>
        <v/>
      </c>
      <c r="O1004" s="4">
        <f>IF($A1004="","",J1004&amp;"|"&amp;K1004)</f>
        <v/>
      </c>
      <c r="P1004" s="63">
        <f>IF($A1004="","",IF(COUNTIFS(예산_원본!$T$5:$T$3004,O1004,예산_원본!$B$5:$B$3004,설정!$C$8,예산_원본!$U$5:$U$3004,L1004)&gt;0,"Y","N"))</f>
        <v/>
      </c>
      <c r="Q1004" s="63">
        <f>IF($A1004="","",IF(COUNTIF(집계!$E$7:$E$506,O1004)&gt;0,"Y","N"))</f>
        <v/>
      </c>
    </row>
    <row r="1005">
      <c r="A1005" s="60" t="n">
        <v>2026</v>
      </c>
      <c r="B1005" s="60" t="n">
        <v>1</v>
      </c>
      <c r="C1005" s="60" t="inlineStr">
        <is>
          <t>1000</t>
        </is>
      </c>
      <c r="D1005" s="60" t="n">
        <v>1701</v>
      </c>
      <c r="E1005" s="60" t="inlineStr">
        <is>
          <t>IT운영</t>
        </is>
      </c>
      <c r="F1005" s="60" t="n">
        <v>62102000</v>
      </c>
      <c r="G1005" s="60" t="inlineStr">
        <is>
          <t>여비교통비-해외</t>
        </is>
      </c>
      <c r="H1005" s="61" t="n">
        <v>143990</v>
      </c>
      <c r="J1005" s="63">
        <f>IF($A1005="","",IFERROR(INDEX(부서매핑!$C$5:$C$504,MATCH($D1005&amp;"",부서매핑!$A$5:$A$504,0)),"미매핑"))</f>
        <v/>
      </c>
      <c r="K1005" s="63">
        <f>IF($A1005="","",IFERROR(INDEX(계정매핑!$C$5:$C$504,MATCH($F1005&amp;"",계정매핑!$A$5:$A$504,0)),"미매핑"))</f>
        <v/>
      </c>
      <c r="L1005" s="4">
        <f>IF($A1005="","",VALUE($A1005&amp;""))</f>
        <v/>
      </c>
      <c r="M1005" s="4">
        <f>IF($A1005="","",VALUE($B1005&amp;""))</f>
        <v/>
      </c>
      <c r="N1005" s="64">
        <f>IF($A1005="","",$H1005*설정!$C$15)</f>
        <v/>
      </c>
      <c r="O1005" s="4">
        <f>IF($A1005="","",J1005&amp;"|"&amp;K1005)</f>
        <v/>
      </c>
      <c r="P1005" s="63">
        <f>IF($A1005="","",IF(COUNTIFS(예산_원본!$T$5:$T$3004,O1005,예산_원본!$B$5:$B$3004,설정!$C$8,예산_원본!$U$5:$U$3004,L1005)&gt;0,"Y","N"))</f>
        <v/>
      </c>
      <c r="Q1005" s="63">
        <f>IF($A1005="","",IF(COUNTIF(집계!$E$7:$E$506,O1005)&gt;0,"Y","N"))</f>
        <v/>
      </c>
    </row>
    <row r="1006">
      <c r="A1006" s="60" t="n">
        <v>2026</v>
      </c>
      <c r="B1006" s="60" t="n">
        <v>1</v>
      </c>
      <c r="C1006" s="60" t="inlineStr">
        <is>
          <t>1000</t>
        </is>
      </c>
      <c r="D1006" s="60" t="n">
        <v>1701</v>
      </c>
      <c r="E1006" s="60" t="inlineStr">
        <is>
          <t>IT운영</t>
        </is>
      </c>
      <c r="F1006" s="60" t="n">
        <v>62201000</v>
      </c>
      <c r="G1006" s="60" t="inlineStr">
        <is>
          <t>통신비</t>
        </is>
      </c>
      <c r="H1006" s="61" t="n">
        <v>12917640</v>
      </c>
      <c r="J1006" s="63">
        <f>IF($A1006="","",IFERROR(INDEX(부서매핑!$C$5:$C$504,MATCH($D1006&amp;"",부서매핑!$A$5:$A$504,0)),"미매핑"))</f>
        <v/>
      </c>
      <c r="K1006" s="63">
        <f>IF($A1006="","",IFERROR(INDEX(계정매핑!$C$5:$C$504,MATCH($F1006&amp;"",계정매핑!$A$5:$A$504,0)),"미매핑"))</f>
        <v/>
      </c>
      <c r="L1006" s="4">
        <f>IF($A1006="","",VALUE($A1006&amp;""))</f>
        <v/>
      </c>
      <c r="M1006" s="4">
        <f>IF($A1006="","",VALUE($B1006&amp;""))</f>
        <v/>
      </c>
      <c r="N1006" s="64">
        <f>IF($A1006="","",$H1006*설정!$C$15)</f>
        <v/>
      </c>
      <c r="O1006" s="4">
        <f>IF($A1006="","",J1006&amp;"|"&amp;K1006)</f>
        <v/>
      </c>
      <c r="P1006" s="63">
        <f>IF($A1006="","",IF(COUNTIFS(예산_원본!$T$5:$T$3004,O1006,예산_원본!$B$5:$B$3004,설정!$C$8,예산_원본!$U$5:$U$3004,L1006)&gt;0,"Y","N"))</f>
        <v/>
      </c>
      <c r="Q1006" s="63">
        <f>IF($A1006="","",IF(COUNTIF(집계!$E$7:$E$506,O1006)&gt;0,"Y","N"))</f>
        <v/>
      </c>
    </row>
    <row r="1007">
      <c r="A1007" s="60" t="n">
        <v>2026</v>
      </c>
      <c r="B1007" s="60" t="n">
        <v>1</v>
      </c>
      <c r="C1007" s="60" t="inlineStr">
        <is>
          <t>1000</t>
        </is>
      </c>
      <c r="D1007" s="60" t="n">
        <v>1701</v>
      </c>
      <c r="E1007" s="60" t="inlineStr">
        <is>
          <t>IT운영</t>
        </is>
      </c>
      <c r="F1007" s="60" t="n">
        <v>62301000</v>
      </c>
      <c r="G1007" s="60" t="inlineStr">
        <is>
          <t>소모품비</t>
        </is>
      </c>
      <c r="H1007" s="61" t="n">
        <v>1092480</v>
      </c>
      <c r="J1007" s="63">
        <f>IF($A1007="","",IFERROR(INDEX(부서매핑!$C$5:$C$504,MATCH($D1007&amp;"",부서매핑!$A$5:$A$504,0)),"미매핑"))</f>
        <v/>
      </c>
      <c r="K1007" s="63">
        <f>IF($A1007="","",IFERROR(INDEX(계정매핑!$C$5:$C$504,MATCH($F1007&amp;"",계정매핑!$A$5:$A$504,0)),"미매핑"))</f>
        <v/>
      </c>
      <c r="L1007" s="4">
        <f>IF($A1007="","",VALUE($A1007&amp;""))</f>
        <v/>
      </c>
      <c r="M1007" s="4">
        <f>IF($A1007="","",VALUE($B1007&amp;""))</f>
        <v/>
      </c>
      <c r="N1007" s="64">
        <f>IF($A1007="","",$H1007*설정!$C$15)</f>
        <v/>
      </c>
      <c r="O1007" s="4">
        <f>IF($A1007="","",J1007&amp;"|"&amp;K1007)</f>
        <v/>
      </c>
      <c r="P1007" s="63">
        <f>IF($A1007="","",IF(COUNTIFS(예산_원본!$T$5:$T$3004,O1007,예산_원본!$B$5:$B$3004,설정!$C$8,예산_원본!$U$5:$U$3004,L1007)&gt;0,"Y","N"))</f>
        <v/>
      </c>
      <c r="Q1007" s="63">
        <f>IF($A1007="","",IF(COUNTIF(집계!$E$7:$E$506,O1007)&gt;0,"Y","N"))</f>
        <v/>
      </c>
    </row>
    <row r="1008">
      <c r="A1008" s="60" t="n">
        <v>2026</v>
      </c>
      <c r="B1008" s="60" t="n">
        <v>1</v>
      </c>
      <c r="C1008" s="60" t="inlineStr">
        <is>
          <t>1000</t>
        </is>
      </c>
      <c r="D1008" s="60" t="n">
        <v>1701</v>
      </c>
      <c r="E1008" s="60" t="inlineStr">
        <is>
          <t>IT운영</t>
        </is>
      </c>
      <c r="F1008" s="60" t="n">
        <v>62501000</v>
      </c>
      <c r="G1008" s="60" t="inlineStr">
        <is>
          <t>회의비</t>
        </is>
      </c>
      <c r="H1008" s="61" t="n">
        <v>394000</v>
      </c>
      <c r="J1008" s="63">
        <f>IF($A1008="","",IFERROR(INDEX(부서매핑!$C$5:$C$504,MATCH($D1008&amp;"",부서매핑!$A$5:$A$504,0)),"미매핑"))</f>
        <v/>
      </c>
      <c r="K1008" s="63">
        <f>IF($A1008="","",IFERROR(INDEX(계정매핑!$C$5:$C$504,MATCH($F1008&amp;"",계정매핑!$A$5:$A$504,0)),"미매핑"))</f>
        <v/>
      </c>
      <c r="L1008" s="4">
        <f>IF($A1008="","",VALUE($A1008&amp;""))</f>
        <v/>
      </c>
      <c r="M1008" s="4">
        <f>IF($A1008="","",VALUE($B1008&amp;""))</f>
        <v/>
      </c>
      <c r="N1008" s="64">
        <f>IF($A1008="","",$H1008*설정!$C$15)</f>
        <v/>
      </c>
      <c r="O1008" s="4">
        <f>IF($A1008="","",J1008&amp;"|"&amp;K1008)</f>
        <v/>
      </c>
      <c r="P1008" s="63">
        <f>IF($A1008="","",IF(COUNTIFS(예산_원본!$T$5:$T$3004,O1008,예산_원본!$B$5:$B$3004,설정!$C$8,예산_원본!$U$5:$U$3004,L1008)&gt;0,"Y","N"))</f>
        <v/>
      </c>
      <c r="Q1008" s="63">
        <f>IF($A1008="","",IF(COUNTIF(집계!$E$7:$E$506,O1008)&gt;0,"Y","N"))</f>
        <v/>
      </c>
    </row>
    <row r="1009">
      <c r="A1009" s="60" t="n">
        <v>2026</v>
      </c>
      <c r="B1009" s="60" t="n">
        <v>1</v>
      </c>
      <c r="C1009" s="60" t="inlineStr">
        <is>
          <t>1000</t>
        </is>
      </c>
      <c r="D1009" s="60" t="n">
        <v>1701</v>
      </c>
      <c r="E1009" s="60" t="inlineStr">
        <is>
          <t>IT운영</t>
        </is>
      </c>
      <c r="F1009" s="60" t="n">
        <v>63001000</v>
      </c>
      <c r="G1009" s="60" t="inlineStr">
        <is>
          <t>전산운영비-SW유지보수</t>
        </is>
      </c>
      <c r="H1009" s="61" t="n">
        <v>121033230</v>
      </c>
      <c r="J1009" s="63">
        <f>IF($A1009="","",IFERROR(INDEX(부서매핑!$C$5:$C$504,MATCH($D1009&amp;"",부서매핑!$A$5:$A$504,0)),"미매핑"))</f>
        <v/>
      </c>
      <c r="K1009" s="63">
        <f>IF($A1009="","",IFERROR(INDEX(계정매핑!$C$5:$C$504,MATCH($F1009&amp;"",계정매핑!$A$5:$A$504,0)),"미매핑"))</f>
        <v/>
      </c>
      <c r="L1009" s="4">
        <f>IF($A1009="","",VALUE($A1009&amp;""))</f>
        <v/>
      </c>
      <c r="M1009" s="4">
        <f>IF($A1009="","",VALUE($B1009&amp;""))</f>
        <v/>
      </c>
      <c r="N1009" s="64">
        <f>IF($A1009="","",$H1009*설정!$C$15)</f>
        <v/>
      </c>
      <c r="O1009" s="4">
        <f>IF($A1009="","",J1009&amp;"|"&amp;K1009)</f>
        <v/>
      </c>
      <c r="P1009" s="63">
        <f>IF($A1009="","",IF(COUNTIFS(예산_원본!$T$5:$T$3004,O1009,예산_원본!$B$5:$B$3004,설정!$C$8,예산_원본!$U$5:$U$3004,L1009)&gt;0,"Y","N"))</f>
        <v/>
      </c>
      <c r="Q1009" s="63">
        <f>IF($A1009="","",IF(COUNTIF(집계!$E$7:$E$506,O1009)&gt;0,"Y","N"))</f>
        <v/>
      </c>
    </row>
    <row r="1010">
      <c r="A1010" s="60" t="n">
        <v>2026</v>
      </c>
      <c r="B1010" s="60" t="n">
        <v>1</v>
      </c>
      <c r="C1010" s="60" t="inlineStr">
        <is>
          <t>1000</t>
        </is>
      </c>
      <c r="D1010" s="60" t="n">
        <v>1701</v>
      </c>
      <c r="E1010" s="60" t="inlineStr">
        <is>
          <t>IT운영</t>
        </is>
      </c>
      <c r="F1010" s="60" t="n">
        <v>63002000</v>
      </c>
      <c r="G1010" s="60" t="inlineStr">
        <is>
          <t>전산운영비-클라우드</t>
        </is>
      </c>
      <c r="H1010" s="61" t="n">
        <v>94788640</v>
      </c>
      <c r="J1010" s="63">
        <f>IF($A1010="","",IFERROR(INDEX(부서매핑!$C$5:$C$504,MATCH($D1010&amp;"",부서매핑!$A$5:$A$504,0)),"미매핑"))</f>
        <v/>
      </c>
      <c r="K1010" s="63">
        <f>IF($A1010="","",IFERROR(INDEX(계정매핑!$C$5:$C$504,MATCH($F1010&amp;"",계정매핑!$A$5:$A$504,0)),"미매핑"))</f>
        <v/>
      </c>
      <c r="L1010" s="4">
        <f>IF($A1010="","",VALUE($A1010&amp;""))</f>
        <v/>
      </c>
      <c r="M1010" s="4">
        <f>IF($A1010="","",VALUE($B1010&amp;""))</f>
        <v/>
      </c>
      <c r="N1010" s="64">
        <f>IF($A1010="","",$H1010*설정!$C$15)</f>
        <v/>
      </c>
      <c r="O1010" s="4">
        <f>IF($A1010="","",J1010&amp;"|"&amp;K1010)</f>
        <v/>
      </c>
      <c r="P1010" s="63">
        <f>IF($A1010="","",IF(COUNTIFS(예산_원본!$T$5:$T$3004,O1010,예산_원본!$B$5:$B$3004,설정!$C$8,예산_원본!$U$5:$U$3004,L1010)&gt;0,"Y","N"))</f>
        <v/>
      </c>
      <c r="Q1010" s="63">
        <f>IF($A1010="","",IF(COUNTIF(집계!$E$7:$E$506,O1010)&gt;0,"Y","N"))</f>
        <v/>
      </c>
    </row>
    <row r="1011">
      <c r="A1011" s="60" t="n">
        <v>2026</v>
      </c>
      <c r="B1011" s="60" t="n">
        <v>1</v>
      </c>
      <c r="C1011" s="60" t="inlineStr">
        <is>
          <t>1000</t>
        </is>
      </c>
      <c r="D1011" s="60" t="n">
        <v>1801</v>
      </c>
      <c r="E1011" s="60" t="inlineStr">
        <is>
          <t>고객서비스</t>
        </is>
      </c>
      <c r="F1011" s="60" t="n">
        <v>62101000</v>
      </c>
      <c r="G1011" s="60" t="inlineStr">
        <is>
          <t>여비교통비-국내</t>
        </is>
      </c>
      <c r="H1011" s="61" t="n">
        <v>845830</v>
      </c>
      <c r="J1011" s="63">
        <f>IF($A1011="","",IFERROR(INDEX(부서매핑!$C$5:$C$504,MATCH($D1011&amp;"",부서매핑!$A$5:$A$504,0)),"미매핑"))</f>
        <v/>
      </c>
      <c r="K1011" s="63">
        <f>IF($A1011="","",IFERROR(INDEX(계정매핑!$C$5:$C$504,MATCH($F1011&amp;"",계정매핑!$A$5:$A$504,0)),"미매핑"))</f>
        <v/>
      </c>
      <c r="L1011" s="4">
        <f>IF($A1011="","",VALUE($A1011&amp;""))</f>
        <v/>
      </c>
      <c r="M1011" s="4">
        <f>IF($A1011="","",VALUE($B1011&amp;""))</f>
        <v/>
      </c>
      <c r="N1011" s="64">
        <f>IF($A1011="","",$H1011*설정!$C$15)</f>
        <v/>
      </c>
      <c r="O1011" s="4">
        <f>IF($A1011="","",J1011&amp;"|"&amp;K1011)</f>
        <v/>
      </c>
      <c r="P1011" s="63">
        <f>IF($A1011="","",IF(COUNTIFS(예산_원본!$T$5:$T$3004,O1011,예산_원본!$B$5:$B$3004,설정!$C$8,예산_원본!$U$5:$U$3004,L1011)&gt;0,"Y","N"))</f>
        <v/>
      </c>
      <c r="Q1011" s="63">
        <f>IF($A1011="","",IF(COUNTIF(집계!$E$7:$E$506,O1011)&gt;0,"Y","N"))</f>
        <v/>
      </c>
    </row>
    <row r="1012">
      <c r="A1012" s="60" t="n">
        <v>2026</v>
      </c>
      <c r="B1012" s="60" t="n">
        <v>1</v>
      </c>
      <c r="C1012" s="60" t="inlineStr">
        <is>
          <t>1000</t>
        </is>
      </c>
      <c r="D1012" s="60" t="n">
        <v>1801</v>
      </c>
      <c r="E1012" s="60" t="inlineStr">
        <is>
          <t>고객서비스</t>
        </is>
      </c>
      <c r="F1012" s="60" t="n">
        <v>62102000</v>
      </c>
      <c r="G1012" s="60" t="inlineStr">
        <is>
          <t>여비교통비-해외</t>
        </is>
      </c>
      <c r="H1012" s="61" t="n">
        <v>145820</v>
      </c>
      <c r="J1012" s="63">
        <f>IF($A1012="","",IFERROR(INDEX(부서매핑!$C$5:$C$504,MATCH($D1012&amp;"",부서매핑!$A$5:$A$504,0)),"미매핑"))</f>
        <v/>
      </c>
      <c r="K1012" s="63">
        <f>IF($A1012="","",IFERROR(INDEX(계정매핑!$C$5:$C$504,MATCH($F1012&amp;"",계정매핑!$A$5:$A$504,0)),"미매핑"))</f>
        <v/>
      </c>
      <c r="L1012" s="4">
        <f>IF($A1012="","",VALUE($A1012&amp;""))</f>
        <v/>
      </c>
      <c r="M1012" s="4">
        <f>IF($A1012="","",VALUE($B1012&amp;""))</f>
        <v/>
      </c>
      <c r="N1012" s="64">
        <f>IF($A1012="","",$H1012*설정!$C$15)</f>
        <v/>
      </c>
      <c r="O1012" s="4">
        <f>IF($A1012="","",J1012&amp;"|"&amp;K1012)</f>
        <v/>
      </c>
      <c r="P1012" s="63">
        <f>IF($A1012="","",IF(COUNTIFS(예산_원본!$T$5:$T$3004,O1012,예산_원본!$B$5:$B$3004,설정!$C$8,예산_원본!$U$5:$U$3004,L1012)&gt;0,"Y","N"))</f>
        <v/>
      </c>
      <c r="Q1012" s="63">
        <f>IF($A1012="","",IF(COUNTIF(집계!$E$7:$E$506,O1012)&gt;0,"Y","N"))</f>
        <v/>
      </c>
    </row>
    <row r="1013">
      <c r="A1013" s="60" t="n">
        <v>2026</v>
      </c>
      <c r="B1013" s="60" t="n">
        <v>1</v>
      </c>
      <c r="C1013" s="60" t="inlineStr">
        <is>
          <t>1000</t>
        </is>
      </c>
      <c r="D1013" s="60" t="n">
        <v>1801</v>
      </c>
      <c r="E1013" s="60" t="inlineStr">
        <is>
          <t>고객서비스</t>
        </is>
      </c>
      <c r="F1013" s="60" t="n">
        <v>62201000</v>
      </c>
      <c r="G1013" s="60" t="inlineStr">
        <is>
          <t>통신비</t>
        </is>
      </c>
      <c r="H1013" s="61" t="n">
        <v>23254780</v>
      </c>
      <c r="J1013" s="63">
        <f>IF($A1013="","",IFERROR(INDEX(부서매핑!$C$5:$C$504,MATCH($D1013&amp;"",부서매핑!$A$5:$A$504,0)),"미매핑"))</f>
        <v/>
      </c>
      <c r="K1013" s="63">
        <f>IF($A1013="","",IFERROR(INDEX(계정매핑!$C$5:$C$504,MATCH($F1013&amp;"",계정매핑!$A$5:$A$504,0)),"미매핑"))</f>
        <v/>
      </c>
      <c r="L1013" s="4">
        <f>IF($A1013="","",VALUE($A1013&amp;""))</f>
        <v/>
      </c>
      <c r="M1013" s="4">
        <f>IF($A1013="","",VALUE($B1013&amp;""))</f>
        <v/>
      </c>
      <c r="N1013" s="64">
        <f>IF($A1013="","",$H1013*설정!$C$15)</f>
        <v/>
      </c>
      <c r="O1013" s="4">
        <f>IF($A1013="","",J1013&amp;"|"&amp;K1013)</f>
        <v/>
      </c>
      <c r="P1013" s="63">
        <f>IF($A1013="","",IF(COUNTIFS(예산_원본!$T$5:$T$3004,O1013,예산_원본!$B$5:$B$3004,설정!$C$8,예산_원본!$U$5:$U$3004,L1013)&gt;0,"Y","N"))</f>
        <v/>
      </c>
      <c r="Q1013" s="63">
        <f>IF($A1013="","",IF(COUNTIF(집계!$E$7:$E$506,O1013)&gt;0,"Y","N"))</f>
        <v/>
      </c>
    </row>
    <row r="1014">
      <c r="A1014" s="60" t="n">
        <v>2026</v>
      </c>
      <c r="B1014" s="60" t="n">
        <v>1</v>
      </c>
      <c r="C1014" s="60" t="inlineStr">
        <is>
          <t>1000</t>
        </is>
      </c>
      <c r="D1014" s="60" t="n">
        <v>1801</v>
      </c>
      <c r="E1014" s="60" t="inlineStr">
        <is>
          <t>고객서비스</t>
        </is>
      </c>
      <c r="F1014" s="60" t="n">
        <v>62301000</v>
      </c>
      <c r="G1014" s="60" t="inlineStr">
        <is>
          <t>소모품비</t>
        </is>
      </c>
      <c r="H1014" s="61" t="n">
        <v>1313820</v>
      </c>
      <c r="J1014" s="63">
        <f>IF($A1014="","",IFERROR(INDEX(부서매핑!$C$5:$C$504,MATCH($D1014&amp;"",부서매핑!$A$5:$A$504,0)),"미매핑"))</f>
        <v/>
      </c>
      <c r="K1014" s="63">
        <f>IF($A1014="","",IFERROR(INDEX(계정매핑!$C$5:$C$504,MATCH($F1014&amp;"",계정매핑!$A$5:$A$504,0)),"미매핑"))</f>
        <v/>
      </c>
      <c r="L1014" s="4">
        <f>IF($A1014="","",VALUE($A1014&amp;""))</f>
        <v/>
      </c>
      <c r="M1014" s="4">
        <f>IF($A1014="","",VALUE($B1014&amp;""))</f>
        <v/>
      </c>
      <c r="N1014" s="64">
        <f>IF($A1014="","",$H1014*설정!$C$15)</f>
        <v/>
      </c>
      <c r="O1014" s="4">
        <f>IF($A1014="","",J1014&amp;"|"&amp;K1014)</f>
        <v/>
      </c>
      <c r="P1014" s="63">
        <f>IF($A1014="","",IF(COUNTIFS(예산_원본!$T$5:$T$3004,O1014,예산_원본!$B$5:$B$3004,설정!$C$8,예산_원본!$U$5:$U$3004,L1014)&gt;0,"Y","N"))</f>
        <v/>
      </c>
      <c r="Q1014" s="63">
        <f>IF($A1014="","",IF(COUNTIF(집계!$E$7:$E$506,O1014)&gt;0,"Y","N"))</f>
        <v/>
      </c>
    </row>
    <row r="1015">
      <c r="A1015" s="60" t="n">
        <v>2026</v>
      </c>
      <c r="B1015" s="60" t="n">
        <v>1</v>
      </c>
      <c r="C1015" s="60" t="inlineStr">
        <is>
          <t>1000</t>
        </is>
      </c>
      <c r="D1015" s="60" t="n">
        <v>1801</v>
      </c>
      <c r="E1015" s="60" t="inlineStr">
        <is>
          <t>고객서비스</t>
        </is>
      </c>
      <c r="F1015" s="60" t="n">
        <v>62401000</v>
      </c>
      <c r="G1015" s="60" t="inlineStr">
        <is>
          <t>도서인쇄비</t>
        </is>
      </c>
      <c r="H1015" s="61" t="n">
        <v>9053480</v>
      </c>
      <c r="J1015" s="63">
        <f>IF($A1015="","",IFERROR(INDEX(부서매핑!$C$5:$C$504,MATCH($D1015&amp;"",부서매핑!$A$5:$A$504,0)),"미매핑"))</f>
        <v/>
      </c>
      <c r="K1015" s="63">
        <f>IF($A1015="","",IFERROR(INDEX(계정매핑!$C$5:$C$504,MATCH($F1015&amp;"",계정매핑!$A$5:$A$504,0)),"미매핑"))</f>
        <v/>
      </c>
      <c r="L1015" s="4">
        <f>IF($A1015="","",VALUE($A1015&amp;""))</f>
        <v/>
      </c>
      <c r="M1015" s="4">
        <f>IF($A1015="","",VALUE($B1015&amp;""))</f>
        <v/>
      </c>
      <c r="N1015" s="64">
        <f>IF($A1015="","",$H1015*설정!$C$15)</f>
        <v/>
      </c>
      <c r="O1015" s="4">
        <f>IF($A1015="","",J1015&amp;"|"&amp;K1015)</f>
        <v/>
      </c>
      <c r="P1015" s="63">
        <f>IF($A1015="","",IF(COUNTIFS(예산_원본!$T$5:$T$3004,O1015,예산_원본!$B$5:$B$3004,설정!$C$8,예산_원본!$U$5:$U$3004,L1015)&gt;0,"Y","N"))</f>
        <v/>
      </c>
      <c r="Q1015" s="63">
        <f>IF($A1015="","",IF(COUNTIF(집계!$E$7:$E$506,O1015)&gt;0,"Y","N"))</f>
        <v/>
      </c>
    </row>
    <row r="1016">
      <c r="A1016" s="60" t="n">
        <v>2026</v>
      </c>
      <c r="B1016" s="60" t="n">
        <v>1</v>
      </c>
      <c r="C1016" s="60" t="inlineStr">
        <is>
          <t>1000</t>
        </is>
      </c>
      <c r="D1016" s="60" t="n">
        <v>1801</v>
      </c>
      <c r="E1016" s="60" t="inlineStr">
        <is>
          <t>고객서비스</t>
        </is>
      </c>
      <c r="F1016" s="60" t="n">
        <v>62501000</v>
      </c>
      <c r="G1016" s="60" t="inlineStr">
        <is>
          <t>회의비</t>
        </is>
      </c>
      <c r="H1016" s="61" t="n">
        <v>388780</v>
      </c>
      <c r="J1016" s="63">
        <f>IF($A1016="","",IFERROR(INDEX(부서매핑!$C$5:$C$504,MATCH($D1016&amp;"",부서매핑!$A$5:$A$504,0)),"미매핑"))</f>
        <v/>
      </c>
      <c r="K1016" s="63">
        <f>IF($A1016="","",IFERROR(INDEX(계정매핑!$C$5:$C$504,MATCH($F1016&amp;"",계정매핑!$A$5:$A$504,0)),"미매핑"))</f>
        <v/>
      </c>
      <c r="L1016" s="4">
        <f>IF($A1016="","",VALUE($A1016&amp;""))</f>
        <v/>
      </c>
      <c r="M1016" s="4">
        <f>IF($A1016="","",VALUE($B1016&amp;""))</f>
        <v/>
      </c>
      <c r="N1016" s="64">
        <f>IF($A1016="","",$H1016*설정!$C$15)</f>
        <v/>
      </c>
      <c r="O1016" s="4">
        <f>IF($A1016="","",J1016&amp;"|"&amp;K1016)</f>
        <v/>
      </c>
      <c r="P1016" s="63">
        <f>IF($A1016="","",IF(COUNTIFS(예산_원본!$T$5:$T$3004,O1016,예산_원본!$B$5:$B$3004,설정!$C$8,예산_원본!$U$5:$U$3004,L1016)&gt;0,"Y","N"))</f>
        <v/>
      </c>
      <c r="Q1016" s="63">
        <f>IF($A1016="","",IF(COUNTIF(집계!$E$7:$E$506,O1016)&gt;0,"Y","N"))</f>
        <v/>
      </c>
    </row>
    <row r="1017">
      <c r="A1017" s="60" t="n">
        <v>2026</v>
      </c>
      <c r="B1017" s="60" t="n">
        <v>1</v>
      </c>
      <c r="C1017" s="60" t="inlineStr">
        <is>
          <t>1000</t>
        </is>
      </c>
      <c r="D1017" s="60" t="n">
        <v>1801</v>
      </c>
      <c r="E1017" s="60" t="inlineStr">
        <is>
          <t>고객서비스</t>
        </is>
      </c>
      <c r="F1017" s="60" t="n">
        <v>62901000</v>
      </c>
      <c r="G1017" s="60" t="inlineStr">
        <is>
          <t>지급수수료-컨설팅</t>
        </is>
      </c>
      <c r="H1017" s="61" t="n">
        <v>40759230</v>
      </c>
      <c r="J1017" s="63">
        <f>IF($A1017="","",IFERROR(INDEX(부서매핑!$C$5:$C$504,MATCH($D1017&amp;"",부서매핑!$A$5:$A$504,0)),"미매핑"))</f>
        <v/>
      </c>
      <c r="K1017" s="63">
        <f>IF($A1017="","",IFERROR(INDEX(계정매핑!$C$5:$C$504,MATCH($F1017&amp;"",계정매핑!$A$5:$A$504,0)),"미매핑"))</f>
        <v/>
      </c>
      <c r="L1017" s="4">
        <f>IF($A1017="","",VALUE($A1017&amp;""))</f>
        <v/>
      </c>
      <c r="M1017" s="4">
        <f>IF($A1017="","",VALUE($B1017&amp;""))</f>
        <v/>
      </c>
      <c r="N1017" s="64">
        <f>IF($A1017="","",$H1017*설정!$C$15)</f>
        <v/>
      </c>
      <c r="O1017" s="4">
        <f>IF($A1017="","",J1017&amp;"|"&amp;K1017)</f>
        <v/>
      </c>
      <c r="P1017" s="63">
        <f>IF($A1017="","",IF(COUNTIFS(예산_원본!$T$5:$T$3004,O1017,예산_원본!$B$5:$B$3004,설정!$C$8,예산_원본!$U$5:$U$3004,L1017)&gt;0,"Y","N"))</f>
        <v/>
      </c>
      <c r="Q1017" s="63">
        <f>IF($A1017="","",IF(COUNTIF(집계!$E$7:$E$506,O1017)&gt;0,"Y","N"))</f>
        <v/>
      </c>
    </row>
    <row r="1018">
      <c r="A1018" s="60" t="n">
        <v>2026</v>
      </c>
      <c r="B1018" s="60" t="n">
        <v>1</v>
      </c>
      <c r="C1018" s="60" t="inlineStr">
        <is>
          <t>1000</t>
        </is>
      </c>
      <c r="D1018" s="60" t="n">
        <v>1801</v>
      </c>
      <c r="E1018" s="60" t="inlineStr">
        <is>
          <t>고객서비스</t>
        </is>
      </c>
      <c r="F1018" s="60" t="n">
        <v>62902000</v>
      </c>
      <c r="G1018" s="60" t="inlineStr">
        <is>
          <t>지급수수료-기타</t>
        </is>
      </c>
      <c r="H1018" s="61" t="n">
        <v>16641800</v>
      </c>
      <c r="J1018" s="63">
        <f>IF($A1018="","",IFERROR(INDEX(부서매핑!$C$5:$C$504,MATCH($D1018&amp;"",부서매핑!$A$5:$A$504,0)),"미매핑"))</f>
        <v/>
      </c>
      <c r="K1018" s="63">
        <f>IF($A1018="","",IFERROR(INDEX(계정매핑!$C$5:$C$504,MATCH($F1018&amp;"",계정매핑!$A$5:$A$504,0)),"미매핑"))</f>
        <v/>
      </c>
      <c r="L1018" s="4">
        <f>IF($A1018="","",VALUE($A1018&amp;""))</f>
        <v/>
      </c>
      <c r="M1018" s="4">
        <f>IF($A1018="","",VALUE($B1018&amp;""))</f>
        <v/>
      </c>
      <c r="N1018" s="64">
        <f>IF($A1018="","",$H1018*설정!$C$15)</f>
        <v/>
      </c>
      <c r="O1018" s="4">
        <f>IF($A1018="","",J1018&amp;"|"&amp;K1018)</f>
        <v/>
      </c>
      <c r="P1018" s="63">
        <f>IF($A1018="","",IF(COUNTIFS(예산_원본!$T$5:$T$3004,O1018,예산_원본!$B$5:$B$3004,설정!$C$8,예산_원본!$U$5:$U$3004,L1018)&gt;0,"Y","N"))</f>
        <v/>
      </c>
      <c r="Q1018" s="63">
        <f>IF($A1018="","",IF(COUNTIF(집계!$E$7:$E$506,O1018)&gt;0,"Y","N"))</f>
        <v/>
      </c>
    </row>
    <row r="1019">
      <c r="A1019" s="60" t="n">
        <v>2026</v>
      </c>
      <c r="B1019" s="60" t="n">
        <v>2</v>
      </c>
      <c r="C1019" s="60" t="inlineStr">
        <is>
          <t>1000</t>
        </is>
      </c>
      <c r="D1019" s="60" t="n">
        <v>1101</v>
      </c>
      <c r="E1019" s="60" t="inlineStr">
        <is>
          <t>경영기획</t>
        </is>
      </c>
      <c r="F1019" s="60" t="n">
        <v>62101000</v>
      </c>
      <c r="G1019" s="60" t="inlineStr">
        <is>
          <t>여비교통비-국내</t>
        </is>
      </c>
      <c r="H1019" s="61" t="n">
        <v>2442470</v>
      </c>
      <c r="J1019" s="63">
        <f>IF($A1019="","",IFERROR(INDEX(부서매핑!$C$5:$C$504,MATCH($D1019&amp;"",부서매핑!$A$5:$A$504,0)),"미매핑"))</f>
        <v/>
      </c>
      <c r="K1019" s="63">
        <f>IF($A1019="","",IFERROR(INDEX(계정매핑!$C$5:$C$504,MATCH($F1019&amp;"",계정매핑!$A$5:$A$504,0)),"미매핑"))</f>
        <v/>
      </c>
      <c r="L1019" s="4">
        <f>IF($A1019="","",VALUE($A1019&amp;""))</f>
        <v/>
      </c>
      <c r="M1019" s="4">
        <f>IF($A1019="","",VALUE($B1019&amp;""))</f>
        <v/>
      </c>
      <c r="N1019" s="64">
        <f>IF($A1019="","",$H1019*설정!$C$15)</f>
        <v/>
      </c>
      <c r="O1019" s="4">
        <f>IF($A1019="","",J1019&amp;"|"&amp;K1019)</f>
        <v/>
      </c>
      <c r="P1019" s="63">
        <f>IF($A1019="","",IF(COUNTIFS(예산_원본!$T$5:$T$3004,O1019,예산_원본!$B$5:$B$3004,설정!$C$8,예산_원본!$U$5:$U$3004,L1019)&gt;0,"Y","N"))</f>
        <v/>
      </c>
      <c r="Q1019" s="63">
        <f>IF($A1019="","",IF(COUNTIF(집계!$E$7:$E$506,O1019)&gt;0,"Y","N"))</f>
        <v/>
      </c>
    </row>
    <row r="1020">
      <c r="A1020" s="60" t="n">
        <v>2026</v>
      </c>
      <c r="B1020" s="60" t="n">
        <v>2</v>
      </c>
      <c r="C1020" s="60" t="inlineStr">
        <is>
          <t>1000</t>
        </is>
      </c>
      <c r="D1020" s="60" t="n">
        <v>1101</v>
      </c>
      <c r="E1020" s="60" t="inlineStr">
        <is>
          <t>경영기획</t>
        </is>
      </c>
      <c r="F1020" s="60" t="n">
        <v>62102000</v>
      </c>
      <c r="G1020" s="60" t="inlineStr">
        <is>
          <t>여비교통비-해외</t>
        </is>
      </c>
      <c r="H1020" s="61" t="n">
        <v>423260</v>
      </c>
      <c r="J1020" s="63">
        <f>IF($A1020="","",IFERROR(INDEX(부서매핑!$C$5:$C$504,MATCH($D1020&amp;"",부서매핑!$A$5:$A$504,0)),"미매핑"))</f>
        <v/>
      </c>
      <c r="K1020" s="63">
        <f>IF($A1020="","",IFERROR(INDEX(계정매핑!$C$5:$C$504,MATCH($F1020&amp;"",계정매핑!$A$5:$A$504,0)),"미매핑"))</f>
        <v/>
      </c>
      <c r="L1020" s="4">
        <f>IF($A1020="","",VALUE($A1020&amp;""))</f>
        <v/>
      </c>
      <c r="M1020" s="4">
        <f>IF($A1020="","",VALUE($B1020&amp;""))</f>
        <v/>
      </c>
      <c r="N1020" s="64">
        <f>IF($A1020="","",$H1020*설정!$C$15)</f>
        <v/>
      </c>
      <c r="O1020" s="4">
        <f>IF($A1020="","",J1020&amp;"|"&amp;K1020)</f>
        <v/>
      </c>
      <c r="P1020" s="63">
        <f>IF($A1020="","",IF(COUNTIFS(예산_원본!$T$5:$T$3004,O1020,예산_원본!$B$5:$B$3004,설정!$C$8,예산_원본!$U$5:$U$3004,L1020)&gt;0,"Y","N"))</f>
        <v/>
      </c>
      <c r="Q1020" s="63">
        <f>IF($A1020="","",IF(COUNTIF(집계!$E$7:$E$506,O1020)&gt;0,"Y","N"))</f>
        <v/>
      </c>
    </row>
    <row r="1021">
      <c r="A1021" s="60" t="n">
        <v>2026</v>
      </c>
      <c r="B1021" s="60" t="n">
        <v>2</v>
      </c>
      <c r="C1021" s="60" t="inlineStr">
        <is>
          <t>1000</t>
        </is>
      </c>
      <c r="D1021" s="60" t="n">
        <v>1101</v>
      </c>
      <c r="E1021" s="60" t="inlineStr">
        <is>
          <t>경영기획</t>
        </is>
      </c>
      <c r="F1021" s="60" t="n">
        <v>62201000</v>
      </c>
      <c r="G1021" s="60" t="inlineStr">
        <is>
          <t>통신비</t>
        </is>
      </c>
      <c r="H1021" s="61" t="n">
        <v>827360</v>
      </c>
      <c r="J1021" s="63">
        <f>IF($A1021="","",IFERROR(INDEX(부서매핑!$C$5:$C$504,MATCH($D1021&amp;"",부서매핑!$A$5:$A$504,0)),"미매핑"))</f>
        <v/>
      </c>
      <c r="K1021" s="63">
        <f>IF($A1021="","",IFERROR(INDEX(계정매핑!$C$5:$C$504,MATCH($F1021&amp;"",계정매핑!$A$5:$A$504,0)),"미매핑"))</f>
        <v/>
      </c>
      <c r="L1021" s="4">
        <f>IF($A1021="","",VALUE($A1021&amp;""))</f>
        <v/>
      </c>
      <c r="M1021" s="4">
        <f>IF($A1021="","",VALUE($B1021&amp;""))</f>
        <v/>
      </c>
      <c r="N1021" s="64">
        <f>IF($A1021="","",$H1021*설정!$C$15)</f>
        <v/>
      </c>
      <c r="O1021" s="4">
        <f>IF($A1021="","",J1021&amp;"|"&amp;K1021)</f>
        <v/>
      </c>
      <c r="P1021" s="63">
        <f>IF($A1021="","",IF(COUNTIFS(예산_원본!$T$5:$T$3004,O1021,예산_원본!$B$5:$B$3004,설정!$C$8,예산_원본!$U$5:$U$3004,L1021)&gt;0,"Y","N"))</f>
        <v/>
      </c>
      <c r="Q1021" s="63">
        <f>IF($A1021="","",IF(COUNTIF(집계!$E$7:$E$506,O1021)&gt;0,"Y","N"))</f>
        <v/>
      </c>
    </row>
    <row r="1022">
      <c r="A1022" s="60" t="n">
        <v>2026</v>
      </c>
      <c r="B1022" s="60" t="n">
        <v>2</v>
      </c>
      <c r="C1022" s="60" t="inlineStr">
        <is>
          <t>1000</t>
        </is>
      </c>
      <c r="D1022" s="60" t="n">
        <v>1101</v>
      </c>
      <c r="E1022" s="60" t="inlineStr">
        <is>
          <t>경영기획</t>
        </is>
      </c>
      <c r="F1022" s="60" t="n">
        <v>62301000</v>
      </c>
      <c r="G1022" s="60" t="inlineStr">
        <is>
          <t>소모품비</t>
        </is>
      </c>
      <c r="H1022" s="61" t="n">
        <v>419440</v>
      </c>
      <c r="J1022" s="63">
        <f>IF($A1022="","",IFERROR(INDEX(부서매핑!$C$5:$C$504,MATCH($D1022&amp;"",부서매핑!$A$5:$A$504,0)),"미매핑"))</f>
        <v/>
      </c>
      <c r="K1022" s="63">
        <f>IF($A1022="","",IFERROR(INDEX(계정매핑!$C$5:$C$504,MATCH($F1022&amp;"",계정매핑!$A$5:$A$504,0)),"미매핑"))</f>
        <v/>
      </c>
      <c r="L1022" s="4">
        <f>IF($A1022="","",VALUE($A1022&amp;""))</f>
        <v/>
      </c>
      <c r="M1022" s="4">
        <f>IF($A1022="","",VALUE($B1022&amp;""))</f>
        <v/>
      </c>
      <c r="N1022" s="64">
        <f>IF($A1022="","",$H1022*설정!$C$15)</f>
        <v/>
      </c>
      <c r="O1022" s="4">
        <f>IF($A1022="","",J1022&amp;"|"&amp;K1022)</f>
        <v/>
      </c>
      <c r="P1022" s="63">
        <f>IF($A1022="","",IF(COUNTIFS(예산_원본!$T$5:$T$3004,O1022,예산_원본!$B$5:$B$3004,설정!$C$8,예산_원본!$U$5:$U$3004,L1022)&gt;0,"Y","N"))</f>
        <v/>
      </c>
      <c r="Q1022" s="63">
        <f>IF($A1022="","",IF(COUNTIF(집계!$E$7:$E$506,O1022)&gt;0,"Y","N"))</f>
        <v/>
      </c>
    </row>
    <row r="1023">
      <c r="A1023" s="60" t="n">
        <v>2026</v>
      </c>
      <c r="B1023" s="60" t="n">
        <v>2</v>
      </c>
      <c r="C1023" s="60" t="inlineStr">
        <is>
          <t>1000</t>
        </is>
      </c>
      <c r="D1023" s="60" t="n">
        <v>1101</v>
      </c>
      <c r="E1023" s="60" t="inlineStr">
        <is>
          <t>경영기획</t>
        </is>
      </c>
      <c r="F1023" s="60" t="n">
        <v>62501000</v>
      </c>
      <c r="G1023" s="60" t="inlineStr">
        <is>
          <t>회의비</t>
        </is>
      </c>
      <c r="H1023" s="61" t="n">
        <v>911160</v>
      </c>
      <c r="J1023" s="63">
        <f>IF($A1023="","",IFERROR(INDEX(부서매핑!$C$5:$C$504,MATCH($D1023&amp;"",부서매핑!$A$5:$A$504,0)),"미매핑"))</f>
        <v/>
      </c>
      <c r="K1023" s="63">
        <f>IF($A1023="","",IFERROR(INDEX(계정매핑!$C$5:$C$504,MATCH($F1023&amp;"",계정매핑!$A$5:$A$504,0)),"미매핑"))</f>
        <v/>
      </c>
      <c r="L1023" s="4">
        <f>IF($A1023="","",VALUE($A1023&amp;""))</f>
        <v/>
      </c>
      <c r="M1023" s="4">
        <f>IF($A1023="","",VALUE($B1023&amp;""))</f>
        <v/>
      </c>
      <c r="N1023" s="64">
        <f>IF($A1023="","",$H1023*설정!$C$15)</f>
        <v/>
      </c>
      <c r="O1023" s="4">
        <f>IF($A1023="","",J1023&amp;"|"&amp;K1023)</f>
        <v/>
      </c>
      <c r="P1023" s="63">
        <f>IF($A1023="","",IF(COUNTIFS(예산_원본!$T$5:$T$3004,O1023,예산_원본!$B$5:$B$3004,설정!$C$8,예산_원본!$U$5:$U$3004,L1023)&gt;0,"Y","N"))</f>
        <v/>
      </c>
      <c r="Q1023" s="63">
        <f>IF($A1023="","",IF(COUNTIF(집계!$E$7:$E$506,O1023)&gt;0,"Y","N"))</f>
        <v/>
      </c>
    </row>
    <row r="1024">
      <c r="A1024" s="60" t="n">
        <v>2026</v>
      </c>
      <c r="B1024" s="60" t="n">
        <v>2</v>
      </c>
      <c r="C1024" s="60" t="inlineStr">
        <is>
          <t>1000</t>
        </is>
      </c>
      <c r="D1024" s="60" t="n">
        <v>1101</v>
      </c>
      <c r="E1024" s="60" t="inlineStr">
        <is>
          <t>경영기획</t>
        </is>
      </c>
      <c r="F1024" s="60" t="n">
        <v>62601000</v>
      </c>
      <c r="G1024" s="60" t="inlineStr">
        <is>
          <t>업무추진비</t>
        </is>
      </c>
      <c r="H1024" s="61" t="n">
        <v>3675980</v>
      </c>
      <c r="J1024" s="63">
        <f>IF($A1024="","",IFERROR(INDEX(부서매핑!$C$5:$C$504,MATCH($D1024&amp;"",부서매핑!$A$5:$A$504,0)),"미매핑"))</f>
        <v/>
      </c>
      <c r="K1024" s="63">
        <f>IF($A1024="","",IFERROR(INDEX(계정매핑!$C$5:$C$504,MATCH($F1024&amp;"",계정매핑!$A$5:$A$504,0)),"미매핑"))</f>
        <v/>
      </c>
      <c r="L1024" s="4">
        <f>IF($A1024="","",VALUE($A1024&amp;""))</f>
        <v/>
      </c>
      <c r="M1024" s="4">
        <f>IF($A1024="","",VALUE($B1024&amp;""))</f>
        <v/>
      </c>
      <c r="N1024" s="64">
        <f>IF($A1024="","",$H1024*설정!$C$15)</f>
        <v/>
      </c>
      <c r="O1024" s="4">
        <f>IF($A1024="","",J1024&amp;"|"&amp;K1024)</f>
        <v/>
      </c>
      <c r="P1024" s="63">
        <f>IF($A1024="","",IF(COUNTIFS(예산_원본!$T$5:$T$3004,O1024,예산_원본!$B$5:$B$3004,설정!$C$8,예산_원본!$U$5:$U$3004,L1024)&gt;0,"Y","N"))</f>
        <v/>
      </c>
      <c r="Q1024" s="63">
        <f>IF($A1024="","",IF(COUNTIF(집계!$E$7:$E$506,O1024)&gt;0,"Y","N"))</f>
        <v/>
      </c>
    </row>
    <row r="1025">
      <c r="A1025" s="60" t="n">
        <v>2026</v>
      </c>
      <c r="B1025" s="60" t="n">
        <v>2</v>
      </c>
      <c r="C1025" s="60" t="inlineStr">
        <is>
          <t>1000</t>
        </is>
      </c>
      <c r="D1025" s="60" t="n">
        <v>1101</v>
      </c>
      <c r="E1025" s="60" t="inlineStr">
        <is>
          <t>경영기획</t>
        </is>
      </c>
      <c r="F1025" s="60" t="n">
        <v>62901000</v>
      </c>
      <c r="G1025" s="60" t="inlineStr">
        <is>
          <t>지급수수료-컨설팅</t>
        </is>
      </c>
      <c r="H1025" s="61" t="n">
        <v>14710510</v>
      </c>
      <c r="J1025" s="63">
        <f>IF($A1025="","",IFERROR(INDEX(부서매핑!$C$5:$C$504,MATCH($D1025&amp;"",부서매핑!$A$5:$A$504,0)),"미매핑"))</f>
        <v/>
      </c>
      <c r="K1025" s="63">
        <f>IF($A1025="","",IFERROR(INDEX(계정매핑!$C$5:$C$504,MATCH($F1025&amp;"",계정매핑!$A$5:$A$504,0)),"미매핑"))</f>
        <v/>
      </c>
      <c r="L1025" s="4">
        <f>IF($A1025="","",VALUE($A1025&amp;""))</f>
        <v/>
      </c>
      <c r="M1025" s="4">
        <f>IF($A1025="","",VALUE($B1025&amp;""))</f>
        <v/>
      </c>
      <c r="N1025" s="64">
        <f>IF($A1025="","",$H1025*설정!$C$15)</f>
        <v/>
      </c>
      <c r="O1025" s="4">
        <f>IF($A1025="","",J1025&amp;"|"&amp;K1025)</f>
        <v/>
      </c>
      <c r="P1025" s="63">
        <f>IF($A1025="","",IF(COUNTIFS(예산_원본!$T$5:$T$3004,O1025,예산_원본!$B$5:$B$3004,설정!$C$8,예산_원본!$U$5:$U$3004,L1025)&gt;0,"Y","N"))</f>
        <v/>
      </c>
      <c r="Q1025" s="63">
        <f>IF($A1025="","",IF(COUNTIF(집계!$E$7:$E$506,O1025)&gt;0,"Y","N"))</f>
        <v/>
      </c>
    </row>
    <row r="1026">
      <c r="A1026" s="60" t="n">
        <v>2026</v>
      </c>
      <c r="B1026" s="60" t="n">
        <v>2</v>
      </c>
      <c r="C1026" s="60" t="inlineStr">
        <is>
          <t>1000</t>
        </is>
      </c>
      <c r="D1026" s="60" t="n">
        <v>1101</v>
      </c>
      <c r="E1026" s="60" t="inlineStr">
        <is>
          <t>경영기획</t>
        </is>
      </c>
      <c r="F1026" s="60" t="n">
        <v>62902000</v>
      </c>
      <c r="G1026" s="60" t="inlineStr">
        <is>
          <t>지급수수료-기타</t>
        </is>
      </c>
      <c r="H1026" s="61" t="n">
        <v>6023800</v>
      </c>
      <c r="J1026" s="63">
        <f>IF($A1026="","",IFERROR(INDEX(부서매핑!$C$5:$C$504,MATCH($D1026&amp;"",부서매핑!$A$5:$A$504,0)),"미매핑"))</f>
        <v/>
      </c>
      <c r="K1026" s="63">
        <f>IF($A1026="","",IFERROR(INDEX(계정매핑!$C$5:$C$504,MATCH($F1026&amp;"",계정매핑!$A$5:$A$504,0)),"미매핑"))</f>
        <v/>
      </c>
      <c r="L1026" s="4">
        <f>IF($A1026="","",VALUE($A1026&amp;""))</f>
        <v/>
      </c>
      <c r="M1026" s="4">
        <f>IF($A1026="","",VALUE($B1026&amp;""))</f>
        <v/>
      </c>
      <c r="N1026" s="64">
        <f>IF($A1026="","",$H1026*설정!$C$15)</f>
        <v/>
      </c>
      <c r="O1026" s="4">
        <f>IF($A1026="","",J1026&amp;"|"&amp;K1026)</f>
        <v/>
      </c>
      <c r="P1026" s="63">
        <f>IF($A1026="","",IF(COUNTIFS(예산_원본!$T$5:$T$3004,O1026,예산_원본!$B$5:$B$3004,설정!$C$8,예산_원본!$U$5:$U$3004,L1026)&gt;0,"Y","N"))</f>
        <v/>
      </c>
      <c r="Q1026" s="63">
        <f>IF($A1026="","",IF(COUNTIF(집계!$E$7:$E$506,O1026)&gt;0,"Y","N"))</f>
        <v/>
      </c>
    </row>
    <row r="1027">
      <c r="A1027" s="60" t="n">
        <v>2026</v>
      </c>
      <c r="B1027" s="60" t="n">
        <v>2</v>
      </c>
      <c r="C1027" s="60" t="inlineStr">
        <is>
          <t>1000</t>
        </is>
      </c>
      <c r="D1027" s="60" t="n">
        <v>1201</v>
      </c>
      <c r="E1027" s="60" t="inlineStr">
        <is>
          <t>재무회계</t>
        </is>
      </c>
      <c r="F1027" s="60" t="n">
        <v>62101000</v>
      </c>
      <c r="G1027" s="60" t="inlineStr">
        <is>
          <t>여비교통비-국내</t>
        </is>
      </c>
      <c r="H1027" s="61" t="n">
        <v>1085080</v>
      </c>
      <c r="J1027" s="63">
        <f>IF($A1027="","",IFERROR(INDEX(부서매핑!$C$5:$C$504,MATCH($D1027&amp;"",부서매핑!$A$5:$A$504,0)),"미매핑"))</f>
        <v/>
      </c>
      <c r="K1027" s="63">
        <f>IF($A1027="","",IFERROR(INDEX(계정매핑!$C$5:$C$504,MATCH($F1027&amp;"",계정매핑!$A$5:$A$504,0)),"미매핑"))</f>
        <v/>
      </c>
      <c r="L1027" s="4">
        <f>IF($A1027="","",VALUE($A1027&amp;""))</f>
        <v/>
      </c>
      <c r="M1027" s="4">
        <f>IF($A1027="","",VALUE($B1027&amp;""))</f>
        <v/>
      </c>
      <c r="N1027" s="64">
        <f>IF($A1027="","",$H1027*설정!$C$15)</f>
        <v/>
      </c>
      <c r="O1027" s="4">
        <f>IF($A1027="","",J1027&amp;"|"&amp;K1027)</f>
        <v/>
      </c>
      <c r="P1027" s="63">
        <f>IF($A1027="","",IF(COUNTIFS(예산_원본!$T$5:$T$3004,O1027,예산_원본!$B$5:$B$3004,설정!$C$8,예산_원본!$U$5:$U$3004,L1027)&gt;0,"Y","N"))</f>
        <v/>
      </c>
      <c r="Q1027" s="63">
        <f>IF($A1027="","",IF(COUNTIF(집계!$E$7:$E$506,O1027)&gt;0,"Y","N"))</f>
        <v/>
      </c>
    </row>
    <row r="1028">
      <c r="A1028" s="60" t="n">
        <v>2026</v>
      </c>
      <c r="B1028" s="60" t="n">
        <v>2</v>
      </c>
      <c r="C1028" s="60" t="inlineStr">
        <is>
          <t>1000</t>
        </is>
      </c>
      <c r="D1028" s="60" t="n">
        <v>1201</v>
      </c>
      <c r="E1028" s="60" t="inlineStr">
        <is>
          <t>재무회계</t>
        </is>
      </c>
      <c r="F1028" s="60" t="n">
        <v>62102000</v>
      </c>
      <c r="G1028" s="60" t="inlineStr">
        <is>
          <t>여비교통비-해외</t>
        </is>
      </c>
      <c r="H1028" s="61" t="n">
        <v>227750</v>
      </c>
      <c r="J1028" s="63">
        <f>IF($A1028="","",IFERROR(INDEX(부서매핑!$C$5:$C$504,MATCH($D1028&amp;"",부서매핑!$A$5:$A$504,0)),"미매핑"))</f>
        <v/>
      </c>
      <c r="K1028" s="63">
        <f>IF($A1028="","",IFERROR(INDEX(계정매핑!$C$5:$C$504,MATCH($F1028&amp;"",계정매핑!$A$5:$A$504,0)),"미매핑"))</f>
        <v/>
      </c>
      <c r="L1028" s="4">
        <f>IF($A1028="","",VALUE($A1028&amp;""))</f>
        <v/>
      </c>
      <c r="M1028" s="4">
        <f>IF($A1028="","",VALUE($B1028&amp;""))</f>
        <v/>
      </c>
      <c r="N1028" s="64">
        <f>IF($A1028="","",$H1028*설정!$C$15)</f>
        <v/>
      </c>
      <c r="O1028" s="4">
        <f>IF($A1028="","",J1028&amp;"|"&amp;K1028)</f>
        <v/>
      </c>
      <c r="P1028" s="63">
        <f>IF($A1028="","",IF(COUNTIFS(예산_원본!$T$5:$T$3004,O1028,예산_원본!$B$5:$B$3004,설정!$C$8,예산_원본!$U$5:$U$3004,L1028)&gt;0,"Y","N"))</f>
        <v/>
      </c>
      <c r="Q1028" s="63">
        <f>IF($A1028="","",IF(COUNTIF(집계!$E$7:$E$506,O1028)&gt;0,"Y","N"))</f>
        <v/>
      </c>
    </row>
    <row r="1029">
      <c r="A1029" s="60" t="n">
        <v>2026</v>
      </c>
      <c r="B1029" s="60" t="n">
        <v>2</v>
      </c>
      <c r="C1029" s="60" t="inlineStr">
        <is>
          <t>1000</t>
        </is>
      </c>
      <c r="D1029" s="60" t="n">
        <v>1201</v>
      </c>
      <c r="E1029" s="60" t="inlineStr">
        <is>
          <t>재무회계</t>
        </is>
      </c>
      <c r="F1029" s="60" t="n">
        <v>62201000</v>
      </c>
      <c r="G1029" s="60" t="inlineStr">
        <is>
          <t>통신비</t>
        </is>
      </c>
      <c r="H1029" s="61" t="n">
        <v>467580</v>
      </c>
      <c r="J1029" s="63">
        <f>IF($A1029="","",IFERROR(INDEX(부서매핑!$C$5:$C$504,MATCH($D1029&amp;"",부서매핑!$A$5:$A$504,0)),"미매핑"))</f>
        <v/>
      </c>
      <c r="K1029" s="63">
        <f>IF($A1029="","",IFERROR(INDEX(계정매핑!$C$5:$C$504,MATCH($F1029&amp;"",계정매핑!$A$5:$A$504,0)),"미매핑"))</f>
        <v/>
      </c>
      <c r="L1029" s="4">
        <f>IF($A1029="","",VALUE($A1029&amp;""))</f>
        <v/>
      </c>
      <c r="M1029" s="4">
        <f>IF($A1029="","",VALUE($B1029&amp;""))</f>
        <v/>
      </c>
      <c r="N1029" s="64">
        <f>IF($A1029="","",$H1029*설정!$C$15)</f>
        <v/>
      </c>
      <c r="O1029" s="4">
        <f>IF($A1029="","",J1029&amp;"|"&amp;K1029)</f>
        <v/>
      </c>
      <c r="P1029" s="63">
        <f>IF($A1029="","",IF(COUNTIFS(예산_원본!$T$5:$T$3004,O1029,예산_원본!$B$5:$B$3004,설정!$C$8,예산_원본!$U$5:$U$3004,L1029)&gt;0,"Y","N"))</f>
        <v/>
      </c>
      <c r="Q1029" s="63">
        <f>IF($A1029="","",IF(COUNTIF(집계!$E$7:$E$506,O1029)&gt;0,"Y","N"))</f>
        <v/>
      </c>
    </row>
    <row r="1030">
      <c r="A1030" s="60" t="n">
        <v>2026</v>
      </c>
      <c r="B1030" s="60" t="n">
        <v>2</v>
      </c>
      <c r="C1030" s="60" t="inlineStr">
        <is>
          <t>1000</t>
        </is>
      </c>
      <c r="D1030" s="60" t="n">
        <v>1201</v>
      </c>
      <c r="E1030" s="60" t="inlineStr">
        <is>
          <t>재무회계</t>
        </is>
      </c>
      <c r="F1030" s="60" t="n">
        <v>62301000</v>
      </c>
      <c r="G1030" s="60" t="inlineStr">
        <is>
          <t>소모품비</t>
        </is>
      </c>
      <c r="H1030" s="61" t="n">
        <v>640170</v>
      </c>
      <c r="J1030" s="63">
        <f>IF($A1030="","",IFERROR(INDEX(부서매핑!$C$5:$C$504,MATCH($D1030&amp;"",부서매핑!$A$5:$A$504,0)),"미매핑"))</f>
        <v/>
      </c>
      <c r="K1030" s="63">
        <f>IF($A1030="","",IFERROR(INDEX(계정매핑!$C$5:$C$504,MATCH($F1030&amp;"",계정매핑!$A$5:$A$504,0)),"미매핑"))</f>
        <v/>
      </c>
      <c r="L1030" s="4">
        <f>IF($A1030="","",VALUE($A1030&amp;""))</f>
        <v/>
      </c>
      <c r="M1030" s="4">
        <f>IF($A1030="","",VALUE($B1030&amp;""))</f>
        <v/>
      </c>
      <c r="N1030" s="64">
        <f>IF($A1030="","",$H1030*설정!$C$15)</f>
        <v/>
      </c>
      <c r="O1030" s="4">
        <f>IF($A1030="","",J1030&amp;"|"&amp;K1030)</f>
        <v/>
      </c>
      <c r="P1030" s="63">
        <f>IF($A1030="","",IF(COUNTIFS(예산_원본!$T$5:$T$3004,O1030,예산_원본!$B$5:$B$3004,설정!$C$8,예산_원본!$U$5:$U$3004,L1030)&gt;0,"Y","N"))</f>
        <v/>
      </c>
      <c r="Q1030" s="63">
        <f>IF($A1030="","",IF(COUNTIF(집계!$E$7:$E$506,O1030)&gt;0,"Y","N"))</f>
        <v/>
      </c>
    </row>
    <row r="1031">
      <c r="A1031" s="60" t="n">
        <v>2026</v>
      </c>
      <c r="B1031" s="60" t="n">
        <v>2</v>
      </c>
      <c r="C1031" s="60" t="inlineStr">
        <is>
          <t>1000</t>
        </is>
      </c>
      <c r="D1031" s="60" t="n">
        <v>1201</v>
      </c>
      <c r="E1031" s="60" t="inlineStr">
        <is>
          <t>재무회계</t>
        </is>
      </c>
      <c r="F1031" s="60" t="n">
        <v>62501000</v>
      </c>
      <c r="G1031" s="60" t="inlineStr">
        <is>
          <t>회의비</t>
        </is>
      </c>
      <c r="H1031" s="61" t="n">
        <v>483680</v>
      </c>
      <c r="J1031" s="63">
        <f>IF($A1031="","",IFERROR(INDEX(부서매핑!$C$5:$C$504,MATCH($D1031&amp;"",부서매핑!$A$5:$A$504,0)),"미매핑"))</f>
        <v/>
      </c>
      <c r="K1031" s="63">
        <f>IF($A1031="","",IFERROR(INDEX(계정매핑!$C$5:$C$504,MATCH($F1031&amp;"",계정매핑!$A$5:$A$504,0)),"미매핑"))</f>
        <v/>
      </c>
      <c r="L1031" s="4">
        <f>IF($A1031="","",VALUE($A1031&amp;""))</f>
        <v/>
      </c>
      <c r="M1031" s="4">
        <f>IF($A1031="","",VALUE($B1031&amp;""))</f>
        <v/>
      </c>
      <c r="N1031" s="64">
        <f>IF($A1031="","",$H1031*설정!$C$15)</f>
        <v/>
      </c>
      <c r="O1031" s="4">
        <f>IF($A1031="","",J1031&amp;"|"&amp;K1031)</f>
        <v/>
      </c>
      <c r="P1031" s="63">
        <f>IF($A1031="","",IF(COUNTIFS(예산_원본!$T$5:$T$3004,O1031,예산_원본!$B$5:$B$3004,설정!$C$8,예산_원본!$U$5:$U$3004,L1031)&gt;0,"Y","N"))</f>
        <v/>
      </c>
      <c r="Q1031" s="63">
        <f>IF($A1031="","",IF(COUNTIF(집계!$E$7:$E$506,O1031)&gt;0,"Y","N"))</f>
        <v/>
      </c>
    </row>
    <row r="1032">
      <c r="A1032" s="60" t="n">
        <v>2026</v>
      </c>
      <c r="B1032" s="60" t="n">
        <v>2</v>
      </c>
      <c r="C1032" s="60" t="inlineStr">
        <is>
          <t>1000</t>
        </is>
      </c>
      <c r="D1032" s="60" t="n">
        <v>1201</v>
      </c>
      <c r="E1032" s="60" t="inlineStr">
        <is>
          <t>재무회계</t>
        </is>
      </c>
      <c r="F1032" s="60" t="n">
        <v>62901000</v>
      </c>
      <c r="G1032" s="60" t="inlineStr">
        <is>
          <t>지급수수료-컨설팅</t>
        </is>
      </c>
      <c r="H1032" s="61" t="n">
        <v>19721030</v>
      </c>
      <c r="J1032" s="63">
        <f>IF($A1032="","",IFERROR(INDEX(부서매핑!$C$5:$C$504,MATCH($D1032&amp;"",부서매핑!$A$5:$A$504,0)),"미매핑"))</f>
        <v/>
      </c>
      <c r="K1032" s="63">
        <f>IF($A1032="","",IFERROR(INDEX(계정매핑!$C$5:$C$504,MATCH($F1032&amp;"",계정매핑!$A$5:$A$504,0)),"미매핑"))</f>
        <v/>
      </c>
      <c r="L1032" s="4">
        <f>IF($A1032="","",VALUE($A1032&amp;""))</f>
        <v/>
      </c>
      <c r="M1032" s="4">
        <f>IF($A1032="","",VALUE($B1032&amp;""))</f>
        <v/>
      </c>
      <c r="N1032" s="64">
        <f>IF($A1032="","",$H1032*설정!$C$15)</f>
        <v/>
      </c>
      <c r="O1032" s="4">
        <f>IF($A1032="","",J1032&amp;"|"&amp;K1032)</f>
        <v/>
      </c>
      <c r="P1032" s="63">
        <f>IF($A1032="","",IF(COUNTIFS(예산_원본!$T$5:$T$3004,O1032,예산_원본!$B$5:$B$3004,설정!$C$8,예산_원본!$U$5:$U$3004,L1032)&gt;0,"Y","N"))</f>
        <v/>
      </c>
      <c r="Q1032" s="63">
        <f>IF($A1032="","",IF(COUNTIF(집계!$E$7:$E$506,O1032)&gt;0,"Y","N"))</f>
        <v/>
      </c>
    </row>
    <row r="1033">
      <c r="A1033" s="60" t="n">
        <v>2026</v>
      </c>
      <c r="B1033" s="60" t="n">
        <v>2</v>
      </c>
      <c r="C1033" s="60" t="inlineStr">
        <is>
          <t>1000</t>
        </is>
      </c>
      <c r="D1033" s="60" t="n">
        <v>1201</v>
      </c>
      <c r="E1033" s="60" t="inlineStr">
        <is>
          <t>재무회계</t>
        </is>
      </c>
      <c r="F1033" s="60" t="n">
        <v>62902000</v>
      </c>
      <c r="G1033" s="60" t="inlineStr">
        <is>
          <t>지급수수료-기타</t>
        </is>
      </c>
      <c r="H1033" s="61" t="n">
        <v>8403220</v>
      </c>
      <c r="J1033" s="63">
        <f>IF($A1033="","",IFERROR(INDEX(부서매핑!$C$5:$C$504,MATCH($D1033&amp;"",부서매핑!$A$5:$A$504,0)),"미매핑"))</f>
        <v/>
      </c>
      <c r="K1033" s="63">
        <f>IF($A1033="","",IFERROR(INDEX(계정매핑!$C$5:$C$504,MATCH($F1033&amp;"",계정매핑!$A$5:$A$504,0)),"미매핑"))</f>
        <v/>
      </c>
      <c r="L1033" s="4">
        <f>IF($A1033="","",VALUE($A1033&amp;""))</f>
        <v/>
      </c>
      <c r="M1033" s="4">
        <f>IF($A1033="","",VALUE($B1033&amp;""))</f>
        <v/>
      </c>
      <c r="N1033" s="64">
        <f>IF($A1033="","",$H1033*설정!$C$15)</f>
        <v/>
      </c>
      <c r="O1033" s="4">
        <f>IF($A1033="","",J1033&amp;"|"&amp;K1033)</f>
        <v/>
      </c>
      <c r="P1033" s="63">
        <f>IF($A1033="","",IF(COUNTIFS(예산_원본!$T$5:$T$3004,O1033,예산_원본!$B$5:$B$3004,설정!$C$8,예산_원본!$U$5:$U$3004,L1033)&gt;0,"Y","N"))</f>
        <v/>
      </c>
      <c r="Q1033" s="63">
        <f>IF($A1033="","",IF(COUNTIF(집계!$E$7:$E$506,O1033)&gt;0,"Y","N"))</f>
        <v/>
      </c>
    </row>
    <row r="1034">
      <c r="A1034" s="60" t="n">
        <v>2026</v>
      </c>
      <c r="B1034" s="60" t="n">
        <v>2</v>
      </c>
      <c r="C1034" s="60" t="inlineStr">
        <is>
          <t>1000</t>
        </is>
      </c>
      <c r="D1034" s="60" t="n">
        <v>1301</v>
      </c>
      <c r="E1034" s="60" t="inlineStr">
        <is>
          <t>인사</t>
        </is>
      </c>
      <c r="F1034" s="60" t="n">
        <v>62101000</v>
      </c>
      <c r="G1034" s="60" t="inlineStr">
        <is>
          <t>여비교통비-국내</t>
        </is>
      </c>
      <c r="H1034" s="61" t="n">
        <v>1358790</v>
      </c>
      <c r="J1034" s="63">
        <f>IF($A1034="","",IFERROR(INDEX(부서매핑!$C$5:$C$504,MATCH($D1034&amp;"",부서매핑!$A$5:$A$504,0)),"미매핑"))</f>
        <v/>
      </c>
      <c r="K1034" s="63">
        <f>IF($A1034="","",IFERROR(INDEX(계정매핑!$C$5:$C$504,MATCH($F1034&amp;"",계정매핑!$A$5:$A$504,0)),"미매핑"))</f>
        <v/>
      </c>
      <c r="L1034" s="4">
        <f>IF($A1034="","",VALUE($A1034&amp;""))</f>
        <v/>
      </c>
      <c r="M1034" s="4">
        <f>IF($A1034="","",VALUE($B1034&amp;""))</f>
        <v/>
      </c>
      <c r="N1034" s="64">
        <f>IF($A1034="","",$H1034*설정!$C$15)</f>
        <v/>
      </c>
      <c r="O1034" s="4">
        <f>IF($A1034="","",J1034&amp;"|"&amp;K1034)</f>
        <v/>
      </c>
      <c r="P1034" s="63">
        <f>IF($A1034="","",IF(COUNTIFS(예산_원본!$T$5:$T$3004,O1034,예산_원본!$B$5:$B$3004,설정!$C$8,예산_원본!$U$5:$U$3004,L1034)&gt;0,"Y","N"))</f>
        <v/>
      </c>
      <c r="Q1034" s="63">
        <f>IF($A1034="","",IF(COUNTIF(집계!$E$7:$E$506,O1034)&gt;0,"Y","N"))</f>
        <v/>
      </c>
    </row>
    <row r="1035">
      <c r="A1035" s="60" t="n">
        <v>2026</v>
      </c>
      <c r="B1035" s="60" t="n">
        <v>2</v>
      </c>
      <c r="C1035" s="60" t="inlineStr">
        <is>
          <t>1000</t>
        </is>
      </c>
      <c r="D1035" s="60" t="n">
        <v>1301</v>
      </c>
      <c r="E1035" s="60" t="inlineStr">
        <is>
          <t>인사</t>
        </is>
      </c>
      <c r="F1035" s="60" t="n">
        <v>62102000</v>
      </c>
      <c r="G1035" s="60" t="inlineStr">
        <is>
          <t>여비교통비-해외</t>
        </is>
      </c>
      <c r="H1035" s="61" t="n">
        <v>234590</v>
      </c>
      <c r="J1035" s="63">
        <f>IF($A1035="","",IFERROR(INDEX(부서매핑!$C$5:$C$504,MATCH($D1035&amp;"",부서매핑!$A$5:$A$504,0)),"미매핑"))</f>
        <v/>
      </c>
      <c r="K1035" s="63">
        <f>IF($A1035="","",IFERROR(INDEX(계정매핑!$C$5:$C$504,MATCH($F1035&amp;"",계정매핑!$A$5:$A$504,0)),"미매핑"))</f>
        <v/>
      </c>
      <c r="L1035" s="4">
        <f>IF($A1035="","",VALUE($A1035&amp;""))</f>
        <v/>
      </c>
      <c r="M1035" s="4">
        <f>IF($A1035="","",VALUE($B1035&amp;""))</f>
        <v/>
      </c>
      <c r="N1035" s="64">
        <f>IF($A1035="","",$H1035*설정!$C$15)</f>
        <v/>
      </c>
      <c r="O1035" s="4">
        <f>IF($A1035="","",J1035&amp;"|"&amp;K1035)</f>
        <v/>
      </c>
      <c r="P1035" s="63">
        <f>IF($A1035="","",IF(COUNTIFS(예산_원본!$T$5:$T$3004,O1035,예산_원본!$B$5:$B$3004,설정!$C$8,예산_원본!$U$5:$U$3004,L1035)&gt;0,"Y","N"))</f>
        <v/>
      </c>
      <c r="Q1035" s="63">
        <f>IF($A1035="","",IF(COUNTIF(집계!$E$7:$E$506,O1035)&gt;0,"Y","N"))</f>
        <v/>
      </c>
    </row>
    <row r="1036">
      <c r="A1036" s="60" t="n">
        <v>2026</v>
      </c>
      <c r="B1036" s="60" t="n">
        <v>2</v>
      </c>
      <c r="C1036" s="60" t="inlineStr">
        <is>
          <t>1000</t>
        </is>
      </c>
      <c r="D1036" s="60" t="n">
        <v>1301</v>
      </c>
      <c r="E1036" s="60" t="inlineStr">
        <is>
          <t>인사</t>
        </is>
      </c>
      <c r="F1036" s="60" t="n">
        <v>62201000</v>
      </c>
      <c r="G1036" s="60" t="inlineStr">
        <is>
          <t>통신비</t>
        </is>
      </c>
      <c r="H1036" s="61" t="n">
        <v>616210</v>
      </c>
      <c r="J1036" s="63">
        <f>IF($A1036="","",IFERROR(INDEX(부서매핑!$C$5:$C$504,MATCH($D1036&amp;"",부서매핑!$A$5:$A$504,0)),"미매핑"))</f>
        <v/>
      </c>
      <c r="K1036" s="63">
        <f>IF($A1036="","",IFERROR(INDEX(계정매핑!$C$5:$C$504,MATCH($F1036&amp;"",계정매핑!$A$5:$A$504,0)),"미매핑"))</f>
        <v/>
      </c>
      <c r="L1036" s="4">
        <f>IF($A1036="","",VALUE($A1036&amp;""))</f>
        <v/>
      </c>
      <c r="M1036" s="4">
        <f>IF($A1036="","",VALUE($B1036&amp;""))</f>
        <v/>
      </c>
      <c r="N1036" s="64">
        <f>IF($A1036="","",$H1036*설정!$C$15)</f>
        <v/>
      </c>
      <c r="O1036" s="4">
        <f>IF($A1036="","",J1036&amp;"|"&amp;K1036)</f>
        <v/>
      </c>
      <c r="P1036" s="63">
        <f>IF($A1036="","",IF(COUNTIFS(예산_원본!$T$5:$T$3004,O1036,예산_원본!$B$5:$B$3004,설정!$C$8,예산_원본!$U$5:$U$3004,L1036)&gt;0,"Y","N"))</f>
        <v/>
      </c>
      <c r="Q1036" s="63">
        <f>IF($A1036="","",IF(COUNTIF(집계!$E$7:$E$506,O1036)&gt;0,"Y","N"))</f>
        <v/>
      </c>
    </row>
    <row r="1037">
      <c r="A1037" s="60" t="n">
        <v>2026</v>
      </c>
      <c r="B1037" s="60" t="n">
        <v>2</v>
      </c>
      <c r="C1037" s="60" t="inlineStr">
        <is>
          <t>1000</t>
        </is>
      </c>
      <c r="D1037" s="60" t="n">
        <v>1301</v>
      </c>
      <c r="E1037" s="60" t="inlineStr">
        <is>
          <t>인사</t>
        </is>
      </c>
      <c r="F1037" s="60" t="n">
        <v>62301000</v>
      </c>
      <c r="G1037" s="60" t="inlineStr">
        <is>
          <t>소모품비</t>
        </is>
      </c>
      <c r="H1037" s="61" t="n">
        <v>817340</v>
      </c>
      <c r="J1037" s="63">
        <f>IF($A1037="","",IFERROR(INDEX(부서매핑!$C$5:$C$504,MATCH($D1037&amp;"",부서매핑!$A$5:$A$504,0)),"미매핑"))</f>
        <v/>
      </c>
      <c r="K1037" s="63">
        <f>IF($A1037="","",IFERROR(INDEX(계정매핑!$C$5:$C$504,MATCH($F1037&amp;"",계정매핑!$A$5:$A$504,0)),"미매핑"))</f>
        <v/>
      </c>
      <c r="L1037" s="4">
        <f>IF($A1037="","",VALUE($A1037&amp;""))</f>
        <v/>
      </c>
      <c r="M1037" s="4">
        <f>IF($A1037="","",VALUE($B1037&amp;""))</f>
        <v/>
      </c>
      <c r="N1037" s="64">
        <f>IF($A1037="","",$H1037*설정!$C$15)</f>
        <v/>
      </c>
      <c r="O1037" s="4">
        <f>IF($A1037="","",J1037&amp;"|"&amp;K1037)</f>
        <v/>
      </c>
      <c r="P1037" s="63">
        <f>IF($A1037="","",IF(COUNTIFS(예산_원본!$T$5:$T$3004,O1037,예산_원본!$B$5:$B$3004,설정!$C$8,예산_원본!$U$5:$U$3004,L1037)&gt;0,"Y","N"))</f>
        <v/>
      </c>
      <c r="Q1037" s="63">
        <f>IF($A1037="","",IF(COUNTIF(집계!$E$7:$E$506,O1037)&gt;0,"Y","N"))</f>
        <v/>
      </c>
    </row>
    <row r="1038">
      <c r="A1038" s="60" t="n">
        <v>2026</v>
      </c>
      <c r="B1038" s="60" t="n">
        <v>2</v>
      </c>
      <c r="C1038" s="60" t="inlineStr">
        <is>
          <t>1000</t>
        </is>
      </c>
      <c r="D1038" s="60" t="n">
        <v>1301</v>
      </c>
      <c r="E1038" s="60" t="inlineStr">
        <is>
          <t>인사</t>
        </is>
      </c>
      <c r="F1038" s="60" t="n">
        <v>62501000</v>
      </c>
      <c r="G1038" s="60" t="inlineStr">
        <is>
          <t>회의비</t>
        </is>
      </c>
      <c r="H1038" s="61" t="n">
        <v>794880</v>
      </c>
      <c r="J1038" s="63">
        <f>IF($A1038="","",IFERROR(INDEX(부서매핑!$C$5:$C$504,MATCH($D1038&amp;"",부서매핑!$A$5:$A$504,0)),"미매핑"))</f>
        <v/>
      </c>
      <c r="K1038" s="63">
        <f>IF($A1038="","",IFERROR(INDEX(계정매핑!$C$5:$C$504,MATCH($F1038&amp;"",계정매핑!$A$5:$A$504,0)),"미매핑"))</f>
        <v/>
      </c>
      <c r="L1038" s="4">
        <f>IF($A1038="","",VALUE($A1038&amp;""))</f>
        <v/>
      </c>
      <c r="M1038" s="4">
        <f>IF($A1038="","",VALUE($B1038&amp;""))</f>
        <v/>
      </c>
      <c r="N1038" s="64">
        <f>IF($A1038="","",$H1038*설정!$C$15)</f>
        <v/>
      </c>
      <c r="O1038" s="4">
        <f>IF($A1038="","",J1038&amp;"|"&amp;K1038)</f>
        <v/>
      </c>
      <c r="P1038" s="63">
        <f>IF($A1038="","",IF(COUNTIFS(예산_원본!$T$5:$T$3004,O1038,예산_원본!$B$5:$B$3004,설정!$C$8,예산_원본!$U$5:$U$3004,L1038)&gt;0,"Y","N"))</f>
        <v/>
      </c>
      <c r="Q1038" s="63">
        <f>IF($A1038="","",IF(COUNTIF(집계!$E$7:$E$506,O1038)&gt;0,"Y","N"))</f>
        <v/>
      </c>
    </row>
    <row r="1039">
      <c r="A1039" s="60" t="n">
        <v>2026</v>
      </c>
      <c r="B1039" s="60" t="n">
        <v>2</v>
      </c>
      <c r="C1039" s="60" t="inlineStr">
        <is>
          <t>1000</t>
        </is>
      </c>
      <c r="D1039" s="60" t="n">
        <v>1301</v>
      </c>
      <c r="E1039" s="60" t="inlineStr">
        <is>
          <t>인사</t>
        </is>
      </c>
      <c r="F1039" s="60" t="n">
        <v>62601000</v>
      </c>
      <c r="G1039" s="60" t="inlineStr">
        <is>
          <t>업무추진비</t>
        </is>
      </c>
      <c r="H1039" s="61" t="n">
        <v>1845100</v>
      </c>
      <c r="J1039" s="63">
        <f>IF($A1039="","",IFERROR(INDEX(부서매핑!$C$5:$C$504,MATCH($D1039&amp;"",부서매핑!$A$5:$A$504,0)),"미매핑"))</f>
        <v/>
      </c>
      <c r="K1039" s="63">
        <f>IF($A1039="","",IFERROR(INDEX(계정매핑!$C$5:$C$504,MATCH($F1039&amp;"",계정매핑!$A$5:$A$504,0)),"미매핑"))</f>
        <v/>
      </c>
      <c r="L1039" s="4">
        <f>IF($A1039="","",VALUE($A1039&amp;""))</f>
        <v/>
      </c>
      <c r="M1039" s="4">
        <f>IF($A1039="","",VALUE($B1039&amp;""))</f>
        <v/>
      </c>
      <c r="N1039" s="64">
        <f>IF($A1039="","",$H1039*설정!$C$15)</f>
        <v/>
      </c>
      <c r="O1039" s="4">
        <f>IF($A1039="","",J1039&amp;"|"&amp;K1039)</f>
        <v/>
      </c>
      <c r="P1039" s="63">
        <f>IF($A1039="","",IF(COUNTIFS(예산_원본!$T$5:$T$3004,O1039,예산_원본!$B$5:$B$3004,설정!$C$8,예산_원본!$U$5:$U$3004,L1039)&gt;0,"Y","N"))</f>
        <v/>
      </c>
      <c r="Q1039" s="63">
        <f>IF($A1039="","",IF(COUNTIF(집계!$E$7:$E$506,O1039)&gt;0,"Y","N"))</f>
        <v/>
      </c>
    </row>
    <row r="1040">
      <c r="A1040" s="60" t="n">
        <v>2026</v>
      </c>
      <c r="B1040" s="60" t="n">
        <v>2</v>
      </c>
      <c r="C1040" s="60" t="inlineStr">
        <is>
          <t>1000</t>
        </is>
      </c>
      <c r="D1040" s="60" t="n">
        <v>1301</v>
      </c>
      <c r="E1040" s="60" t="inlineStr">
        <is>
          <t>인사</t>
        </is>
      </c>
      <c r="F1040" s="60" t="n">
        <v>62801000</v>
      </c>
      <c r="G1040" s="60" t="inlineStr">
        <is>
          <t>교육훈련비-사내</t>
        </is>
      </c>
      <c r="H1040" s="61" t="n">
        <v>10475910</v>
      </c>
      <c r="J1040" s="63">
        <f>IF($A1040="","",IFERROR(INDEX(부서매핑!$C$5:$C$504,MATCH($D1040&amp;"",부서매핑!$A$5:$A$504,0)),"미매핑"))</f>
        <v/>
      </c>
      <c r="K1040" s="63">
        <f>IF($A1040="","",IFERROR(INDEX(계정매핑!$C$5:$C$504,MATCH($F1040&amp;"",계정매핑!$A$5:$A$504,0)),"미매핑"))</f>
        <v/>
      </c>
      <c r="L1040" s="4">
        <f>IF($A1040="","",VALUE($A1040&amp;""))</f>
        <v/>
      </c>
      <c r="M1040" s="4">
        <f>IF($A1040="","",VALUE($B1040&amp;""))</f>
        <v/>
      </c>
      <c r="N1040" s="64">
        <f>IF($A1040="","",$H1040*설정!$C$15)</f>
        <v/>
      </c>
      <c r="O1040" s="4">
        <f>IF($A1040="","",J1040&amp;"|"&amp;K1040)</f>
        <v/>
      </c>
      <c r="P1040" s="63">
        <f>IF($A1040="","",IF(COUNTIFS(예산_원본!$T$5:$T$3004,O1040,예산_원본!$B$5:$B$3004,설정!$C$8,예산_원본!$U$5:$U$3004,L1040)&gt;0,"Y","N"))</f>
        <v/>
      </c>
      <c r="Q1040" s="63">
        <f>IF($A1040="","",IF(COUNTIF(집계!$E$7:$E$506,O1040)&gt;0,"Y","N"))</f>
        <v/>
      </c>
    </row>
    <row r="1041">
      <c r="A1041" s="60" t="n">
        <v>2026</v>
      </c>
      <c r="B1041" s="60" t="n">
        <v>2</v>
      </c>
      <c r="C1041" s="60" t="inlineStr">
        <is>
          <t>1000</t>
        </is>
      </c>
      <c r="D1041" s="60" t="n">
        <v>1301</v>
      </c>
      <c r="E1041" s="60" t="inlineStr">
        <is>
          <t>인사</t>
        </is>
      </c>
      <c r="F1041" s="60" t="n">
        <v>62802000</v>
      </c>
      <c r="G1041" s="60" t="inlineStr">
        <is>
          <t>교육훈련비-외부위탁</t>
        </is>
      </c>
      <c r="H1041" s="61" t="n">
        <v>16985460</v>
      </c>
      <c r="J1041" s="63">
        <f>IF($A1041="","",IFERROR(INDEX(부서매핑!$C$5:$C$504,MATCH($D1041&amp;"",부서매핑!$A$5:$A$504,0)),"미매핑"))</f>
        <v/>
      </c>
      <c r="K1041" s="63">
        <f>IF($A1041="","",IFERROR(INDEX(계정매핑!$C$5:$C$504,MATCH($F1041&amp;"",계정매핑!$A$5:$A$504,0)),"미매핑"))</f>
        <v/>
      </c>
      <c r="L1041" s="4">
        <f>IF($A1041="","",VALUE($A1041&amp;""))</f>
        <v/>
      </c>
      <c r="M1041" s="4">
        <f>IF($A1041="","",VALUE($B1041&amp;""))</f>
        <v/>
      </c>
      <c r="N1041" s="64">
        <f>IF($A1041="","",$H1041*설정!$C$15)</f>
        <v/>
      </c>
      <c r="O1041" s="4">
        <f>IF($A1041="","",J1041&amp;"|"&amp;K1041)</f>
        <v/>
      </c>
      <c r="P1041" s="63">
        <f>IF($A1041="","",IF(COUNTIFS(예산_원본!$T$5:$T$3004,O1041,예산_원본!$B$5:$B$3004,설정!$C$8,예산_원본!$U$5:$U$3004,L1041)&gt;0,"Y","N"))</f>
        <v/>
      </c>
      <c r="Q1041" s="63">
        <f>IF($A1041="","",IF(COUNTIF(집계!$E$7:$E$506,O1041)&gt;0,"Y","N"))</f>
        <v/>
      </c>
    </row>
    <row r="1042">
      <c r="A1042" s="60" t="n">
        <v>2026</v>
      </c>
      <c r="B1042" s="60" t="n">
        <v>2</v>
      </c>
      <c r="C1042" s="60" t="inlineStr">
        <is>
          <t>1000</t>
        </is>
      </c>
      <c r="D1042" s="60" t="n">
        <v>1401</v>
      </c>
      <c r="E1042" s="60" t="inlineStr">
        <is>
          <t>상품개발</t>
        </is>
      </c>
      <c r="F1042" s="60" t="n">
        <v>62101000</v>
      </c>
      <c r="G1042" s="60" t="inlineStr">
        <is>
          <t>여비교통비-국내</t>
        </is>
      </c>
      <c r="H1042" s="61" t="n">
        <v>2219230</v>
      </c>
      <c r="J1042" s="63">
        <f>IF($A1042="","",IFERROR(INDEX(부서매핑!$C$5:$C$504,MATCH($D1042&amp;"",부서매핑!$A$5:$A$504,0)),"미매핑"))</f>
        <v/>
      </c>
      <c r="K1042" s="63">
        <f>IF($A1042="","",IFERROR(INDEX(계정매핑!$C$5:$C$504,MATCH($F1042&amp;"",계정매핑!$A$5:$A$504,0)),"미매핑"))</f>
        <v/>
      </c>
      <c r="L1042" s="4">
        <f>IF($A1042="","",VALUE($A1042&amp;""))</f>
        <v/>
      </c>
      <c r="M1042" s="4">
        <f>IF($A1042="","",VALUE($B1042&amp;""))</f>
        <v/>
      </c>
      <c r="N1042" s="64">
        <f>IF($A1042="","",$H1042*설정!$C$15)</f>
        <v/>
      </c>
      <c r="O1042" s="4">
        <f>IF($A1042="","",J1042&amp;"|"&amp;K1042)</f>
        <v/>
      </c>
      <c r="P1042" s="63">
        <f>IF($A1042="","",IF(COUNTIFS(예산_원본!$T$5:$T$3004,O1042,예산_원본!$B$5:$B$3004,설정!$C$8,예산_원본!$U$5:$U$3004,L1042)&gt;0,"Y","N"))</f>
        <v/>
      </c>
      <c r="Q1042" s="63">
        <f>IF($A1042="","",IF(COUNTIF(집계!$E$7:$E$506,O1042)&gt;0,"Y","N"))</f>
        <v/>
      </c>
    </row>
    <row r="1043">
      <c r="A1043" s="60" t="n">
        <v>2026</v>
      </c>
      <c r="B1043" s="60" t="n">
        <v>2</v>
      </c>
      <c r="C1043" s="60" t="inlineStr">
        <is>
          <t>1000</t>
        </is>
      </c>
      <c r="D1043" s="60" t="n">
        <v>1401</v>
      </c>
      <c r="E1043" s="60" t="inlineStr">
        <is>
          <t>상품개발</t>
        </is>
      </c>
      <c r="F1043" s="60" t="n">
        <v>62102000</v>
      </c>
      <c r="G1043" s="60" t="inlineStr">
        <is>
          <t>여비교통비-해외</t>
        </is>
      </c>
      <c r="H1043" s="61" t="n">
        <v>368070</v>
      </c>
      <c r="J1043" s="63">
        <f>IF($A1043="","",IFERROR(INDEX(부서매핑!$C$5:$C$504,MATCH($D1043&amp;"",부서매핑!$A$5:$A$504,0)),"미매핑"))</f>
        <v/>
      </c>
      <c r="K1043" s="63">
        <f>IF($A1043="","",IFERROR(INDEX(계정매핑!$C$5:$C$504,MATCH($F1043&amp;"",계정매핑!$A$5:$A$504,0)),"미매핑"))</f>
        <v/>
      </c>
      <c r="L1043" s="4">
        <f>IF($A1043="","",VALUE($A1043&amp;""))</f>
        <v/>
      </c>
      <c r="M1043" s="4">
        <f>IF($A1043="","",VALUE($B1043&amp;""))</f>
        <v/>
      </c>
      <c r="N1043" s="64">
        <f>IF($A1043="","",$H1043*설정!$C$15)</f>
        <v/>
      </c>
      <c r="O1043" s="4">
        <f>IF($A1043="","",J1043&amp;"|"&amp;K1043)</f>
        <v/>
      </c>
      <c r="P1043" s="63">
        <f>IF($A1043="","",IF(COUNTIFS(예산_원본!$T$5:$T$3004,O1043,예산_원본!$B$5:$B$3004,설정!$C$8,예산_원본!$U$5:$U$3004,L1043)&gt;0,"Y","N"))</f>
        <v/>
      </c>
      <c r="Q1043" s="63">
        <f>IF($A1043="","",IF(COUNTIF(집계!$E$7:$E$506,O1043)&gt;0,"Y","N"))</f>
        <v/>
      </c>
    </row>
    <row r="1044">
      <c r="A1044" s="60" t="n">
        <v>2026</v>
      </c>
      <c r="B1044" s="60" t="n">
        <v>2</v>
      </c>
      <c r="C1044" s="60" t="inlineStr">
        <is>
          <t>1000</t>
        </is>
      </c>
      <c r="D1044" s="60" t="n">
        <v>1401</v>
      </c>
      <c r="E1044" s="60" t="inlineStr">
        <is>
          <t>상품개발</t>
        </is>
      </c>
      <c r="F1044" s="60" t="n">
        <v>62201000</v>
      </c>
      <c r="G1044" s="60" t="inlineStr">
        <is>
          <t>통신비</t>
        </is>
      </c>
      <c r="H1044" s="61" t="n">
        <v>584100</v>
      </c>
      <c r="J1044" s="63">
        <f>IF($A1044="","",IFERROR(INDEX(부서매핑!$C$5:$C$504,MATCH($D1044&amp;"",부서매핑!$A$5:$A$504,0)),"미매핑"))</f>
        <v/>
      </c>
      <c r="K1044" s="63">
        <f>IF($A1044="","",IFERROR(INDEX(계정매핑!$C$5:$C$504,MATCH($F1044&amp;"",계정매핑!$A$5:$A$504,0)),"미매핑"))</f>
        <v/>
      </c>
      <c r="L1044" s="4">
        <f>IF($A1044="","",VALUE($A1044&amp;""))</f>
        <v/>
      </c>
      <c r="M1044" s="4">
        <f>IF($A1044="","",VALUE($B1044&amp;""))</f>
        <v/>
      </c>
      <c r="N1044" s="64">
        <f>IF($A1044="","",$H1044*설정!$C$15)</f>
        <v/>
      </c>
      <c r="O1044" s="4">
        <f>IF($A1044="","",J1044&amp;"|"&amp;K1044)</f>
        <v/>
      </c>
      <c r="P1044" s="63">
        <f>IF($A1044="","",IF(COUNTIFS(예산_원본!$T$5:$T$3004,O1044,예산_원본!$B$5:$B$3004,설정!$C$8,예산_원본!$U$5:$U$3004,L1044)&gt;0,"Y","N"))</f>
        <v/>
      </c>
      <c r="Q1044" s="63">
        <f>IF($A1044="","",IF(COUNTIF(집계!$E$7:$E$506,O1044)&gt;0,"Y","N"))</f>
        <v/>
      </c>
    </row>
    <row r="1045">
      <c r="A1045" s="60" t="n">
        <v>2026</v>
      </c>
      <c r="B1045" s="60" t="n">
        <v>2</v>
      </c>
      <c r="C1045" s="60" t="inlineStr">
        <is>
          <t>1000</t>
        </is>
      </c>
      <c r="D1045" s="60" t="n">
        <v>1401</v>
      </c>
      <c r="E1045" s="60" t="inlineStr">
        <is>
          <t>상품개발</t>
        </is>
      </c>
      <c r="F1045" s="60" t="n">
        <v>62301000</v>
      </c>
      <c r="G1045" s="60" t="inlineStr">
        <is>
          <t>소모품비</t>
        </is>
      </c>
      <c r="H1045" s="61" t="n">
        <v>360760</v>
      </c>
      <c r="J1045" s="63">
        <f>IF($A1045="","",IFERROR(INDEX(부서매핑!$C$5:$C$504,MATCH($D1045&amp;"",부서매핑!$A$5:$A$504,0)),"미매핑"))</f>
        <v/>
      </c>
      <c r="K1045" s="63">
        <f>IF($A1045="","",IFERROR(INDEX(계정매핑!$C$5:$C$504,MATCH($F1045&amp;"",계정매핑!$A$5:$A$504,0)),"미매핑"))</f>
        <v/>
      </c>
      <c r="L1045" s="4">
        <f>IF($A1045="","",VALUE($A1045&amp;""))</f>
        <v/>
      </c>
      <c r="M1045" s="4">
        <f>IF($A1045="","",VALUE($B1045&amp;""))</f>
        <v/>
      </c>
      <c r="N1045" s="64">
        <f>IF($A1045="","",$H1045*설정!$C$15)</f>
        <v/>
      </c>
      <c r="O1045" s="4">
        <f>IF($A1045="","",J1045&amp;"|"&amp;K1045)</f>
        <v/>
      </c>
      <c r="P1045" s="63">
        <f>IF($A1045="","",IF(COUNTIFS(예산_원본!$T$5:$T$3004,O1045,예산_원본!$B$5:$B$3004,설정!$C$8,예산_원본!$U$5:$U$3004,L1045)&gt;0,"Y","N"))</f>
        <v/>
      </c>
      <c r="Q1045" s="63">
        <f>IF($A1045="","",IF(COUNTIF(집계!$E$7:$E$506,O1045)&gt;0,"Y","N"))</f>
        <v/>
      </c>
    </row>
    <row r="1046">
      <c r="A1046" s="60" t="n">
        <v>2026</v>
      </c>
      <c r="B1046" s="60" t="n">
        <v>2</v>
      </c>
      <c r="C1046" s="60" t="inlineStr">
        <is>
          <t>1000</t>
        </is>
      </c>
      <c r="D1046" s="60" t="n">
        <v>1401</v>
      </c>
      <c r="E1046" s="60" t="inlineStr">
        <is>
          <t>상품개발</t>
        </is>
      </c>
      <c r="F1046" s="60" t="n">
        <v>62401000</v>
      </c>
      <c r="G1046" s="60" t="inlineStr">
        <is>
          <t>도서인쇄비</t>
        </is>
      </c>
      <c r="H1046" s="61" t="n">
        <v>910950</v>
      </c>
      <c r="J1046" s="63">
        <f>IF($A1046="","",IFERROR(INDEX(부서매핑!$C$5:$C$504,MATCH($D1046&amp;"",부서매핑!$A$5:$A$504,0)),"미매핑"))</f>
        <v/>
      </c>
      <c r="K1046" s="63">
        <f>IF($A1046="","",IFERROR(INDEX(계정매핑!$C$5:$C$504,MATCH($F1046&amp;"",계정매핑!$A$5:$A$504,0)),"미매핑"))</f>
        <v/>
      </c>
      <c r="L1046" s="4">
        <f>IF($A1046="","",VALUE($A1046&amp;""))</f>
        <v/>
      </c>
      <c r="M1046" s="4">
        <f>IF($A1046="","",VALUE($B1046&amp;""))</f>
        <v/>
      </c>
      <c r="N1046" s="64">
        <f>IF($A1046="","",$H1046*설정!$C$15)</f>
        <v/>
      </c>
      <c r="O1046" s="4">
        <f>IF($A1046="","",J1046&amp;"|"&amp;K1046)</f>
        <v/>
      </c>
      <c r="P1046" s="63">
        <f>IF($A1046="","",IF(COUNTIFS(예산_원본!$T$5:$T$3004,O1046,예산_원본!$B$5:$B$3004,설정!$C$8,예산_원본!$U$5:$U$3004,L1046)&gt;0,"Y","N"))</f>
        <v/>
      </c>
      <c r="Q1046" s="63">
        <f>IF($A1046="","",IF(COUNTIF(집계!$E$7:$E$506,O1046)&gt;0,"Y","N"))</f>
        <v/>
      </c>
    </row>
    <row r="1047">
      <c r="A1047" s="60" t="n">
        <v>2026</v>
      </c>
      <c r="B1047" s="60" t="n">
        <v>2</v>
      </c>
      <c r="C1047" s="60" t="inlineStr">
        <is>
          <t>1000</t>
        </is>
      </c>
      <c r="D1047" s="60" t="n">
        <v>1401</v>
      </c>
      <c r="E1047" s="60" t="inlineStr">
        <is>
          <t>상품개발</t>
        </is>
      </c>
      <c r="F1047" s="60" t="n">
        <v>62501000</v>
      </c>
      <c r="G1047" s="60" t="inlineStr">
        <is>
          <t>회의비</t>
        </is>
      </c>
      <c r="H1047" s="61" t="n">
        <v>601280</v>
      </c>
      <c r="J1047" s="63">
        <f>IF($A1047="","",IFERROR(INDEX(부서매핑!$C$5:$C$504,MATCH($D1047&amp;"",부서매핑!$A$5:$A$504,0)),"미매핑"))</f>
        <v/>
      </c>
      <c r="K1047" s="63">
        <f>IF($A1047="","",IFERROR(INDEX(계정매핑!$C$5:$C$504,MATCH($F1047&amp;"",계정매핑!$A$5:$A$504,0)),"미매핑"))</f>
        <v/>
      </c>
      <c r="L1047" s="4">
        <f>IF($A1047="","",VALUE($A1047&amp;""))</f>
        <v/>
      </c>
      <c r="M1047" s="4">
        <f>IF($A1047="","",VALUE($B1047&amp;""))</f>
        <v/>
      </c>
      <c r="N1047" s="64">
        <f>IF($A1047="","",$H1047*설정!$C$15)</f>
        <v/>
      </c>
      <c r="O1047" s="4">
        <f>IF($A1047="","",J1047&amp;"|"&amp;K1047)</f>
        <v/>
      </c>
      <c r="P1047" s="63">
        <f>IF($A1047="","",IF(COUNTIFS(예산_원본!$T$5:$T$3004,O1047,예산_원본!$B$5:$B$3004,설정!$C$8,예산_원본!$U$5:$U$3004,L1047)&gt;0,"Y","N"))</f>
        <v/>
      </c>
      <c r="Q1047" s="63">
        <f>IF($A1047="","",IF(COUNTIF(집계!$E$7:$E$506,O1047)&gt;0,"Y","N"))</f>
        <v/>
      </c>
    </row>
    <row r="1048">
      <c r="A1048" s="60" t="n">
        <v>2026</v>
      </c>
      <c r="B1048" s="60" t="n">
        <v>2</v>
      </c>
      <c r="C1048" s="60" t="inlineStr">
        <is>
          <t>1000</t>
        </is>
      </c>
      <c r="D1048" s="60" t="n">
        <v>1401</v>
      </c>
      <c r="E1048" s="60" t="inlineStr">
        <is>
          <t>상품개발</t>
        </is>
      </c>
      <c r="F1048" s="60" t="n">
        <v>62901000</v>
      </c>
      <c r="G1048" s="60" t="inlineStr">
        <is>
          <t>지급수수료-컨설팅</t>
        </is>
      </c>
      <c r="H1048" s="61" t="n">
        <v>11779590</v>
      </c>
      <c r="J1048" s="63">
        <f>IF($A1048="","",IFERROR(INDEX(부서매핑!$C$5:$C$504,MATCH($D1048&amp;"",부서매핑!$A$5:$A$504,0)),"미매핑"))</f>
        <v/>
      </c>
      <c r="K1048" s="63">
        <f>IF($A1048="","",IFERROR(INDEX(계정매핑!$C$5:$C$504,MATCH($F1048&amp;"",계정매핑!$A$5:$A$504,0)),"미매핑"))</f>
        <v/>
      </c>
      <c r="L1048" s="4">
        <f>IF($A1048="","",VALUE($A1048&amp;""))</f>
        <v/>
      </c>
      <c r="M1048" s="4">
        <f>IF($A1048="","",VALUE($B1048&amp;""))</f>
        <v/>
      </c>
      <c r="N1048" s="64">
        <f>IF($A1048="","",$H1048*설정!$C$15)</f>
        <v/>
      </c>
      <c r="O1048" s="4">
        <f>IF($A1048="","",J1048&amp;"|"&amp;K1048)</f>
        <v/>
      </c>
      <c r="P1048" s="63">
        <f>IF($A1048="","",IF(COUNTIFS(예산_원본!$T$5:$T$3004,O1048,예산_원본!$B$5:$B$3004,설정!$C$8,예산_원본!$U$5:$U$3004,L1048)&gt;0,"Y","N"))</f>
        <v/>
      </c>
      <c r="Q1048" s="63">
        <f>IF($A1048="","",IF(COUNTIF(집계!$E$7:$E$506,O1048)&gt;0,"Y","N"))</f>
        <v/>
      </c>
    </row>
    <row r="1049">
      <c r="A1049" s="60" t="n">
        <v>2026</v>
      </c>
      <c r="B1049" s="60" t="n">
        <v>2</v>
      </c>
      <c r="C1049" s="60" t="inlineStr">
        <is>
          <t>1000</t>
        </is>
      </c>
      <c r="D1049" s="60" t="n">
        <v>1401</v>
      </c>
      <c r="E1049" s="60" t="inlineStr">
        <is>
          <t>상품개발</t>
        </is>
      </c>
      <c r="F1049" s="60" t="n">
        <v>62902000</v>
      </c>
      <c r="G1049" s="60" t="inlineStr">
        <is>
          <t>지급수수료-기타</t>
        </is>
      </c>
      <c r="H1049" s="61" t="n">
        <v>4864300</v>
      </c>
      <c r="J1049" s="63">
        <f>IF($A1049="","",IFERROR(INDEX(부서매핑!$C$5:$C$504,MATCH($D1049&amp;"",부서매핑!$A$5:$A$504,0)),"미매핑"))</f>
        <v/>
      </c>
      <c r="K1049" s="63">
        <f>IF($A1049="","",IFERROR(INDEX(계정매핑!$C$5:$C$504,MATCH($F1049&amp;"",계정매핑!$A$5:$A$504,0)),"미매핑"))</f>
        <v/>
      </c>
      <c r="L1049" s="4">
        <f>IF($A1049="","",VALUE($A1049&amp;""))</f>
        <v/>
      </c>
      <c r="M1049" s="4">
        <f>IF($A1049="","",VALUE($B1049&amp;""))</f>
        <v/>
      </c>
      <c r="N1049" s="64">
        <f>IF($A1049="","",$H1049*설정!$C$15)</f>
        <v/>
      </c>
      <c r="O1049" s="4">
        <f>IF($A1049="","",J1049&amp;"|"&amp;K1049)</f>
        <v/>
      </c>
      <c r="P1049" s="63">
        <f>IF($A1049="","",IF(COUNTIFS(예산_원본!$T$5:$T$3004,O1049,예산_원본!$B$5:$B$3004,설정!$C$8,예산_원본!$U$5:$U$3004,L1049)&gt;0,"Y","N"))</f>
        <v/>
      </c>
      <c r="Q1049" s="63">
        <f>IF($A1049="","",IF(COUNTIF(집계!$E$7:$E$506,O1049)&gt;0,"Y","N"))</f>
        <v/>
      </c>
    </row>
    <row r="1050">
      <c r="A1050" s="60" t="n">
        <v>2026</v>
      </c>
      <c r="B1050" s="60" t="n">
        <v>2</v>
      </c>
      <c r="C1050" s="60" t="inlineStr">
        <is>
          <t>1000</t>
        </is>
      </c>
      <c r="D1050" s="60" t="n">
        <v>1501</v>
      </c>
      <c r="E1050" s="60" t="inlineStr">
        <is>
          <t>마케팅전략</t>
        </is>
      </c>
      <c r="F1050" s="60" t="n">
        <v>62101000</v>
      </c>
      <c r="G1050" s="60" t="inlineStr">
        <is>
          <t>여비교통비-국내</t>
        </is>
      </c>
      <c r="H1050" s="61" t="n">
        <v>1720110</v>
      </c>
      <c r="J1050" s="63">
        <f>IF($A1050="","",IFERROR(INDEX(부서매핑!$C$5:$C$504,MATCH($D1050&amp;"",부서매핑!$A$5:$A$504,0)),"미매핑"))</f>
        <v/>
      </c>
      <c r="K1050" s="63">
        <f>IF($A1050="","",IFERROR(INDEX(계정매핑!$C$5:$C$504,MATCH($F1050&amp;"",계정매핑!$A$5:$A$504,0)),"미매핑"))</f>
        <v/>
      </c>
      <c r="L1050" s="4">
        <f>IF($A1050="","",VALUE($A1050&amp;""))</f>
        <v/>
      </c>
      <c r="M1050" s="4">
        <f>IF($A1050="","",VALUE($B1050&amp;""))</f>
        <v/>
      </c>
      <c r="N1050" s="64">
        <f>IF($A1050="","",$H1050*설정!$C$15)</f>
        <v/>
      </c>
      <c r="O1050" s="4">
        <f>IF($A1050="","",J1050&amp;"|"&amp;K1050)</f>
        <v/>
      </c>
      <c r="P1050" s="63">
        <f>IF($A1050="","",IF(COUNTIFS(예산_원본!$T$5:$T$3004,O1050,예산_원본!$B$5:$B$3004,설정!$C$8,예산_원본!$U$5:$U$3004,L1050)&gt;0,"Y","N"))</f>
        <v/>
      </c>
      <c r="Q1050" s="63">
        <f>IF($A1050="","",IF(COUNTIF(집계!$E$7:$E$506,O1050)&gt;0,"Y","N"))</f>
        <v/>
      </c>
    </row>
    <row r="1051">
      <c r="A1051" s="60" t="n">
        <v>2026</v>
      </c>
      <c r="B1051" s="60" t="n">
        <v>2</v>
      </c>
      <c r="C1051" s="60" t="inlineStr">
        <is>
          <t>1000</t>
        </is>
      </c>
      <c r="D1051" s="60" t="n">
        <v>1501</v>
      </c>
      <c r="E1051" s="60" t="inlineStr">
        <is>
          <t>마케팅전략</t>
        </is>
      </c>
      <c r="F1051" s="60" t="n">
        <v>62102000</v>
      </c>
      <c r="G1051" s="60" t="inlineStr">
        <is>
          <t>여비교통비-해외</t>
        </is>
      </c>
      <c r="H1051" s="61" t="n">
        <v>323640</v>
      </c>
      <c r="J1051" s="63">
        <f>IF($A1051="","",IFERROR(INDEX(부서매핑!$C$5:$C$504,MATCH($D1051&amp;"",부서매핑!$A$5:$A$504,0)),"미매핑"))</f>
        <v/>
      </c>
      <c r="K1051" s="63">
        <f>IF($A1051="","",IFERROR(INDEX(계정매핑!$C$5:$C$504,MATCH($F1051&amp;"",계정매핑!$A$5:$A$504,0)),"미매핑"))</f>
        <v/>
      </c>
      <c r="L1051" s="4">
        <f>IF($A1051="","",VALUE($A1051&amp;""))</f>
        <v/>
      </c>
      <c r="M1051" s="4">
        <f>IF($A1051="","",VALUE($B1051&amp;""))</f>
        <v/>
      </c>
      <c r="N1051" s="64">
        <f>IF($A1051="","",$H1051*설정!$C$15)</f>
        <v/>
      </c>
      <c r="O1051" s="4">
        <f>IF($A1051="","",J1051&amp;"|"&amp;K1051)</f>
        <v/>
      </c>
      <c r="P1051" s="63">
        <f>IF($A1051="","",IF(COUNTIFS(예산_원본!$T$5:$T$3004,O1051,예산_원본!$B$5:$B$3004,설정!$C$8,예산_원본!$U$5:$U$3004,L1051)&gt;0,"Y","N"))</f>
        <v/>
      </c>
      <c r="Q1051" s="63">
        <f>IF($A1051="","",IF(COUNTIF(집계!$E$7:$E$506,O1051)&gt;0,"Y","N"))</f>
        <v/>
      </c>
    </row>
    <row r="1052">
      <c r="A1052" s="60" t="n">
        <v>2026</v>
      </c>
      <c r="B1052" s="60" t="n">
        <v>2</v>
      </c>
      <c r="C1052" s="60" t="inlineStr">
        <is>
          <t>1000</t>
        </is>
      </c>
      <c r="D1052" s="60" t="n">
        <v>1501</v>
      </c>
      <c r="E1052" s="60" t="inlineStr">
        <is>
          <t>마케팅전략</t>
        </is>
      </c>
      <c r="F1052" s="60" t="n">
        <v>62201000</v>
      </c>
      <c r="G1052" s="60" t="inlineStr">
        <is>
          <t>통신비</t>
        </is>
      </c>
      <c r="H1052" s="61" t="n">
        <v>643970</v>
      </c>
      <c r="J1052" s="63">
        <f>IF($A1052="","",IFERROR(INDEX(부서매핑!$C$5:$C$504,MATCH($D1052&amp;"",부서매핑!$A$5:$A$504,0)),"미매핑"))</f>
        <v/>
      </c>
      <c r="K1052" s="63">
        <f>IF($A1052="","",IFERROR(INDEX(계정매핑!$C$5:$C$504,MATCH($F1052&amp;"",계정매핑!$A$5:$A$504,0)),"미매핑"))</f>
        <v/>
      </c>
      <c r="L1052" s="4">
        <f>IF($A1052="","",VALUE($A1052&amp;""))</f>
        <v/>
      </c>
      <c r="M1052" s="4">
        <f>IF($A1052="","",VALUE($B1052&amp;""))</f>
        <v/>
      </c>
      <c r="N1052" s="64">
        <f>IF($A1052="","",$H1052*설정!$C$15)</f>
        <v/>
      </c>
      <c r="O1052" s="4">
        <f>IF($A1052="","",J1052&amp;"|"&amp;K1052)</f>
        <v/>
      </c>
      <c r="P1052" s="63">
        <f>IF($A1052="","",IF(COUNTIFS(예산_원본!$T$5:$T$3004,O1052,예산_원본!$B$5:$B$3004,설정!$C$8,예산_원본!$U$5:$U$3004,L1052)&gt;0,"Y","N"))</f>
        <v/>
      </c>
      <c r="Q1052" s="63">
        <f>IF($A1052="","",IF(COUNTIF(집계!$E$7:$E$506,O1052)&gt;0,"Y","N"))</f>
        <v/>
      </c>
    </row>
    <row r="1053">
      <c r="A1053" s="60" t="n">
        <v>2026</v>
      </c>
      <c r="B1053" s="60" t="n">
        <v>2</v>
      </c>
      <c r="C1053" s="60" t="inlineStr">
        <is>
          <t>1000</t>
        </is>
      </c>
      <c r="D1053" s="60" t="n">
        <v>1501</v>
      </c>
      <c r="E1053" s="60" t="inlineStr">
        <is>
          <t>마케팅전략</t>
        </is>
      </c>
      <c r="F1053" s="60" t="n">
        <v>62301000</v>
      </c>
      <c r="G1053" s="60" t="inlineStr">
        <is>
          <t>소모품비</t>
        </is>
      </c>
      <c r="H1053" s="61" t="n">
        <v>373450</v>
      </c>
      <c r="J1053" s="63">
        <f>IF($A1053="","",IFERROR(INDEX(부서매핑!$C$5:$C$504,MATCH($D1053&amp;"",부서매핑!$A$5:$A$504,0)),"미매핑"))</f>
        <v/>
      </c>
      <c r="K1053" s="63">
        <f>IF($A1053="","",IFERROR(INDEX(계정매핑!$C$5:$C$504,MATCH($F1053&amp;"",계정매핑!$A$5:$A$504,0)),"미매핑"))</f>
        <v/>
      </c>
      <c r="L1053" s="4">
        <f>IF($A1053="","",VALUE($A1053&amp;""))</f>
        <v/>
      </c>
      <c r="M1053" s="4">
        <f>IF($A1053="","",VALUE($B1053&amp;""))</f>
        <v/>
      </c>
      <c r="N1053" s="64">
        <f>IF($A1053="","",$H1053*설정!$C$15)</f>
        <v/>
      </c>
      <c r="O1053" s="4">
        <f>IF($A1053="","",J1053&amp;"|"&amp;K1053)</f>
        <v/>
      </c>
      <c r="P1053" s="63">
        <f>IF($A1053="","",IF(COUNTIFS(예산_원본!$T$5:$T$3004,O1053,예산_원본!$B$5:$B$3004,설정!$C$8,예산_원본!$U$5:$U$3004,L1053)&gt;0,"Y","N"))</f>
        <v/>
      </c>
      <c r="Q1053" s="63">
        <f>IF($A1053="","",IF(COUNTIF(집계!$E$7:$E$506,O1053)&gt;0,"Y","N"))</f>
        <v/>
      </c>
    </row>
    <row r="1054">
      <c r="A1054" s="60" t="n">
        <v>2026</v>
      </c>
      <c r="B1054" s="60" t="n">
        <v>2</v>
      </c>
      <c r="C1054" s="60" t="inlineStr">
        <is>
          <t>1000</t>
        </is>
      </c>
      <c r="D1054" s="60" t="n">
        <v>1501</v>
      </c>
      <c r="E1054" s="60" t="inlineStr">
        <is>
          <t>마케팅전략</t>
        </is>
      </c>
      <c r="F1054" s="60" t="n">
        <v>62401000</v>
      </c>
      <c r="G1054" s="60" t="inlineStr">
        <is>
          <t>도서인쇄비</t>
        </is>
      </c>
      <c r="H1054" s="61" t="n">
        <v>3524280</v>
      </c>
      <c r="J1054" s="63">
        <f>IF($A1054="","",IFERROR(INDEX(부서매핑!$C$5:$C$504,MATCH($D1054&amp;"",부서매핑!$A$5:$A$504,0)),"미매핑"))</f>
        <v/>
      </c>
      <c r="K1054" s="63">
        <f>IF($A1054="","",IFERROR(INDEX(계정매핑!$C$5:$C$504,MATCH($F1054&amp;"",계정매핑!$A$5:$A$504,0)),"미매핑"))</f>
        <v/>
      </c>
      <c r="L1054" s="4">
        <f>IF($A1054="","",VALUE($A1054&amp;""))</f>
        <v/>
      </c>
      <c r="M1054" s="4">
        <f>IF($A1054="","",VALUE($B1054&amp;""))</f>
        <v/>
      </c>
      <c r="N1054" s="64">
        <f>IF($A1054="","",$H1054*설정!$C$15)</f>
        <v/>
      </c>
      <c r="O1054" s="4">
        <f>IF($A1054="","",J1054&amp;"|"&amp;K1054)</f>
        <v/>
      </c>
      <c r="P1054" s="63">
        <f>IF($A1054="","",IF(COUNTIFS(예산_원본!$T$5:$T$3004,O1054,예산_원본!$B$5:$B$3004,설정!$C$8,예산_원본!$U$5:$U$3004,L1054)&gt;0,"Y","N"))</f>
        <v/>
      </c>
      <c r="Q1054" s="63">
        <f>IF($A1054="","",IF(COUNTIF(집계!$E$7:$E$506,O1054)&gt;0,"Y","N"))</f>
        <v/>
      </c>
    </row>
    <row r="1055">
      <c r="A1055" s="60" t="n">
        <v>2026</v>
      </c>
      <c r="B1055" s="60" t="n">
        <v>2</v>
      </c>
      <c r="C1055" s="60" t="inlineStr">
        <is>
          <t>1000</t>
        </is>
      </c>
      <c r="D1055" s="60" t="n">
        <v>1501</v>
      </c>
      <c r="E1055" s="60" t="inlineStr">
        <is>
          <t>마케팅전략</t>
        </is>
      </c>
      <c r="F1055" s="60" t="n">
        <v>62501000</v>
      </c>
      <c r="G1055" s="60" t="inlineStr">
        <is>
          <t>회의비</t>
        </is>
      </c>
      <c r="H1055" s="61" t="n">
        <v>662670</v>
      </c>
      <c r="J1055" s="63">
        <f>IF($A1055="","",IFERROR(INDEX(부서매핑!$C$5:$C$504,MATCH($D1055&amp;"",부서매핑!$A$5:$A$504,0)),"미매핑"))</f>
        <v/>
      </c>
      <c r="K1055" s="63">
        <f>IF($A1055="","",IFERROR(INDEX(계정매핑!$C$5:$C$504,MATCH($F1055&amp;"",계정매핑!$A$5:$A$504,0)),"미매핑"))</f>
        <v/>
      </c>
      <c r="L1055" s="4">
        <f>IF($A1055="","",VALUE($A1055&amp;""))</f>
        <v/>
      </c>
      <c r="M1055" s="4">
        <f>IF($A1055="","",VALUE($B1055&amp;""))</f>
        <v/>
      </c>
      <c r="N1055" s="64">
        <f>IF($A1055="","",$H1055*설정!$C$15)</f>
        <v/>
      </c>
      <c r="O1055" s="4">
        <f>IF($A1055="","",J1055&amp;"|"&amp;K1055)</f>
        <v/>
      </c>
      <c r="P1055" s="63">
        <f>IF($A1055="","",IF(COUNTIFS(예산_원본!$T$5:$T$3004,O1055,예산_원본!$B$5:$B$3004,설정!$C$8,예산_원본!$U$5:$U$3004,L1055)&gt;0,"Y","N"))</f>
        <v/>
      </c>
      <c r="Q1055" s="63">
        <f>IF($A1055="","",IF(COUNTIF(집계!$E$7:$E$506,O1055)&gt;0,"Y","N"))</f>
        <v/>
      </c>
    </row>
    <row r="1056">
      <c r="A1056" s="60" t="n">
        <v>2026</v>
      </c>
      <c r="B1056" s="60" t="n">
        <v>2</v>
      </c>
      <c r="C1056" s="60" t="inlineStr">
        <is>
          <t>1000</t>
        </is>
      </c>
      <c r="D1056" s="60" t="n">
        <v>1501</v>
      </c>
      <c r="E1056" s="60" t="inlineStr">
        <is>
          <t>마케팅전략</t>
        </is>
      </c>
      <c r="F1056" s="60" t="n">
        <v>62601000</v>
      </c>
      <c r="G1056" s="60" t="inlineStr">
        <is>
          <t>업무추진비</t>
        </is>
      </c>
      <c r="H1056" s="61" t="n">
        <v>1924280</v>
      </c>
      <c r="J1056" s="63">
        <f>IF($A1056="","",IFERROR(INDEX(부서매핑!$C$5:$C$504,MATCH($D1056&amp;"",부서매핑!$A$5:$A$504,0)),"미매핑"))</f>
        <v/>
      </c>
      <c r="K1056" s="63">
        <f>IF($A1056="","",IFERROR(INDEX(계정매핑!$C$5:$C$504,MATCH($F1056&amp;"",계정매핑!$A$5:$A$504,0)),"미매핑"))</f>
        <v/>
      </c>
      <c r="L1056" s="4">
        <f>IF($A1056="","",VALUE($A1056&amp;""))</f>
        <v/>
      </c>
      <c r="M1056" s="4">
        <f>IF($A1056="","",VALUE($B1056&amp;""))</f>
        <v/>
      </c>
      <c r="N1056" s="64">
        <f>IF($A1056="","",$H1056*설정!$C$15)</f>
        <v/>
      </c>
      <c r="O1056" s="4">
        <f>IF($A1056="","",J1056&amp;"|"&amp;K1056)</f>
        <v/>
      </c>
      <c r="P1056" s="63">
        <f>IF($A1056="","",IF(COUNTIFS(예산_원본!$T$5:$T$3004,O1056,예산_원본!$B$5:$B$3004,설정!$C$8,예산_원본!$U$5:$U$3004,L1056)&gt;0,"Y","N"))</f>
        <v/>
      </c>
      <c r="Q1056" s="63">
        <f>IF($A1056="","",IF(COUNTIF(집계!$E$7:$E$506,O1056)&gt;0,"Y","N"))</f>
        <v/>
      </c>
    </row>
    <row r="1057">
      <c r="A1057" s="60" t="n">
        <v>2026</v>
      </c>
      <c r="B1057" s="60" t="n">
        <v>2</v>
      </c>
      <c r="C1057" s="60" t="inlineStr">
        <is>
          <t>1000</t>
        </is>
      </c>
      <c r="D1057" s="60" t="n">
        <v>1501</v>
      </c>
      <c r="E1057" s="60" t="inlineStr">
        <is>
          <t>마케팅전략</t>
        </is>
      </c>
      <c r="F1057" s="60" t="n">
        <v>62701000</v>
      </c>
      <c r="G1057" s="60" t="inlineStr">
        <is>
          <t>광고선전비</t>
        </is>
      </c>
      <c r="H1057" s="61" t="n">
        <v>78826020</v>
      </c>
      <c r="J1057" s="63">
        <f>IF($A1057="","",IFERROR(INDEX(부서매핑!$C$5:$C$504,MATCH($D1057&amp;"",부서매핑!$A$5:$A$504,0)),"미매핑"))</f>
        <v/>
      </c>
      <c r="K1057" s="63">
        <f>IF($A1057="","",IFERROR(INDEX(계정매핑!$C$5:$C$504,MATCH($F1057&amp;"",계정매핑!$A$5:$A$504,0)),"미매핑"))</f>
        <v/>
      </c>
      <c r="L1057" s="4">
        <f>IF($A1057="","",VALUE($A1057&amp;""))</f>
        <v/>
      </c>
      <c r="M1057" s="4">
        <f>IF($A1057="","",VALUE($B1057&amp;""))</f>
        <v/>
      </c>
      <c r="N1057" s="64">
        <f>IF($A1057="","",$H1057*설정!$C$15)</f>
        <v/>
      </c>
      <c r="O1057" s="4">
        <f>IF($A1057="","",J1057&amp;"|"&amp;K1057)</f>
        <v/>
      </c>
      <c r="P1057" s="63">
        <f>IF($A1057="","",IF(COUNTIFS(예산_원본!$T$5:$T$3004,O1057,예산_원본!$B$5:$B$3004,설정!$C$8,예산_원본!$U$5:$U$3004,L1057)&gt;0,"Y","N"))</f>
        <v/>
      </c>
      <c r="Q1057" s="63">
        <f>IF($A1057="","",IF(COUNTIF(집계!$E$7:$E$506,O1057)&gt;0,"Y","N"))</f>
        <v/>
      </c>
    </row>
    <row r="1058">
      <c r="A1058" s="60" t="n">
        <v>2026</v>
      </c>
      <c r="B1058" s="60" t="n">
        <v>2</v>
      </c>
      <c r="C1058" s="60" t="inlineStr">
        <is>
          <t>1000</t>
        </is>
      </c>
      <c r="D1058" s="60" t="n">
        <v>1502</v>
      </c>
      <c r="E1058" s="60" t="inlineStr">
        <is>
          <t>디지털마케팅</t>
        </is>
      </c>
      <c r="F1058" s="60" t="n">
        <v>62101000</v>
      </c>
      <c r="G1058" s="60" t="inlineStr">
        <is>
          <t>여비교통비-국내</t>
        </is>
      </c>
      <c r="H1058" s="61" t="n">
        <v>1186560</v>
      </c>
      <c r="J1058" s="63">
        <f>IF($A1058="","",IFERROR(INDEX(부서매핑!$C$5:$C$504,MATCH($D1058&amp;"",부서매핑!$A$5:$A$504,0)),"미매핑"))</f>
        <v/>
      </c>
      <c r="K1058" s="63">
        <f>IF($A1058="","",IFERROR(INDEX(계정매핑!$C$5:$C$504,MATCH($F1058&amp;"",계정매핑!$A$5:$A$504,0)),"미매핑"))</f>
        <v/>
      </c>
      <c r="L1058" s="4">
        <f>IF($A1058="","",VALUE($A1058&amp;""))</f>
        <v/>
      </c>
      <c r="M1058" s="4">
        <f>IF($A1058="","",VALUE($B1058&amp;""))</f>
        <v/>
      </c>
      <c r="N1058" s="64">
        <f>IF($A1058="","",$H1058*설정!$C$15)</f>
        <v/>
      </c>
      <c r="O1058" s="4">
        <f>IF($A1058="","",J1058&amp;"|"&amp;K1058)</f>
        <v/>
      </c>
      <c r="P1058" s="63">
        <f>IF($A1058="","",IF(COUNTIFS(예산_원본!$T$5:$T$3004,O1058,예산_원본!$B$5:$B$3004,설정!$C$8,예산_원본!$U$5:$U$3004,L1058)&gt;0,"Y","N"))</f>
        <v/>
      </c>
      <c r="Q1058" s="63">
        <f>IF($A1058="","",IF(COUNTIF(집계!$E$7:$E$506,O1058)&gt;0,"Y","N"))</f>
        <v/>
      </c>
    </row>
    <row r="1059">
      <c r="A1059" s="60" t="n">
        <v>2026</v>
      </c>
      <c r="B1059" s="60" t="n">
        <v>2</v>
      </c>
      <c r="C1059" s="60" t="inlineStr">
        <is>
          <t>1000</t>
        </is>
      </c>
      <c r="D1059" s="60" t="n">
        <v>1502</v>
      </c>
      <c r="E1059" s="60" t="inlineStr">
        <is>
          <t>디지털마케팅</t>
        </is>
      </c>
      <c r="F1059" s="60" t="n">
        <v>62102000</v>
      </c>
      <c r="G1059" s="60" t="inlineStr">
        <is>
          <t>여비교통비-해외</t>
        </is>
      </c>
      <c r="H1059" s="61" t="n">
        <v>230330</v>
      </c>
      <c r="J1059" s="63">
        <f>IF($A1059="","",IFERROR(INDEX(부서매핑!$C$5:$C$504,MATCH($D1059&amp;"",부서매핑!$A$5:$A$504,0)),"미매핑"))</f>
        <v/>
      </c>
      <c r="K1059" s="63">
        <f>IF($A1059="","",IFERROR(INDEX(계정매핑!$C$5:$C$504,MATCH($F1059&amp;"",계정매핑!$A$5:$A$504,0)),"미매핑"))</f>
        <v/>
      </c>
      <c r="L1059" s="4">
        <f>IF($A1059="","",VALUE($A1059&amp;""))</f>
        <v/>
      </c>
      <c r="M1059" s="4">
        <f>IF($A1059="","",VALUE($B1059&amp;""))</f>
        <v/>
      </c>
      <c r="N1059" s="64">
        <f>IF($A1059="","",$H1059*설정!$C$15)</f>
        <v/>
      </c>
      <c r="O1059" s="4">
        <f>IF($A1059="","",J1059&amp;"|"&amp;K1059)</f>
        <v/>
      </c>
      <c r="P1059" s="63">
        <f>IF($A1059="","",IF(COUNTIFS(예산_원본!$T$5:$T$3004,O1059,예산_원본!$B$5:$B$3004,설정!$C$8,예산_원본!$U$5:$U$3004,L1059)&gt;0,"Y","N"))</f>
        <v/>
      </c>
      <c r="Q1059" s="63">
        <f>IF($A1059="","",IF(COUNTIF(집계!$E$7:$E$506,O1059)&gt;0,"Y","N"))</f>
        <v/>
      </c>
    </row>
    <row r="1060">
      <c r="A1060" s="60" t="n">
        <v>2026</v>
      </c>
      <c r="B1060" s="60" t="n">
        <v>2</v>
      </c>
      <c r="C1060" s="60" t="inlineStr">
        <is>
          <t>1000</t>
        </is>
      </c>
      <c r="D1060" s="60" t="n">
        <v>1502</v>
      </c>
      <c r="E1060" s="60" t="inlineStr">
        <is>
          <t>디지털마케팅</t>
        </is>
      </c>
      <c r="F1060" s="60" t="n">
        <v>62201000</v>
      </c>
      <c r="G1060" s="60" t="inlineStr">
        <is>
          <t>통신비</t>
        </is>
      </c>
      <c r="H1060" s="61" t="n">
        <v>440630</v>
      </c>
      <c r="J1060" s="63">
        <f>IF($A1060="","",IFERROR(INDEX(부서매핑!$C$5:$C$504,MATCH($D1060&amp;"",부서매핑!$A$5:$A$504,0)),"미매핑"))</f>
        <v/>
      </c>
      <c r="K1060" s="63">
        <f>IF($A1060="","",IFERROR(INDEX(계정매핑!$C$5:$C$504,MATCH($F1060&amp;"",계정매핑!$A$5:$A$504,0)),"미매핑"))</f>
        <v/>
      </c>
      <c r="L1060" s="4">
        <f>IF($A1060="","",VALUE($A1060&amp;""))</f>
        <v/>
      </c>
      <c r="M1060" s="4">
        <f>IF($A1060="","",VALUE($B1060&amp;""))</f>
        <v/>
      </c>
      <c r="N1060" s="64">
        <f>IF($A1060="","",$H1060*설정!$C$15)</f>
        <v/>
      </c>
      <c r="O1060" s="4">
        <f>IF($A1060="","",J1060&amp;"|"&amp;K1060)</f>
        <v/>
      </c>
      <c r="P1060" s="63">
        <f>IF($A1060="","",IF(COUNTIFS(예산_원본!$T$5:$T$3004,O1060,예산_원본!$B$5:$B$3004,설정!$C$8,예산_원본!$U$5:$U$3004,L1060)&gt;0,"Y","N"))</f>
        <v/>
      </c>
      <c r="Q1060" s="63">
        <f>IF($A1060="","",IF(COUNTIF(집계!$E$7:$E$506,O1060)&gt;0,"Y","N"))</f>
        <v/>
      </c>
    </row>
    <row r="1061">
      <c r="A1061" s="60" t="n">
        <v>2026</v>
      </c>
      <c r="B1061" s="60" t="n">
        <v>2</v>
      </c>
      <c r="C1061" s="60" t="inlineStr">
        <is>
          <t>1000</t>
        </is>
      </c>
      <c r="D1061" s="60" t="n">
        <v>1502</v>
      </c>
      <c r="E1061" s="60" t="inlineStr">
        <is>
          <t>디지털마케팅</t>
        </is>
      </c>
      <c r="F1061" s="60" t="n">
        <v>62301000</v>
      </c>
      <c r="G1061" s="60" t="inlineStr">
        <is>
          <t>소모품비</t>
        </is>
      </c>
      <c r="H1061" s="61" t="n">
        <v>255500</v>
      </c>
      <c r="J1061" s="63">
        <f>IF($A1061="","",IFERROR(INDEX(부서매핑!$C$5:$C$504,MATCH($D1061&amp;"",부서매핑!$A$5:$A$504,0)),"미매핑"))</f>
        <v/>
      </c>
      <c r="K1061" s="63">
        <f>IF($A1061="","",IFERROR(INDEX(계정매핑!$C$5:$C$504,MATCH($F1061&amp;"",계정매핑!$A$5:$A$504,0)),"미매핑"))</f>
        <v/>
      </c>
      <c r="L1061" s="4">
        <f>IF($A1061="","",VALUE($A1061&amp;""))</f>
        <v/>
      </c>
      <c r="M1061" s="4">
        <f>IF($A1061="","",VALUE($B1061&amp;""))</f>
        <v/>
      </c>
      <c r="N1061" s="64">
        <f>IF($A1061="","",$H1061*설정!$C$15)</f>
        <v/>
      </c>
      <c r="O1061" s="4">
        <f>IF($A1061="","",J1061&amp;"|"&amp;K1061)</f>
        <v/>
      </c>
      <c r="P1061" s="63">
        <f>IF($A1061="","",IF(COUNTIFS(예산_원본!$T$5:$T$3004,O1061,예산_원본!$B$5:$B$3004,설정!$C$8,예산_원본!$U$5:$U$3004,L1061)&gt;0,"Y","N"))</f>
        <v/>
      </c>
      <c r="Q1061" s="63">
        <f>IF($A1061="","",IF(COUNTIF(집계!$E$7:$E$506,O1061)&gt;0,"Y","N"))</f>
        <v/>
      </c>
    </row>
    <row r="1062">
      <c r="A1062" s="60" t="n">
        <v>2026</v>
      </c>
      <c r="B1062" s="60" t="n">
        <v>2</v>
      </c>
      <c r="C1062" s="60" t="inlineStr">
        <is>
          <t>1000</t>
        </is>
      </c>
      <c r="D1062" s="60" t="n">
        <v>1502</v>
      </c>
      <c r="E1062" s="60" t="inlineStr">
        <is>
          <t>디지털마케팅</t>
        </is>
      </c>
      <c r="F1062" s="60" t="n">
        <v>62401000</v>
      </c>
      <c r="G1062" s="60" t="inlineStr">
        <is>
          <t>도서인쇄비</t>
        </is>
      </c>
      <c r="H1062" s="61" t="n">
        <v>2395530</v>
      </c>
      <c r="J1062" s="63">
        <f>IF($A1062="","",IFERROR(INDEX(부서매핑!$C$5:$C$504,MATCH($D1062&amp;"",부서매핑!$A$5:$A$504,0)),"미매핑"))</f>
        <v/>
      </c>
      <c r="K1062" s="63">
        <f>IF($A1062="","",IFERROR(INDEX(계정매핑!$C$5:$C$504,MATCH($F1062&amp;"",계정매핑!$A$5:$A$504,0)),"미매핑"))</f>
        <v/>
      </c>
      <c r="L1062" s="4">
        <f>IF($A1062="","",VALUE($A1062&amp;""))</f>
        <v/>
      </c>
      <c r="M1062" s="4">
        <f>IF($A1062="","",VALUE($B1062&amp;""))</f>
        <v/>
      </c>
      <c r="N1062" s="64">
        <f>IF($A1062="","",$H1062*설정!$C$15)</f>
        <v/>
      </c>
      <c r="O1062" s="4">
        <f>IF($A1062="","",J1062&amp;"|"&amp;K1062)</f>
        <v/>
      </c>
      <c r="P1062" s="63">
        <f>IF($A1062="","",IF(COUNTIFS(예산_원본!$T$5:$T$3004,O1062,예산_원본!$B$5:$B$3004,설정!$C$8,예산_원본!$U$5:$U$3004,L1062)&gt;0,"Y","N"))</f>
        <v/>
      </c>
      <c r="Q1062" s="63">
        <f>IF($A1062="","",IF(COUNTIF(집계!$E$7:$E$506,O1062)&gt;0,"Y","N"))</f>
        <v/>
      </c>
    </row>
    <row r="1063">
      <c r="A1063" s="60" t="n">
        <v>2026</v>
      </c>
      <c r="B1063" s="60" t="n">
        <v>2</v>
      </c>
      <c r="C1063" s="60" t="inlineStr">
        <is>
          <t>1000</t>
        </is>
      </c>
      <c r="D1063" s="60" t="n">
        <v>1502</v>
      </c>
      <c r="E1063" s="60" t="inlineStr">
        <is>
          <t>디지털마케팅</t>
        </is>
      </c>
      <c r="F1063" s="60" t="n">
        <v>62501000</v>
      </c>
      <c r="G1063" s="60" t="inlineStr">
        <is>
          <t>회의비</t>
        </is>
      </c>
      <c r="H1063" s="61" t="n">
        <v>453590</v>
      </c>
      <c r="J1063" s="63">
        <f>IF($A1063="","",IFERROR(INDEX(부서매핑!$C$5:$C$504,MATCH($D1063&amp;"",부서매핑!$A$5:$A$504,0)),"미매핑"))</f>
        <v/>
      </c>
      <c r="K1063" s="63">
        <f>IF($A1063="","",IFERROR(INDEX(계정매핑!$C$5:$C$504,MATCH($F1063&amp;"",계정매핑!$A$5:$A$504,0)),"미매핑"))</f>
        <v/>
      </c>
      <c r="L1063" s="4">
        <f>IF($A1063="","",VALUE($A1063&amp;""))</f>
        <v/>
      </c>
      <c r="M1063" s="4">
        <f>IF($A1063="","",VALUE($B1063&amp;""))</f>
        <v/>
      </c>
      <c r="N1063" s="64">
        <f>IF($A1063="","",$H1063*설정!$C$15)</f>
        <v/>
      </c>
      <c r="O1063" s="4">
        <f>IF($A1063="","",J1063&amp;"|"&amp;K1063)</f>
        <v/>
      </c>
      <c r="P1063" s="63">
        <f>IF($A1063="","",IF(COUNTIFS(예산_원본!$T$5:$T$3004,O1063,예산_원본!$B$5:$B$3004,설정!$C$8,예산_원본!$U$5:$U$3004,L1063)&gt;0,"Y","N"))</f>
        <v/>
      </c>
      <c r="Q1063" s="63">
        <f>IF($A1063="","",IF(COUNTIF(집계!$E$7:$E$506,O1063)&gt;0,"Y","N"))</f>
        <v/>
      </c>
    </row>
    <row r="1064">
      <c r="A1064" s="60" t="n">
        <v>2026</v>
      </c>
      <c r="B1064" s="60" t="n">
        <v>2</v>
      </c>
      <c r="C1064" s="60" t="inlineStr">
        <is>
          <t>1000</t>
        </is>
      </c>
      <c r="D1064" s="60" t="n">
        <v>1502</v>
      </c>
      <c r="E1064" s="60" t="inlineStr">
        <is>
          <t>디지털마케팅</t>
        </is>
      </c>
      <c r="F1064" s="60" t="n">
        <v>62601000</v>
      </c>
      <c r="G1064" s="60" t="inlineStr">
        <is>
          <t>업무추진비</t>
        </is>
      </c>
      <c r="H1064" s="61" t="n">
        <v>1170720</v>
      </c>
      <c r="J1064" s="63">
        <f>IF($A1064="","",IFERROR(INDEX(부서매핑!$C$5:$C$504,MATCH($D1064&amp;"",부서매핑!$A$5:$A$504,0)),"미매핑"))</f>
        <v/>
      </c>
      <c r="K1064" s="63">
        <f>IF($A1064="","",IFERROR(INDEX(계정매핑!$C$5:$C$504,MATCH($F1064&amp;"",계정매핑!$A$5:$A$504,0)),"미매핑"))</f>
        <v/>
      </c>
      <c r="L1064" s="4">
        <f>IF($A1064="","",VALUE($A1064&amp;""))</f>
        <v/>
      </c>
      <c r="M1064" s="4">
        <f>IF($A1064="","",VALUE($B1064&amp;""))</f>
        <v/>
      </c>
      <c r="N1064" s="64">
        <f>IF($A1064="","",$H1064*설정!$C$15)</f>
        <v/>
      </c>
      <c r="O1064" s="4">
        <f>IF($A1064="","",J1064&amp;"|"&amp;K1064)</f>
        <v/>
      </c>
      <c r="P1064" s="63">
        <f>IF($A1064="","",IF(COUNTIFS(예산_원본!$T$5:$T$3004,O1064,예산_원본!$B$5:$B$3004,설정!$C$8,예산_원본!$U$5:$U$3004,L1064)&gt;0,"Y","N"))</f>
        <v/>
      </c>
      <c r="Q1064" s="63">
        <f>IF($A1064="","",IF(COUNTIF(집계!$E$7:$E$506,O1064)&gt;0,"Y","N"))</f>
        <v/>
      </c>
    </row>
    <row r="1065">
      <c r="A1065" s="60" t="n">
        <v>2026</v>
      </c>
      <c r="B1065" s="60" t="n">
        <v>2</v>
      </c>
      <c r="C1065" s="60" t="inlineStr">
        <is>
          <t>1000</t>
        </is>
      </c>
      <c r="D1065" s="60" t="n">
        <v>1502</v>
      </c>
      <c r="E1065" s="60" t="inlineStr">
        <is>
          <t>디지털마케팅</t>
        </is>
      </c>
      <c r="F1065" s="60" t="n">
        <v>62701000</v>
      </c>
      <c r="G1065" s="60" t="inlineStr">
        <is>
          <t>광고선전비</t>
        </is>
      </c>
      <c r="H1065" s="61" t="n">
        <v>63074480</v>
      </c>
      <c r="J1065" s="63">
        <f>IF($A1065="","",IFERROR(INDEX(부서매핑!$C$5:$C$504,MATCH($D1065&amp;"",부서매핑!$A$5:$A$504,0)),"미매핑"))</f>
        <v/>
      </c>
      <c r="K1065" s="63">
        <f>IF($A1065="","",IFERROR(INDEX(계정매핑!$C$5:$C$504,MATCH($F1065&amp;"",계정매핑!$A$5:$A$504,0)),"미매핑"))</f>
        <v/>
      </c>
      <c r="L1065" s="4">
        <f>IF($A1065="","",VALUE($A1065&amp;""))</f>
        <v/>
      </c>
      <c r="M1065" s="4">
        <f>IF($A1065="","",VALUE($B1065&amp;""))</f>
        <v/>
      </c>
      <c r="N1065" s="64">
        <f>IF($A1065="","",$H1065*설정!$C$15)</f>
        <v/>
      </c>
      <c r="O1065" s="4">
        <f>IF($A1065="","",J1065&amp;"|"&amp;K1065)</f>
        <v/>
      </c>
      <c r="P1065" s="63">
        <f>IF($A1065="","",IF(COUNTIFS(예산_원본!$T$5:$T$3004,O1065,예산_원본!$B$5:$B$3004,설정!$C$8,예산_원본!$U$5:$U$3004,L1065)&gt;0,"Y","N"))</f>
        <v/>
      </c>
      <c r="Q1065" s="63">
        <f>IF($A1065="","",IF(COUNTIF(집계!$E$7:$E$506,O1065)&gt;0,"Y","N"))</f>
        <v/>
      </c>
    </row>
    <row r="1066">
      <c r="A1066" s="60" t="n">
        <v>2026</v>
      </c>
      <c r="B1066" s="60" t="n">
        <v>2</v>
      </c>
      <c r="C1066" s="60" t="inlineStr">
        <is>
          <t>1000</t>
        </is>
      </c>
      <c r="D1066" s="60" t="n">
        <v>1601</v>
      </c>
      <c r="E1066" s="60" t="inlineStr">
        <is>
          <t>영업지원-본사</t>
        </is>
      </c>
      <c r="F1066" s="60" t="n">
        <v>62101000</v>
      </c>
      <c r="G1066" s="60" t="inlineStr">
        <is>
          <t>여비교통비-국내</t>
        </is>
      </c>
      <c r="H1066" s="61" t="n">
        <v>4561490</v>
      </c>
      <c r="J1066" s="63">
        <f>IF($A1066="","",IFERROR(INDEX(부서매핑!$C$5:$C$504,MATCH($D1066&amp;"",부서매핑!$A$5:$A$504,0)),"미매핑"))</f>
        <v/>
      </c>
      <c r="K1066" s="63">
        <f>IF($A1066="","",IFERROR(INDEX(계정매핑!$C$5:$C$504,MATCH($F1066&amp;"",계정매핑!$A$5:$A$504,0)),"미매핑"))</f>
        <v/>
      </c>
      <c r="L1066" s="4">
        <f>IF($A1066="","",VALUE($A1066&amp;""))</f>
        <v/>
      </c>
      <c r="M1066" s="4">
        <f>IF($A1066="","",VALUE($B1066&amp;""))</f>
        <v/>
      </c>
      <c r="N1066" s="64">
        <f>IF($A1066="","",$H1066*설정!$C$15)</f>
        <v/>
      </c>
      <c r="O1066" s="4">
        <f>IF($A1066="","",J1066&amp;"|"&amp;K1066)</f>
        <v/>
      </c>
      <c r="P1066" s="63">
        <f>IF($A1066="","",IF(COUNTIFS(예산_원본!$T$5:$T$3004,O1066,예산_원본!$B$5:$B$3004,설정!$C$8,예산_원본!$U$5:$U$3004,L1066)&gt;0,"Y","N"))</f>
        <v/>
      </c>
      <c r="Q1066" s="63">
        <f>IF($A1066="","",IF(COUNTIF(집계!$E$7:$E$506,O1066)&gt;0,"Y","N"))</f>
        <v/>
      </c>
    </row>
    <row r="1067">
      <c r="A1067" s="60" t="n">
        <v>2026</v>
      </c>
      <c r="B1067" s="60" t="n">
        <v>2</v>
      </c>
      <c r="C1067" s="60" t="inlineStr">
        <is>
          <t>1000</t>
        </is>
      </c>
      <c r="D1067" s="60" t="n">
        <v>1601</v>
      </c>
      <c r="E1067" s="60" t="inlineStr">
        <is>
          <t>영업지원-본사</t>
        </is>
      </c>
      <c r="F1067" s="60" t="n">
        <v>62102000</v>
      </c>
      <c r="G1067" s="60" t="inlineStr">
        <is>
          <t>여비교통비-해외</t>
        </is>
      </c>
      <c r="H1067" s="61" t="n">
        <v>700440</v>
      </c>
      <c r="J1067" s="63">
        <f>IF($A1067="","",IFERROR(INDEX(부서매핑!$C$5:$C$504,MATCH($D1067&amp;"",부서매핑!$A$5:$A$504,0)),"미매핑"))</f>
        <v/>
      </c>
      <c r="K1067" s="63">
        <f>IF($A1067="","",IFERROR(INDEX(계정매핑!$C$5:$C$504,MATCH($F1067&amp;"",계정매핑!$A$5:$A$504,0)),"미매핑"))</f>
        <v/>
      </c>
      <c r="L1067" s="4">
        <f>IF($A1067="","",VALUE($A1067&amp;""))</f>
        <v/>
      </c>
      <c r="M1067" s="4">
        <f>IF($A1067="","",VALUE($B1067&amp;""))</f>
        <v/>
      </c>
      <c r="N1067" s="64">
        <f>IF($A1067="","",$H1067*설정!$C$15)</f>
        <v/>
      </c>
      <c r="O1067" s="4">
        <f>IF($A1067="","",J1067&amp;"|"&amp;K1067)</f>
        <v/>
      </c>
      <c r="P1067" s="63">
        <f>IF($A1067="","",IF(COUNTIFS(예산_원본!$T$5:$T$3004,O1067,예산_원본!$B$5:$B$3004,설정!$C$8,예산_원본!$U$5:$U$3004,L1067)&gt;0,"Y","N"))</f>
        <v/>
      </c>
      <c r="Q1067" s="63">
        <f>IF($A1067="","",IF(COUNTIF(집계!$E$7:$E$506,O1067)&gt;0,"Y","N"))</f>
        <v/>
      </c>
    </row>
    <row r="1068">
      <c r="A1068" s="60" t="n">
        <v>2026</v>
      </c>
      <c r="B1068" s="60" t="n">
        <v>2</v>
      </c>
      <c r="C1068" s="60" t="inlineStr">
        <is>
          <t>1000</t>
        </is>
      </c>
      <c r="D1068" s="60" t="n">
        <v>1601</v>
      </c>
      <c r="E1068" s="60" t="inlineStr">
        <is>
          <t>영업지원-본사</t>
        </is>
      </c>
      <c r="F1068" s="60" t="n">
        <v>62201000</v>
      </c>
      <c r="G1068" s="60" t="inlineStr">
        <is>
          <t>통신비</t>
        </is>
      </c>
      <c r="H1068" s="61" t="n">
        <v>1068450</v>
      </c>
      <c r="J1068" s="63">
        <f>IF($A1068="","",IFERROR(INDEX(부서매핑!$C$5:$C$504,MATCH($D1068&amp;"",부서매핑!$A$5:$A$504,0)),"미매핑"))</f>
        <v/>
      </c>
      <c r="K1068" s="63">
        <f>IF($A1068="","",IFERROR(INDEX(계정매핑!$C$5:$C$504,MATCH($F1068&amp;"",계정매핑!$A$5:$A$504,0)),"미매핑"))</f>
        <v/>
      </c>
      <c r="L1068" s="4">
        <f>IF($A1068="","",VALUE($A1068&amp;""))</f>
        <v/>
      </c>
      <c r="M1068" s="4">
        <f>IF($A1068="","",VALUE($B1068&amp;""))</f>
        <v/>
      </c>
      <c r="N1068" s="64">
        <f>IF($A1068="","",$H1068*설정!$C$15)</f>
        <v/>
      </c>
      <c r="O1068" s="4">
        <f>IF($A1068="","",J1068&amp;"|"&amp;K1068)</f>
        <v/>
      </c>
      <c r="P1068" s="63">
        <f>IF($A1068="","",IF(COUNTIFS(예산_원본!$T$5:$T$3004,O1068,예산_원본!$B$5:$B$3004,설정!$C$8,예산_원본!$U$5:$U$3004,L1068)&gt;0,"Y","N"))</f>
        <v/>
      </c>
      <c r="Q1068" s="63">
        <f>IF($A1068="","",IF(COUNTIF(집계!$E$7:$E$506,O1068)&gt;0,"Y","N"))</f>
        <v/>
      </c>
    </row>
    <row r="1069">
      <c r="A1069" s="60" t="n">
        <v>2026</v>
      </c>
      <c r="B1069" s="60" t="n">
        <v>2</v>
      </c>
      <c r="C1069" s="60" t="inlineStr">
        <is>
          <t>1000</t>
        </is>
      </c>
      <c r="D1069" s="60" t="n">
        <v>1601</v>
      </c>
      <c r="E1069" s="60" t="inlineStr">
        <is>
          <t>영업지원-본사</t>
        </is>
      </c>
      <c r="F1069" s="60" t="n">
        <v>62301000</v>
      </c>
      <c r="G1069" s="60" t="inlineStr">
        <is>
          <t>소모품비</t>
        </is>
      </c>
      <c r="H1069" s="61" t="n">
        <v>659960</v>
      </c>
      <c r="J1069" s="63">
        <f>IF($A1069="","",IFERROR(INDEX(부서매핑!$C$5:$C$504,MATCH($D1069&amp;"",부서매핑!$A$5:$A$504,0)),"미매핑"))</f>
        <v/>
      </c>
      <c r="K1069" s="63">
        <f>IF($A1069="","",IFERROR(INDEX(계정매핑!$C$5:$C$504,MATCH($F1069&amp;"",계정매핑!$A$5:$A$504,0)),"미매핑"))</f>
        <v/>
      </c>
      <c r="L1069" s="4">
        <f>IF($A1069="","",VALUE($A1069&amp;""))</f>
        <v/>
      </c>
      <c r="M1069" s="4">
        <f>IF($A1069="","",VALUE($B1069&amp;""))</f>
        <v/>
      </c>
      <c r="N1069" s="64">
        <f>IF($A1069="","",$H1069*설정!$C$15)</f>
        <v/>
      </c>
      <c r="O1069" s="4">
        <f>IF($A1069="","",J1069&amp;"|"&amp;K1069)</f>
        <v/>
      </c>
      <c r="P1069" s="63">
        <f>IF($A1069="","",IF(COUNTIFS(예산_원본!$T$5:$T$3004,O1069,예산_원본!$B$5:$B$3004,설정!$C$8,예산_원본!$U$5:$U$3004,L1069)&gt;0,"Y","N"))</f>
        <v/>
      </c>
      <c r="Q1069" s="63">
        <f>IF($A1069="","",IF(COUNTIF(집계!$E$7:$E$506,O1069)&gt;0,"Y","N"))</f>
        <v/>
      </c>
    </row>
    <row r="1070">
      <c r="A1070" s="60" t="n">
        <v>2026</v>
      </c>
      <c r="B1070" s="60" t="n">
        <v>2</v>
      </c>
      <c r="C1070" s="60" t="inlineStr">
        <is>
          <t>1000</t>
        </is>
      </c>
      <c r="D1070" s="60" t="n">
        <v>1601</v>
      </c>
      <c r="E1070" s="60" t="inlineStr">
        <is>
          <t>영업지원-본사</t>
        </is>
      </c>
      <c r="F1070" s="60" t="n">
        <v>62501000</v>
      </c>
      <c r="G1070" s="60" t="inlineStr">
        <is>
          <t>회의비</t>
        </is>
      </c>
      <c r="H1070" s="61" t="n">
        <v>859760</v>
      </c>
      <c r="J1070" s="63">
        <f>IF($A1070="","",IFERROR(INDEX(부서매핑!$C$5:$C$504,MATCH($D1070&amp;"",부서매핑!$A$5:$A$504,0)),"미매핑"))</f>
        <v/>
      </c>
      <c r="K1070" s="63">
        <f>IF($A1070="","",IFERROR(INDEX(계정매핑!$C$5:$C$504,MATCH($F1070&amp;"",계정매핑!$A$5:$A$504,0)),"미매핑"))</f>
        <v/>
      </c>
      <c r="L1070" s="4">
        <f>IF($A1070="","",VALUE($A1070&amp;""))</f>
        <v/>
      </c>
      <c r="M1070" s="4">
        <f>IF($A1070="","",VALUE($B1070&amp;""))</f>
        <v/>
      </c>
      <c r="N1070" s="64">
        <f>IF($A1070="","",$H1070*설정!$C$15)</f>
        <v/>
      </c>
      <c r="O1070" s="4">
        <f>IF($A1070="","",J1070&amp;"|"&amp;K1070)</f>
        <v/>
      </c>
      <c r="P1070" s="63">
        <f>IF($A1070="","",IF(COUNTIFS(예산_원본!$T$5:$T$3004,O1070,예산_원본!$B$5:$B$3004,설정!$C$8,예산_원본!$U$5:$U$3004,L1070)&gt;0,"Y","N"))</f>
        <v/>
      </c>
      <c r="Q1070" s="63">
        <f>IF($A1070="","",IF(COUNTIF(집계!$E$7:$E$506,O1070)&gt;0,"Y","N"))</f>
        <v/>
      </c>
    </row>
    <row r="1071">
      <c r="A1071" s="60" t="n">
        <v>2026</v>
      </c>
      <c r="B1071" s="60" t="n">
        <v>2</v>
      </c>
      <c r="C1071" s="60" t="inlineStr">
        <is>
          <t>1000</t>
        </is>
      </c>
      <c r="D1071" s="60" t="n">
        <v>1601</v>
      </c>
      <c r="E1071" s="60" t="inlineStr">
        <is>
          <t>영업지원-본사</t>
        </is>
      </c>
      <c r="F1071" s="60" t="n">
        <v>62601000</v>
      </c>
      <c r="G1071" s="60" t="inlineStr">
        <is>
          <t>업무추진비</t>
        </is>
      </c>
      <c r="H1071" s="61" t="n">
        <v>1774790</v>
      </c>
      <c r="J1071" s="63">
        <f>IF($A1071="","",IFERROR(INDEX(부서매핑!$C$5:$C$504,MATCH($D1071&amp;"",부서매핑!$A$5:$A$504,0)),"미매핑"))</f>
        <v/>
      </c>
      <c r="K1071" s="63">
        <f>IF($A1071="","",IFERROR(INDEX(계정매핑!$C$5:$C$504,MATCH($F1071&amp;"",계정매핑!$A$5:$A$504,0)),"미매핑"))</f>
        <v/>
      </c>
      <c r="L1071" s="4">
        <f>IF($A1071="","",VALUE($A1071&amp;""))</f>
        <v/>
      </c>
      <c r="M1071" s="4">
        <f>IF($A1071="","",VALUE($B1071&amp;""))</f>
        <v/>
      </c>
      <c r="N1071" s="64">
        <f>IF($A1071="","",$H1071*설정!$C$15)</f>
        <v/>
      </c>
      <c r="O1071" s="4">
        <f>IF($A1071="","",J1071&amp;"|"&amp;K1071)</f>
        <v/>
      </c>
      <c r="P1071" s="63">
        <f>IF($A1071="","",IF(COUNTIFS(예산_원본!$T$5:$T$3004,O1071,예산_원본!$B$5:$B$3004,설정!$C$8,예산_원본!$U$5:$U$3004,L1071)&gt;0,"Y","N"))</f>
        <v/>
      </c>
      <c r="Q1071" s="63">
        <f>IF($A1071="","",IF(COUNTIF(집계!$E$7:$E$506,O1071)&gt;0,"Y","N"))</f>
        <v/>
      </c>
    </row>
    <row r="1072">
      <c r="A1072" s="60" t="n">
        <v>2026</v>
      </c>
      <c r="B1072" s="60" t="n">
        <v>2</v>
      </c>
      <c r="C1072" s="60" t="inlineStr">
        <is>
          <t>1000</t>
        </is>
      </c>
      <c r="D1072" s="60" t="n">
        <v>1601</v>
      </c>
      <c r="E1072" s="60" t="inlineStr">
        <is>
          <t>영업지원-본사</t>
        </is>
      </c>
      <c r="F1072" s="60" t="n">
        <v>63101000</v>
      </c>
      <c r="G1072" s="60" t="inlineStr">
        <is>
          <t>임차료</t>
        </is>
      </c>
      <c r="H1072" s="61" t="n">
        <v>8594450</v>
      </c>
      <c r="J1072" s="63">
        <f>IF($A1072="","",IFERROR(INDEX(부서매핑!$C$5:$C$504,MATCH($D1072&amp;"",부서매핑!$A$5:$A$504,0)),"미매핑"))</f>
        <v/>
      </c>
      <c r="K1072" s="63">
        <f>IF($A1072="","",IFERROR(INDEX(계정매핑!$C$5:$C$504,MATCH($F1072&amp;"",계정매핑!$A$5:$A$504,0)),"미매핑"))</f>
        <v/>
      </c>
      <c r="L1072" s="4">
        <f>IF($A1072="","",VALUE($A1072&amp;""))</f>
        <v/>
      </c>
      <c r="M1072" s="4">
        <f>IF($A1072="","",VALUE($B1072&amp;""))</f>
        <v/>
      </c>
      <c r="N1072" s="64">
        <f>IF($A1072="","",$H1072*설정!$C$15)</f>
        <v/>
      </c>
      <c r="O1072" s="4">
        <f>IF($A1072="","",J1072&amp;"|"&amp;K1072)</f>
        <v/>
      </c>
      <c r="P1072" s="63">
        <f>IF($A1072="","",IF(COUNTIFS(예산_원본!$T$5:$T$3004,O1072,예산_원본!$B$5:$B$3004,설정!$C$8,예산_원본!$U$5:$U$3004,L1072)&gt;0,"Y","N"))</f>
        <v/>
      </c>
      <c r="Q1072" s="63">
        <f>IF($A1072="","",IF(COUNTIF(집계!$E$7:$E$506,O1072)&gt;0,"Y","N"))</f>
        <v/>
      </c>
    </row>
    <row r="1073">
      <c r="A1073" s="60" t="n">
        <v>2026</v>
      </c>
      <c r="B1073" s="60" t="n">
        <v>2</v>
      </c>
      <c r="C1073" s="60" t="inlineStr">
        <is>
          <t>1000</t>
        </is>
      </c>
      <c r="D1073" s="60" t="n">
        <v>1601</v>
      </c>
      <c r="E1073" s="60" t="inlineStr">
        <is>
          <t>영업지원-본사</t>
        </is>
      </c>
      <c r="F1073" s="60" t="n">
        <v>63201000</v>
      </c>
      <c r="G1073" s="60" t="inlineStr">
        <is>
          <t>차량유지비</t>
        </is>
      </c>
      <c r="H1073" s="61" t="n">
        <v>5973660</v>
      </c>
      <c r="J1073" s="63">
        <f>IF($A1073="","",IFERROR(INDEX(부서매핑!$C$5:$C$504,MATCH($D1073&amp;"",부서매핑!$A$5:$A$504,0)),"미매핑"))</f>
        <v/>
      </c>
      <c r="K1073" s="63">
        <f>IF($A1073="","",IFERROR(INDEX(계정매핑!$C$5:$C$504,MATCH($F1073&amp;"",계정매핑!$A$5:$A$504,0)),"미매핑"))</f>
        <v/>
      </c>
      <c r="L1073" s="4">
        <f>IF($A1073="","",VALUE($A1073&amp;""))</f>
        <v/>
      </c>
      <c r="M1073" s="4">
        <f>IF($A1073="","",VALUE($B1073&amp;""))</f>
        <v/>
      </c>
      <c r="N1073" s="64">
        <f>IF($A1073="","",$H1073*설정!$C$15)</f>
        <v/>
      </c>
      <c r="O1073" s="4">
        <f>IF($A1073="","",J1073&amp;"|"&amp;K1073)</f>
        <v/>
      </c>
      <c r="P1073" s="63">
        <f>IF($A1073="","",IF(COUNTIFS(예산_원본!$T$5:$T$3004,O1073,예산_원본!$B$5:$B$3004,설정!$C$8,예산_원본!$U$5:$U$3004,L1073)&gt;0,"Y","N"))</f>
        <v/>
      </c>
      <c r="Q1073" s="63">
        <f>IF($A1073="","",IF(COUNTIF(집계!$E$7:$E$506,O1073)&gt;0,"Y","N"))</f>
        <v/>
      </c>
    </row>
    <row r="1074">
      <c r="A1074" s="60" t="n">
        <v>2026</v>
      </c>
      <c r="B1074" s="60" t="n">
        <v>2</v>
      </c>
      <c r="C1074" s="60" t="inlineStr">
        <is>
          <t>1000</t>
        </is>
      </c>
      <c r="D1074" s="60" t="n">
        <v>1602</v>
      </c>
      <c r="E1074" s="60" t="inlineStr">
        <is>
          <t>영업지원-지역본부</t>
        </is>
      </c>
      <c r="F1074" s="60" t="n">
        <v>62101000</v>
      </c>
      <c r="G1074" s="60" t="inlineStr">
        <is>
          <t>여비교통비-국내</t>
        </is>
      </c>
      <c r="H1074" s="61" t="n">
        <v>3099840</v>
      </c>
      <c r="J1074" s="63">
        <f>IF($A1074="","",IFERROR(INDEX(부서매핑!$C$5:$C$504,MATCH($D1074&amp;"",부서매핑!$A$5:$A$504,0)),"미매핑"))</f>
        <v/>
      </c>
      <c r="K1074" s="63">
        <f>IF($A1074="","",IFERROR(INDEX(계정매핑!$C$5:$C$504,MATCH($F1074&amp;"",계정매핑!$A$5:$A$504,0)),"미매핑"))</f>
        <v/>
      </c>
      <c r="L1074" s="4">
        <f>IF($A1074="","",VALUE($A1074&amp;""))</f>
        <v/>
      </c>
      <c r="M1074" s="4">
        <f>IF($A1074="","",VALUE($B1074&amp;""))</f>
        <v/>
      </c>
      <c r="N1074" s="64">
        <f>IF($A1074="","",$H1074*설정!$C$15)</f>
        <v/>
      </c>
      <c r="O1074" s="4">
        <f>IF($A1074="","",J1074&amp;"|"&amp;K1074)</f>
        <v/>
      </c>
      <c r="P1074" s="63">
        <f>IF($A1074="","",IF(COUNTIFS(예산_원본!$T$5:$T$3004,O1074,예산_원본!$B$5:$B$3004,설정!$C$8,예산_원본!$U$5:$U$3004,L1074)&gt;0,"Y","N"))</f>
        <v/>
      </c>
      <c r="Q1074" s="63">
        <f>IF($A1074="","",IF(COUNTIF(집계!$E$7:$E$506,O1074)&gt;0,"Y","N"))</f>
        <v/>
      </c>
    </row>
    <row r="1075">
      <c r="A1075" s="60" t="n">
        <v>2026</v>
      </c>
      <c r="B1075" s="60" t="n">
        <v>2</v>
      </c>
      <c r="C1075" s="60" t="inlineStr">
        <is>
          <t>1000</t>
        </is>
      </c>
      <c r="D1075" s="60" t="n">
        <v>1602</v>
      </c>
      <c r="E1075" s="60" t="inlineStr">
        <is>
          <t>영업지원-지역본부</t>
        </is>
      </c>
      <c r="F1075" s="60" t="n">
        <v>62102000</v>
      </c>
      <c r="G1075" s="60" t="inlineStr">
        <is>
          <t>여비교통비-해외</t>
        </is>
      </c>
      <c r="H1075" s="61" t="n">
        <v>566700</v>
      </c>
      <c r="J1075" s="63">
        <f>IF($A1075="","",IFERROR(INDEX(부서매핑!$C$5:$C$504,MATCH($D1075&amp;"",부서매핑!$A$5:$A$504,0)),"미매핑"))</f>
        <v/>
      </c>
      <c r="K1075" s="63">
        <f>IF($A1075="","",IFERROR(INDEX(계정매핑!$C$5:$C$504,MATCH($F1075&amp;"",계정매핑!$A$5:$A$504,0)),"미매핑"))</f>
        <v/>
      </c>
      <c r="L1075" s="4">
        <f>IF($A1075="","",VALUE($A1075&amp;""))</f>
        <v/>
      </c>
      <c r="M1075" s="4">
        <f>IF($A1075="","",VALUE($B1075&amp;""))</f>
        <v/>
      </c>
      <c r="N1075" s="64">
        <f>IF($A1075="","",$H1075*설정!$C$15)</f>
        <v/>
      </c>
      <c r="O1075" s="4">
        <f>IF($A1075="","",J1075&amp;"|"&amp;K1075)</f>
        <v/>
      </c>
      <c r="P1075" s="63">
        <f>IF($A1075="","",IF(COUNTIFS(예산_원본!$T$5:$T$3004,O1075,예산_원본!$B$5:$B$3004,설정!$C$8,예산_원본!$U$5:$U$3004,L1075)&gt;0,"Y","N"))</f>
        <v/>
      </c>
      <c r="Q1075" s="63">
        <f>IF($A1075="","",IF(COUNTIF(집계!$E$7:$E$506,O1075)&gt;0,"Y","N"))</f>
        <v/>
      </c>
    </row>
    <row r="1076">
      <c r="A1076" s="60" t="n">
        <v>2026</v>
      </c>
      <c r="B1076" s="60" t="n">
        <v>2</v>
      </c>
      <c r="C1076" s="60" t="inlineStr">
        <is>
          <t>1000</t>
        </is>
      </c>
      <c r="D1076" s="60" t="n">
        <v>1602</v>
      </c>
      <c r="E1076" s="60" t="inlineStr">
        <is>
          <t>영업지원-지역본부</t>
        </is>
      </c>
      <c r="F1076" s="60" t="n">
        <v>62201000</v>
      </c>
      <c r="G1076" s="60" t="inlineStr">
        <is>
          <t>통신비</t>
        </is>
      </c>
      <c r="H1076" s="61" t="n">
        <v>1010830</v>
      </c>
      <c r="J1076" s="63">
        <f>IF($A1076="","",IFERROR(INDEX(부서매핑!$C$5:$C$504,MATCH($D1076&amp;"",부서매핑!$A$5:$A$504,0)),"미매핑"))</f>
        <v/>
      </c>
      <c r="K1076" s="63">
        <f>IF($A1076="","",IFERROR(INDEX(계정매핑!$C$5:$C$504,MATCH($F1076&amp;"",계정매핑!$A$5:$A$504,0)),"미매핑"))</f>
        <v/>
      </c>
      <c r="L1076" s="4">
        <f>IF($A1076="","",VALUE($A1076&amp;""))</f>
        <v/>
      </c>
      <c r="M1076" s="4">
        <f>IF($A1076="","",VALUE($B1076&amp;""))</f>
        <v/>
      </c>
      <c r="N1076" s="64">
        <f>IF($A1076="","",$H1076*설정!$C$15)</f>
        <v/>
      </c>
      <c r="O1076" s="4">
        <f>IF($A1076="","",J1076&amp;"|"&amp;K1076)</f>
        <v/>
      </c>
      <c r="P1076" s="63">
        <f>IF($A1076="","",IF(COUNTIFS(예산_원본!$T$5:$T$3004,O1076,예산_원본!$B$5:$B$3004,설정!$C$8,예산_원본!$U$5:$U$3004,L1076)&gt;0,"Y","N"))</f>
        <v/>
      </c>
      <c r="Q1076" s="63">
        <f>IF($A1076="","",IF(COUNTIF(집계!$E$7:$E$506,O1076)&gt;0,"Y","N"))</f>
        <v/>
      </c>
    </row>
    <row r="1077">
      <c r="A1077" s="60" t="n">
        <v>2026</v>
      </c>
      <c r="B1077" s="60" t="n">
        <v>2</v>
      </c>
      <c r="C1077" s="60" t="inlineStr">
        <is>
          <t>1000</t>
        </is>
      </c>
      <c r="D1077" s="60" t="n">
        <v>1602</v>
      </c>
      <c r="E1077" s="60" t="inlineStr">
        <is>
          <t>영업지원-지역본부</t>
        </is>
      </c>
      <c r="F1077" s="60" t="n">
        <v>62301000</v>
      </c>
      <c r="G1077" s="60" t="inlineStr">
        <is>
          <t>소모품비</t>
        </is>
      </c>
      <c r="H1077" s="61" t="n">
        <v>629490</v>
      </c>
      <c r="J1077" s="63">
        <f>IF($A1077="","",IFERROR(INDEX(부서매핑!$C$5:$C$504,MATCH($D1077&amp;"",부서매핑!$A$5:$A$504,0)),"미매핑"))</f>
        <v/>
      </c>
      <c r="K1077" s="63">
        <f>IF($A1077="","",IFERROR(INDEX(계정매핑!$C$5:$C$504,MATCH($F1077&amp;"",계정매핑!$A$5:$A$504,0)),"미매핑"))</f>
        <v/>
      </c>
      <c r="L1077" s="4">
        <f>IF($A1077="","",VALUE($A1077&amp;""))</f>
        <v/>
      </c>
      <c r="M1077" s="4">
        <f>IF($A1077="","",VALUE($B1077&amp;""))</f>
        <v/>
      </c>
      <c r="N1077" s="64">
        <f>IF($A1077="","",$H1077*설정!$C$15)</f>
        <v/>
      </c>
      <c r="O1077" s="4">
        <f>IF($A1077="","",J1077&amp;"|"&amp;K1077)</f>
        <v/>
      </c>
      <c r="P1077" s="63">
        <f>IF($A1077="","",IF(COUNTIFS(예산_원본!$T$5:$T$3004,O1077,예산_원본!$B$5:$B$3004,설정!$C$8,예산_원본!$U$5:$U$3004,L1077)&gt;0,"Y","N"))</f>
        <v/>
      </c>
      <c r="Q1077" s="63">
        <f>IF($A1077="","",IF(COUNTIF(집계!$E$7:$E$506,O1077)&gt;0,"Y","N"))</f>
        <v/>
      </c>
    </row>
    <row r="1078">
      <c r="A1078" s="60" t="n">
        <v>2026</v>
      </c>
      <c r="B1078" s="60" t="n">
        <v>2</v>
      </c>
      <c r="C1078" s="60" t="inlineStr">
        <is>
          <t>1000</t>
        </is>
      </c>
      <c r="D1078" s="60" t="n">
        <v>1602</v>
      </c>
      <c r="E1078" s="60" t="inlineStr">
        <is>
          <t>영업지원-지역본부</t>
        </is>
      </c>
      <c r="F1078" s="60" t="n">
        <v>62501000</v>
      </c>
      <c r="G1078" s="60" t="inlineStr">
        <is>
          <t>회의비</t>
        </is>
      </c>
      <c r="H1078" s="61" t="n">
        <v>767860</v>
      </c>
      <c r="J1078" s="63">
        <f>IF($A1078="","",IFERROR(INDEX(부서매핑!$C$5:$C$504,MATCH($D1078&amp;"",부서매핑!$A$5:$A$504,0)),"미매핑"))</f>
        <v/>
      </c>
      <c r="K1078" s="63">
        <f>IF($A1078="","",IFERROR(INDEX(계정매핑!$C$5:$C$504,MATCH($F1078&amp;"",계정매핑!$A$5:$A$504,0)),"미매핑"))</f>
        <v/>
      </c>
      <c r="L1078" s="4">
        <f>IF($A1078="","",VALUE($A1078&amp;""))</f>
        <v/>
      </c>
      <c r="M1078" s="4">
        <f>IF($A1078="","",VALUE($B1078&amp;""))</f>
        <v/>
      </c>
      <c r="N1078" s="64">
        <f>IF($A1078="","",$H1078*설정!$C$15)</f>
        <v/>
      </c>
      <c r="O1078" s="4">
        <f>IF($A1078="","",J1078&amp;"|"&amp;K1078)</f>
        <v/>
      </c>
      <c r="P1078" s="63">
        <f>IF($A1078="","",IF(COUNTIFS(예산_원본!$T$5:$T$3004,O1078,예산_원본!$B$5:$B$3004,설정!$C$8,예산_원본!$U$5:$U$3004,L1078)&gt;0,"Y","N"))</f>
        <v/>
      </c>
      <c r="Q1078" s="63">
        <f>IF($A1078="","",IF(COUNTIF(집계!$E$7:$E$506,O1078)&gt;0,"Y","N"))</f>
        <v/>
      </c>
    </row>
    <row r="1079">
      <c r="A1079" s="60" t="n">
        <v>2026</v>
      </c>
      <c r="B1079" s="60" t="n">
        <v>2</v>
      </c>
      <c r="C1079" s="60" t="inlineStr">
        <is>
          <t>1000</t>
        </is>
      </c>
      <c r="D1079" s="60" t="n">
        <v>1602</v>
      </c>
      <c r="E1079" s="60" t="inlineStr">
        <is>
          <t>영업지원-지역본부</t>
        </is>
      </c>
      <c r="F1079" s="60" t="n">
        <v>62601000</v>
      </c>
      <c r="G1079" s="60" t="inlineStr">
        <is>
          <t>업무추진비</t>
        </is>
      </c>
      <c r="H1079" s="61" t="n">
        <v>1444450</v>
      </c>
      <c r="J1079" s="63">
        <f>IF($A1079="","",IFERROR(INDEX(부서매핑!$C$5:$C$504,MATCH($D1079&amp;"",부서매핑!$A$5:$A$504,0)),"미매핑"))</f>
        <v/>
      </c>
      <c r="K1079" s="63">
        <f>IF($A1079="","",IFERROR(INDEX(계정매핑!$C$5:$C$504,MATCH($F1079&amp;"",계정매핑!$A$5:$A$504,0)),"미매핑"))</f>
        <v/>
      </c>
      <c r="L1079" s="4">
        <f>IF($A1079="","",VALUE($A1079&amp;""))</f>
        <v/>
      </c>
      <c r="M1079" s="4">
        <f>IF($A1079="","",VALUE($B1079&amp;""))</f>
        <v/>
      </c>
      <c r="N1079" s="64">
        <f>IF($A1079="","",$H1079*설정!$C$15)</f>
        <v/>
      </c>
      <c r="O1079" s="4">
        <f>IF($A1079="","",J1079&amp;"|"&amp;K1079)</f>
        <v/>
      </c>
      <c r="P1079" s="63">
        <f>IF($A1079="","",IF(COUNTIFS(예산_원본!$T$5:$T$3004,O1079,예산_원본!$B$5:$B$3004,설정!$C$8,예산_원본!$U$5:$U$3004,L1079)&gt;0,"Y","N"))</f>
        <v/>
      </c>
      <c r="Q1079" s="63">
        <f>IF($A1079="","",IF(COUNTIF(집계!$E$7:$E$506,O1079)&gt;0,"Y","N"))</f>
        <v/>
      </c>
    </row>
    <row r="1080">
      <c r="A1080" s="60" t="n">
        <v>2026</v>
      </c>
      <c r="B1080" s="60" t="n">
        <v>2</v>
      </c>
      <c r="C1080" s="60" t="inlineStr">
        <is>
          <t>1000</t>
        </is>
      </c>
      <c r="D1080" s="60" t="n">
        <v>1602</v>
      </c>
      <c r="E1080" s="60" t="inlineStr">
        <is>
          <t>영업지원-지역본부</t>
        </is>
      </c>
      <c r="F1080" s="60" t="n">
        <v>63101000</v>
      </c>
      <c r="G1080" s="60" t="inlineStr">
        <is>
          <t>임차료</t>
        </is>
      </c>
      <c r="H1080" s="61" t="n">
        <v>6791660</v>
      </c>
      <c r="J1080" s="63">
        <f>IF($A1080="","",IFERROR(INDEX(부서매핑!$C$5:$C$504,MATCH($D1080&amp;"",부서매핑!$A$5:$A$504,0)),"미매핑"))</f>
        <v/>
      </c>
      <c r="K1080" s="63">
        <f>IF($A1080="","",IFERROR(INDEX(계정매핑!$C$5:$C$504,MATCH($F1080&amp;"",계정매핑!$A$5:$A$504,0)),"미매핑"))</f>
        <v/>
      </c>
      <c r="L1080" s="4">
        <f>IF($A1080="","",VALUE($A1080&amp;""))</f>
        <v/>
      </c>
      <c r="M1080" s="4">
        <f>IF($A1080="","",VALUE($B1080&amp;""))</f>
        <v/>
      </c>
      <c r="N1080" s="64">
        <f>IF($A1080="","",$H1080*설정!$C$15)</f>
        <v/>
      </c>
      <c r="O1080" s="4">
        <f>IF($A1080="","",J1080&amp;"|"&amp;K1080)</f>
        <v/>
      </c>
      <c r="P1080" s="63">
        <f>IF($A1080="","",IF(COUNTIFS(예산_원본!$T$5:$T$3004,O1080,예산_원본!$B$5:$B$3004,설정!$C$8,예산_원본!$U$5:$U$3004,L1080)&gt;0,"Y","N"))</f>
        <v/>
      </c>
      <c r="Q1080" s="63">
        <f>IF($A1080="","",IF(COUNTIF(집계!$E$7:$E$506,O1080)&gt;0,"Y","N"))</f>
        <v/>
      </c>
    </row>
    <row r="1081">
      <c r="A1081" s="60" t="n">
        <v>2026</v>
      </c>
      <c r="B1081" s="60" t="n">
        <v>2</v>
      </c>
      <c r="C1081" s="60" t="inlineStr">
        <is>
          <t>1000</t>
        </is>
      </c>
      <c r="D1081" s="60" t="n">
        <v>1602</v>
      </c>
      <c r="E1081" s="60" t="inlineStr">
        <is>
          <t>영업지원-지역본부</t>
        </is>
      </c>
      <c r="F1081" s="60" t="n">
        <v>63201000</v>
      </c>
      <c r="G1081" s="60" t="inlineStr">
        <is>
          <t>차량유지비</t>
        </is>
      </c>
      <c r="H1081" s="61" t="n">
        <v>5076110</v>
      </c>
      <c r="J1081" s="63">
        <f>IF($A1081="","",IFERROR(INDEX(부서매핑!$C$5:$C$504,MATCH($D1081&amp;"",부서매핑!$A$5:$A$504,0)),"미매핑"))</f>
        <v/>
      </c>
      <c r="K1081" s="63">
        <f>IF($A1081="","",IFERROR(INDEX(계정매핑!$C$5:$C$504,MATCH($F1081&amp;"",계정매핑!$A$5:$A$504,0)),"미매핑"))</f>
        <v/>
      </c>
      <c r="L1081" s="4">
        <f>IF($A1081="","",VALUE($A1081&amp;""))</f>
        <v/>
      </c>
      <c r="M1081" s="4">
        <f>IF($A1081="","",VALUE($B1081&amp;""))</f>
        <v/>
      </c>
      <c r="N1081" s="64">
        <f>IF($A1081="","",$H1081*설정!$C$15)</f>
        <v/>
      </c>
      <c r="O1081" s="4">
        <f>IF($A1081="","",J1081&amp;"|"&amp;K1081)</f>
        <v/>
      </c>
      <c r="P1081" s="63">
        <f>IF($A1081="","",IF(COUNTIFS(예산_원본!$T$5:$T$3004,O1081,예산_원본!$B$5:$B$3004,설정!$C$8,예산_원본!$U$5:$U$3004,L1081)&gt;0,"Y","N"))</f>
        <v/>
      </c>
      <c r="Q1081" s="63">
        <f>IF($A1081="","",IF(COUNTIF(집계!$E$7:$E$506,O1081)&gt;0,"Y","N"))</f>
        <v/>
      </c>
    </row>
    <row r="1082">
      <c r="A1082" s="60" t="n">
        <v>2026</v>
      </c>
      <c r="B1082" s="60" t="n">
        <v>2</v>
      </c>
      <c r="C1082" s="60" t="inlineStr">
        <is>
          <t>1000</t>
        </is>
      </c>
      <c r="D1082" s="60" t="n">
        <v>1701</v>
      </c>
      <c r="E1082" s="60" t="inlineStr">
        <is>
          <t>IT운영</t>
        </is>
      </c>
      <c r="F1082" s="60" t="n">
        <v>62101000</v>
      </c>
      <c r="G1082" s="60" t="inlineStr">
        <is>
          <t>여비교통비-국내</t>
        </is>
      </c>
      <c r="H1082" s="61" t="n">
        <v>1122080</v>
      </c>
      <c r="J1082" s="63">
        <f>IF($A1082="","",IFERROR(INDEX(부서매핑!$C$5:$C$504,MATCH($D1082&amp;"",부서매핑!$A$5:$A$504,0)),"미매핑"))</f>
        <v/>
      </c>
      <c r="K1082" s="63">
        <f>IF($A1082="","",IFERROR(INDEX(계정매핑!$C$5:$C$504,MATCH($F1082&amp;"",계정매핑!$A$5:$A$504,0)),"미매핑"))</f>
        <v/>
      </c>
      <c r="L1082" s="4">
        <f>IF($A1082="","",VALUE($A1082&amp;""))</f>
        <v/>
      </c>
      <c r="M1082" s="4">
        <f>IF($A1082="","",VALUE($B1082&amp;""))</f>
        <v/>
      </c>
      <c r="N1082" s="64">
        <f>IF($A1082="","",$H1082*설정!$C$15)</f>
        <v/>
      </c>
      <c r="O1082" s="4">
        <f>IF($A1082="","",J1082&amp;"|"&amp;K1082)</f>
        <v/>
      </c>
      <c r="P1082" s="63">
        <f>IF($A1082="","",IF(COUNTIFS(예산_원본!$T$5:$T$3004,O1082,예산_원본!$B$5:$B$3004,설정!$C$8,예산_원본!$U$5:$U$3004,L1082)&gt;0,"Y","N"))</f>
        <v/>
      </c>
      <c r="Q1082" s="63">
        <f>IF($A1082="","",IF(COUNTIF(집계!$E$7:$E$506,O1082)&gt;0,"Y","N"))</f>
        <v/>
      </c>
    </row>
    <row r="1083">
      <c r="A1083" s="60" t="n">
        <v>2026</v>
      </c>
      <c r="B1083" s="60" t="n">
        <v>2</v>
      </c>
      <c r="C1083" s="60" t="inlineStr">
        <is>
          <t>1000</t>
        </is>
      </c>
      <c r="D1083" s="60" t="n">
        <v>1701</v>
      </c>
      <c r="E1083" s="60" t="inlineStr">
        <is>
          <t>IT운영</t>
        </is>
      </c>
      <c r="F1083" s="60" t="n">
        <v>62102000</v>
      </c>
      <c r="G1083" s="60" t="inlineStr">
        <is>
          <t>여비교통비-해외</t>
        </is>
      </c>
      <c r="H1083" s="61" t="n">
        <v>188920</v>
      </c>
      <c r="J1083" s="63">
        <f>IF($A1083="","",IFERROR(INDEX(부서매핑!$C$5:$C$504,MATCH($D1083&amp;"",부서매핑!$A$5:$A$504,0)),"미매핑"))</f>
        <v/>
      </c>
      <c r="K1083" s="63">
        <f>IF($A1083="","",IFERROR(INDEX(계정매핑!$C$5:$C$504,MATCH($F1083&amp;"",계정매핑!$A$5:$A$504,0)),"미매핑"))</f>
        <v/>
      </c>
      <c r="L1083" s="4">
        <f>IF($A1083="","",VALUE($A1083&amp;""))</f>
        <v/>
      </c>
      <c r="M1083" s="4">
        <f>IF($A1083="","",VALUE($B1083&amp;""))</f>
        <v/>
      </c>
      <c r="N1083" s="64">
        <f>IF($A1083="","",$H1083*설정!$C$15)</f>
        <v/>
      </c>
      <c r="O1083" s="4">
        <f>IF($A1083="","",J1083&amp;"|"&amp;K1083)</f>
        <v/>
      </c>
      <c r="P1083" s="63">
        <f>IF($A1083="","",IF(COUNTIFS(예산_원본!$T$5:$T$3004,O1083,예산_원본!$B$5:$B$3004,설정!$C$8,예산_원본!$U$5:$U$3004,L1083)&gt;0,"Y","N"))</f>
        <v/>
      </c>
      <c r="Q1083" s="63">
        <f>IF($A1083="","",IF(COUNTIF(집계!$E$7:$E$506,O1083)&gt;0,"Y","N"))</f>
        <v/>
      </c>
    </row>
    <row r="1084">
      <c r="A1084" s="60" t="n">
        <v>2026</v>
      </c>
      <c r="B1084" s="60" t="n">
        <v>2</v>
      </c>
      <c r="C1084" s="60" t="inlineStr">
        <is>
          <t>1000</t>
        </is>
      </c>
      <c r="D1084" s="60" t="n">
        <v>1701</v>
      </c>
      <c r="E1084" s="60" t="inlineStr">
        <is>
          <t>IT운영</t>
        </is>
      </c>
      <c r="F1084" s="60" t="n">
        <v>62201000</v>
      </c>
      <c r="G1084" s="60" t="inlineStr">
        <is>
          <t>통신비</t>
        </is>
      </c>
      <c r="H1084" s="61" t="n">
        <v>12890520</v>
      </c>
      <c r="J1084" s="63">
        <f>IF($A1084="","",IFERROR(INDEX(부서매핑!$C$5:$C$504,MATCH($D1084&amp;"",부서매핑!$A$5:$A$504,0)),"미매핑"))</f>
        <v/>
      </c>
      <c r="K1084" s="63">
        <f>IF($A1084="","",IFERROR(INDEX(계정매핑!$C$5:$C$504,MATCH($F1084&amp;"",계정매핑!$A$5:$A$504,0)),"미매핑"))</f>
        <v/>
      </c>
      <c r="L1084" s="4">
        <f>IF($A1084="","",VALUE($A1084&amp;""))</f>
        <v/>
      </c>
      <c r="M1084" s="4">
        <f>IF($A1084="","",VALUE($B1084&amp;""))</f>
        <v/>
      </c>
      <c r="N1084" s="64">
        <f>IF($A1084="","",$H1084*설정!$C$15)</f>
        <v/>
      </c>
      <c r="O1084" s="4">
        <f>IF($A1084="","",J1084&amp;"|"&amp;K1084)</f>
        <v/>
      </c>
      <c r="P1084" s="63">
        <f>IF($A1084="","",IF(COUNTIFS(예산_원본!$T$5:$T$3004,O1084,예산_원본!$B$5:$B$3004,설정!$C$8,예산_원본!$U$5:$U$3004,L1084)&gt;0,"Y","N"))</f>
        <v/>
      </c>
      <c r="Q1084" s="63">
        <f>IF($A1084="","",IF(COUNTIF(집계!$E$7:$E$506,O1084)&gt;0,"Y","N"))</f>
        <v/>
      </c>
    </row>
    <row r="1085">
      <c r="A1085" s="60" t="n">
        <v>2026</v>
      </c>
      <c r="B1085" s="60" t="n">
        <v>2</v>
      </c>
      <c r="C1085" s="60" t="inlineStr">
        <is>
          <t>1000</t>
        </is>
      </c>
      <c r="D1085" s="60" t="n">
        <v>1701</v>
      </c>
      <c r="E1085" s="60" t="inlineStr">
        <is>
          <t>IT운영</t>
        </is>
      </c>
      <c r="F1085" s="60" t="n">
        <v>62301000</v>
      </c>
      <c r="G1085" s="60" t="inlineStr">
        <is>
          <t>소모품비</t>
        </is>
      </c>
      <c r="H1085" s="61" t="n">
        <v>991060</v>
      </c>
      <c r="J1085" s="63">
        <f>IF($A1085="","",IFERROR(INDEX(부서매핑!$C$5:$C$504,MATCH($D1085&amp;"",부서매핑!$A$5:$A$504,0)),"미매핑"))</f>
        <v/>
      </c>
      <c r="K1085" s="63">
        <f>IF($A1085="","",IFERROR(INDEX(계정매핑!$C$5:$C$504,MATCH($F1085&amp;"",계정매핑!$A$5:$A$504,0)),"미매핑"))</f>
        <v/>
      </c>
      <c r="L1085" s="4">
        <f>IF($A1085="","",VALUE($A1085&amp;""))</f>
        <v/>
      </c>
      <c r="M1085" s="4">
        <f>IF($A1085="","",VALUE($B1085&amp;""))</f>
        <v/>
      </c>
      <c r="N1085" s="64">
        <f>IF($A1085="","",$H1085*설정!$C$15)</f>
        <v/>
      </c>
      <c r="O1085" s="4">
        <f>IF($A1085="","",J1085&amp;"|"&amp;K1085)</f>
        <v/>
      </c>
      <c r="P1085" s="63">
        <f>IF($A1085="","",IF(COUNTIFS(예산_원본!$T$5:$T$3004,O1085,예산_원본!$B$5:$B$3004,설정!$C$8,예산_원본!$U$5:$U$3004,L1085)&gt;0,"Y","N"))</f>
        <v/>
      </c>
      <c r="Q1085" s="63">
        <f>IF($A1085="","",IF(COUNTIF(집계!$E$7:$E$506,O1085)&gt;0,"Y","N"))</f>
        <v/>
      </c>
    </row>
    <row r="1086">
      <c r="A1086" s="60" t="n">
        <v>2026</v>
      </c>
      <c r="B1086" s="60" t="n">
        <v>2</v>
      </c>
      <c r="C1086" s="60" t="inlineStr">
        <is>
          <t>1000</t>
        </is>
      </c>
      <c r="D1086" s="60" t="n">
        <v>1701</v>
      </c>
      <c r="E1086" s="60" t="inlineStr">
        <is>
          <t>IT운영</t>
        </is>
      </c>
      <c r="F1086" s="60" t="n">
        <v>62501000</v>
      </c>
      <c r="G1086" s="60" t="inlineStr">
        <is>
          <t>회의비</t>
        </is>
      </c>
      <c r="H1086" s="61" t="n">
        <v>392340</v>
      </c>
      <c r="J1086" s="63">
        <f>IF($A1086="","",IFERROR(INDEX(부서매핑!$C$5:$C$504,MATCH($D1086&amp;"",부서매핑!$A$5:$A$504,0)),"미매핑"))</f>
        <v/>
      </c>
      <c r="K1086" s="63">
        <f>IF($A1086="","",IFERROR(INDEX(계정매핑!$C$5:$C$504,MATCH($F1086&amp;"",계정매핑!$A$5:$A$504,0)),"미매핑"))</f>
        <v/>
      </c>
      <c r="L1086" s="4">
        <f>IF($A1086="","",VALUE($A1086&amp;""))</f>
        <v/>
      </c>
      <c r="M1086" s="4">
        <f>IF($A1086="","",VALUE($B1086&amp;""))</f>
        <v/>
      </c>
      <c r="N1086" s="64">
        <f>IF($A1086="","",$H1086*설정!$C$15)</f>
        <v/>
      </c>
      <c r="O1086" s="4">
        <f>IF($A1086="","",J1086&amp;"|"&amp;K1086)</f>
        <v/>
      </c>
      <c r="P1086" s="63">
        <f>IF($A1086="","",IF(COUNTIFS(예산_원본!$T$5:$T$3004,O1086,예산_원본!$B$5:$B$3004,설정!$C$8,예산_원본!$U$5:$U$3004,L1086)&gt;0,"Y","N"))</f>
        <v/>
      </c>
      <c r="Q1086" s="63">
        <f>IF($A1086="","",IF(COUNTIF(집계!$E$7:$E$506,O1086)&gt;0,"Y","N"))</f>
        <v/>
      </c>
    </row>
    <row r="1087">
      <c r="A1087" s="60" t="n">
        <v>2026</v>
      </c>
      <c r="B1087" s="60" t="n">
        <v>2</v>
      </c>
      <c r="C1087" s="60" t="inlineStr">
        <is>
          <t>1000</t>
        </is>
      </c>
      <c r="D1087" s="60" t="n">
        <v>1701</v>
      </c>
      <c r="E1087" s="60" t="inlineStr">
        <is>
          <t>IT운영</t>
        </is>
      </c>
      <c r="F1087" s="60" t="n">
        <v>63001000</v>
      </c>
      <c r="G1087" s="60" t="inlineStr">
        <is>
          <t>전산운영비-SW유지보수</t>
        </is>
      </c>
      <c r="H1087" s="61" t="n">
        <v>112562010</v>
      </c>
      <c r="J1087" s="63">
        <f>IF($A1087="","",IFERROR(INDEX(부서매핑!$C$5:$C$504,MATCH($D1087&amp;"",부서매핑!$A$5:$A$504,0)),"미매핑"))</f>
        <v/>
      </c>
      <c r="K1087" s="63">
        <f>IF($A1087="","",IFERROR(INDEX(계정매핑!$C$5:$C$504,MATCH($F1087&amp;"",계정매핑!$A$5:$A$504,0)),"미매핑"))</f>
        <v/>
      </c>
      <c r="L1087" s="4">
        <f>IF($A1087="","",VALUE($A1087&amp;""))</f>
        <v/>
      </c>
      <c r="M1087" s="4">
        <f>IF($A1087="","",VALUE($B1087&amp;""))</f>
        <v/>
      </c>
      <c r="N1087" s="64">
        <f>IF($A1087="","",$H1087*설정!$C$15)</f>
        <v/>
      </c>
      <c r="O1087" s="4">
        <f>IF($A1087="","",J1087&amp;"|"&amp;K1087)</f>
        <v/>
      </c>
      <c r="P1087" s="63">
        <f>IF($A1087="","",IF(COUNTIFS(예산_원본!$T$5:$T$3004,O1087,예산_원본!$B$5:$B$3004,설정!$C$8,예산_원본!$U$5:$U$3004,L1087)&gt;0,"Y","N"))</f>
        <v/>
      </c>
      <c r="Q1087" s="63">
        <f>IF($A1087="","",IF(COUNTIF(집계!$E$7:$E$506,O1087)&gt;0,"Y","N"))</f>
        <v/>
      </c>
    </row>
    <row r="1088">
      <c r="A1088" s="60" t="n">
        <v>2026</v>
      </c>
      <c r="B1088" s="60" t="n">
        <v>2</v>
      </c>
      <c r="C1088" s="60" t="inlineStr">
        <is>
          <t>1000</t>
        </is>
      </c>
      <c r="D1088" s="60" t="n">
        <v>1701</v>
      </c>
      <c r="E1088" s="60" t="inlineStr">
        <is>
          <t>IT운영</t>
        </is>
      </c>
      <c r="F1088" s="60" t="n">
        <v>63002000</v>
      </c>
      <c r="G1088" s="60" t="inlineStr">
        <is>
          <t>전산운영비-클라우드</t>
        </is>
      </c>
      <c r="H1088" s="61" t="n">
        <v>103426480</v>
      </c>
      <c r="J1088" s="63">
        <f>IF($A1088="","",IFERROR(INDEX(부서매핑!$C$5:$C$504,MATCH($D1088&amp;"",부서매핑!$A$5:$A$504,0)),"미매핑"))</f>
        <v/>
      </c>
      <c r="K1088" s="63">
        <f>IF($A1088="","",IFERROR(INDEX(계정매핑!$C$5:$C$504,MATCH($F1088&amp;"",계정매핑!$A$5:$A$504,0)),"미매핑"))</f>
        <v/>
      </c>
      <c r="L1088" s="4">
        <f>IF($A1088="","",VALUE($A1088&amp;""))</f>
        <v/>
      </c>
      <c r="M1088" s="4">
        <f>IF($A1088="","",VALUE($B1088&amp;""))</f>
        <v/>
      </c>
      <c r="N1088" s="64">
        <f>IF($A1088="","",$H1088*설정!$C$15)</f>
        <v/>
      </c>
      <c r="O1088" s="4">
        <f>IF($A1088="","",J1088&amp;"|"&amp;K1088)</f>
        <v/>
      </c>
      <c r="P1088" s="63">
        <f>IF($A1088="","",IF(COUNTIFS(예산_원본!$T$5:$T$3004,O1088,예산_원본!$B$5:$B$3004,설정!$C$8,예산_원본!$U$5:$U$3004,L1088)&gt;0,"Y","N"))</f>
        <v/>
      </c>
      <c r="Q1088" s="63">
        <f>IF($A1088="","",IF(COUNTIF(집계!$E$7:$E$506,O1088)&gt;0,"Y","N"))</f>
        <v/>
      </c>
    </row>
    <row r="1089">
      <c r="A1089" s="60" t="n">
        <v>2026</v>
      </c>
      <c r="B1089" s="60" t="n">
        <v>2</v>
      </c>
      <c r="C1089" s="60" t="inlineStr">
        <is>
          <t>1000</t>
        </is>
      </c>
      <c r="D1089" s="60" t="n">
        <v>1801</v>
      </c>
      <c r="E1089" s="60" t="inlineStr">
        <is>
          <t>고객서비스</t>
        </is>
      </c>
      <c r="F1089" s="60" t="n">
        <v>62101000</v>
      </c>
      <c r="G1089" s="60" t="inlineStr">
        <is>
          <t>여비교통비-국내</t>
        </is>
      </c>
      <c r="H1089" s="61" t="n">
        <v>891010</v>
      </c>
      <c r="J1089" s="63">
        <f>IF($A1089="","",IFERROR(INDEX(부서매핑!$C$5:$C$504,MATCH($D1089&amp;"",부서매핑!$A$5:$A$504,0)),"미매핑"))</f>
        <v/>
      </c>
      <c r="K1089" s="63">
        <f>IF($A1089="","",IFERROR(INDEX(계정매핑!$C$5:$C$504,MATCH($F1089&amp;"",계정매핑!$A$5:$A$504,0)),"미매핑"))</f>
        <v/>
      </c>
      <c r="L1089" s="4">
        <f>IF($A1089="","",VALUE($A1089&amp;""))</f>
        <v/>
      </c>
      <c r="M1089" s="4">
        <f>IF($A1089="","",VALUE($B1089&amp;""))</f>
        <v/>
      </c>
      <c r="N1089" s="64">
        <f>IF($A1089="","",$H1089*설정!$C$15)</f>
        <v/>
      </c>
      <c r="O1089" s="4">
        <f>IF($A1089="","",J1089&amp;"|"&amp;K1089)</f>
        <v/>
      </c>
      <c r="P1089" s="63">
        <f>IF($A1089="","",IF(COUNTIFS(예산_원본!$T$5:$T$3004,O1089,예산_원본!$B$5:$B$3004,설정!$C$8,예산_원본!$U$5:$U$3004,L1089)&gt;0,"Y","N"))</f>
        <v/>
      </c>
      <c r="Q1089" s="63">
        <f>IF($A1089="","",IF(COUNTIF(집계!$E$7:$E$506,O1089)&gt;0,"Y","N"))</f>
        <v/>
      </c>
    </row>
    <row r="1090">
      <c r="A1090" s="60" t="n">
        <v>2026</v>
      </c>
      <c r="B1090" s="60" t="n">
        <v>2</v>
      </c>
      <c r="C1090" s="60" t="inlineStr">
        <is>
          <t>1000</t>
        </is>
      </c>
      <c r="D1090" s="60" t="n">
        <v>1801</v>
      </c>
      <c r="E1090" s="60" t="inlineStr">
        <is>
          <t>고객서비스</t>
        </is>
      </c>
      <c r="F1090" s="60" t="n">
        <v>62102000</v>
      </c>
      <c r="G1090" s="60" t="inlineStr">
        <is>
          <t>여비교통비-해외</t>
        </is>
      </c>
      <c r="H1090" s="61" t="n">
        <v>159620</v>
      </c>
      <c r="J1090" s="63">
        <f>IF($A1090="","",IFERROR(INDEX(부서매핑!$C$5:$C$504,MATCH($D1090&amp;"",부서매핑!$A$5:$A$504,0)),"미매핑"))</f>
        <v/>
      </c>
      <c r="K1090" s="63">
        <f>IF($A1090="","",IFERROR(INDEX(계정매핑!$C$5:$C$504,MATCH($F1090&amp;"",계정매핑!$A$5:$A$504,0)),"미매핑"))</f>
        <v/>
      </c>
      <c r="L1090" s="4">
        <f>IF($A1090="","",VALUE($A1090&amp;""))</f>
        <v/>
      </c>
      <c r="M1090" s="4">
        <f>IF($A1090="","",VALUE($B1090&amp;""))</f>
        <v/>
      </c>
      <c r="N1090" s="64">
        <f>IF($A1090="","",$H1090*설정!$C$15)</f>
        <v/>
      </c>
      <c r="O1090" s="4">
        <f>IF($A1090="","",J1090&amp;"|"&amp;K1090)</f>
        <v/>
      </c>
      <c r="P1090" s="63">
        <f>IF($A1090="","",IF(COUNTIFS(예산_원본!$T$5:$T$3004,O1090,예산_원본!$B$5:$B$3004,설정!$C$8,예산_원본!$U$5:$U$3004,L1090)&gt;0,"Y","N"))</f>
        <v/>
      </c>
      <c r="Q1090" s="63">
        <f>IF($A1090="","",IF(COUNTIF(집계!$E$7:$E$506,O1090)&gt;0,"Y","N"))</f>
        <v/>
      </c>
    </row>
    <row r="1091">
      <c r="A1091" s="60" t="n">
        <v>2026</v>
      </c>
      <c r="B1091" s="60" t="n">
        <v>2</v>
      </c>
      <c r="C1091" s="60" t="inlineStr">
        <is>
          <t>1000</t>
        </is>
      </c>
      <c r="D1091" s="60" t="n">
        <v>1801</v>
      </c>
      <c r="E1091" s="60" t="inlineStr">
        <is>
          <t>고객서비스</t>
        </is>
      </c>
      <c r="F1091" s="60" t="n">
        <v>62201000</v>
      </c>
      <c r="G1091" s="60" t="inlineStr">
        <is>
          <t>통신비</t>
        </is>
      </c>
      <c r="H1091" s="61" t="n">
        <v>16906140</v>
      </c>
      <c r="J1091" s="63">
        <f>IF($A1091="","",IFERROR(INDEX(부서매핑!$C$5:$C$504,MATCH($D1091&amp;"",부서매핑!$A$5:$A$504,0)),"미매핑"))</f>
        <v/>
      </c>
      <c r="K1091" s="63">
        <f>IF($A1091="","",IFERROR(INDEX(계정매핑!$C$5:$C$504,MATCH($F1091&amp;"",계정매핑!$A$5:$A$504,0)),"미매핑"))</f>
        <v/>
      </c>
      <c r="L1091" s="4">
        <f>IF($A1091="","",VALUE($A1091&amp;""))</f>
        <v/>
      </c>
      <c r="M1091" s="4">
        <f>IF($A1091="","",VALUE($B1091&amp;""))</f>
        <v/>
      </c>
      <c r="N1091" s="64">
        <f>IF($A1091="","",$H1091*설정!$C$15)</f>
        <v/>
      </c>
      <c r="O1091" s="4">
        <f>IF($A1091="","",J1091&amp;"|"&amp;K1091)</f>
        <v/>
      </c>
      <c r="P1091" s="63">
        <f>IF($A1091="","",IF(COUNTIFS(예산_원본!$T$5:$T$3004,O1091,예산_원본!$B$5:$B$3004,설정!$C$8,예산_원본!$U$5:$U$3004,L1091)&gt;0,"Y","N"))</f>
        <v/>
      </c>
      <c r="Q1091" s="63">
        <f>IF($A1091="","",IF(COUNTIF(집계!$E$7:$E$506,O1091)&gt;0,"Y","N"))</f>
        <v/>
      </c>
    </row>
    <row r="1092">
      <c r="A1092" s="60" t="n">
        <v>2026</v>
      </c>
      <c r="B1092" s="60" t="n">
        <v>2</v>
      </c>
      <c r="C1092" s="60" t="inlineStr">
        <is>
          <t>1000</t>
        </is>
      </c>
      <c r="D1092" s="60" t="n">
        <v>1801</v>
      </c>
      <c r="E1092" s="60" t="inlineStr">
        <is>
          <t>고객서비스</t>
        </is>
      </c>
      <c r="F1092" s="60" t="n">
        <v>62301000</v>
      </c>
      <c r="G1092" s="60" t="inlineStr">
        <is>
          <t>소모품비</t>
        </is>
      </c>
      <c r="H1092" s="61" t="n">
        <v>1479810</v>
      </c>
      <c r="J1092" s="63">
        <f>IF($A1092="","",IFERROR(INDEX(부서매핑!$C$5:$C$504,MATCH($D1092&amp;"",부서매핑!$A$5:$A$504,0)),"미매핑"))</f>
        <v/>
      </c>
      <c r="K1092" s="63">
        <f>IF($A1092="","",IFERROR(INDEX(계정매핑!$C$5:$C$504,MATCH($F1092&amp;"",계정매핑!$A$5:$A$504,0)),"미매핑"))</f>
        <v/>
      </c>
      <c r="L1092" s="4">
        <f>IF($A1092="","",VALUE($A1092&amp;""))</f>
        <v/>
      </c>
      <c r="M1092" s="4">
        <f>IF($A1092="","",VALUE($B1092&amp;""))</f>
        <v/>
      </c>
      <c r="N1092" s="64">
        <f>IF($A1092="","",$H1092*설정!$C$15)</f>
        <v/>
      </c>
      <c r="O1092" s="4">
        <f>IF($A1092="","",J1092&amp;"|"&amp;K1092)</f>
        <v/>
      </c>
      <c r="P1092" s="63">
        <f>IF($A1092="","",IF(COUNTIFS(예산_원본!$T$5:$T$3004,O1092,예산_원본!$B$5:$B$3004,설정!$C$8,예산_원본!$U$5:$U$3004,L1092)&gt;0,"Y","N"))</f>
        <v/>
      </c>
      <c r="Q1092" s="63">
        <f>IF($A1092="","",IF(COUNTIF(집계!$E$7:$E$506,O1092)&gt;0,"Y","N"))</f>
        <v/>
      </c>
    </row>
    <row r="1093">
      <c r="A1093" s="60" t="n">
        <v>2026</v>
      </c>
      <c r="B1093" s="60" t="n">
        <v>2</v>
      </c>
      <c r="C1093" s="60" t="inlineStr">
        <is>
          <t>1000</t>
        </is>
      </c>
      <c r="D1093" s="60" t="n">
        <v>1801</v>
      </c>
      <c r="E1093" s="60" t="inlineStr">
        <is>
          <t>고객서비스</t>
        </is>
      </c>
      <c r="F1093" s="60" t="n">
        <v>62401000</v>
      </c>
      <c r="G1093" s="60" t="inlineStr">
        <is>
          <t>도서인쇄비</t>
        </is>
      </c>
      <c r="H1093" s="61" t="n">
        <v>8976110</v>
      </c>
      <c r="J1093" s="63">
        <f>IF($A1093="","",IFERROR(INDEX(부서매핑!$C$5:$C$504,MATCH($D1093&amp;"",부서매핑!$A$5:$A$504,0)),"미매핑"))</f>
        <v/>
      </c>
      <c r="K1093" s="63">
        <f>IF($A1093="","",IFERROR(INDEX(계정매핑!$C$5:$C$504,MATCH($F1093&amp;"",계정매핑!$A$5:$A$504,0)),"미매핑"))</f>
        <v/>
      </c>
      <c r="L1093" s="4">
        <f>IF($A1093="","",VALUE($A1093&amp;""))</f>
        <v/>
      </c>
      <c r="M1093" s="4">
        <f>IF($A1093="","",VALUE($B1093&amp;""))</f>
        <v/>
      </c>
      <c r="N1093" s="64">
        <f>IF($A1093="","",$H1093*설정!$C$15)</f>
        <v/>
      </c>
      <c r="O1093" s="4">
        <f>IF($A1093="","",J1093&amp;"|"&amp;K1093)</f>
        <v/>
      </c>
      <c r="P1093" s="63">
        <f>IF($A1093="","",IF(COUNTIFS(예산_원본!$T$5:$T$3004,O1093,예산_원본!$B$5:$B$3004,설정!$C$8,예산_원본!$U$5:$U$3004,L1093)&gt;0,"Y","N"))</f>
        <v/>
      </c>
      <c r="Q1093" s="63">
        <f>IF($A1093="","",IF(COUNTIF(집계!$E$7:$E$506,O1093)&gt;0,"Y","N"))</f>
        <v/>
      </c>
    </row>
    <row r="1094">
      <c r="A1094" s="60" t="n">
        <v>2026</v>
      </c>
      <c r="B1094" s="60" t="n">
        <v>2</v>
      </c>
      <c r="C1094" s="60" t="inlineStr">
        <is>
          <t>1000</t>
        </is>
      </c>
      <c r="D1094" s="60" t="n">
        <v>1801</v>
      </c>
      <c r="E1094" s="60" t="inlineStr">
        <is>
          <t>고객서비스</t>
        </is>
      </c>
      <c r="F1094" s="60" t="n">
        <v>62501000</v>
      </c>
      <c r="G1094" s="60" t="inlineStr">
        <is>
          <t>회의비</t>
        </is>
      </c>
      <c r="H1094" s="61" t="n">
        <v>420920</v>
      </c>
      <c r="J1094" s="63">
        <f>IF($A1094="","",IFERROR(INDEX(부서매핑!$C$5:$C$504,MATCH($D1094&amp;"",부서매핑!$A$5:$A$504,0)),"미매핑"))</f>
        <v/>
      </c>
      <c r="K1094" s="63">
        <f>IF($A1094="","",IFERROR(INDEX(계정매핑!$C$5:$C$504,MATCH($F1094&amp;"",계정매핑!$A$5:$A$504,0)),"미매핑"))</f>
        <v/>
      </c>
      <c r="L1094" s="4">
        <f>IF($A1094="","",VALUE($A1094&amp;""))</f>
        <v/>
      </c>
      <c r="M1094" s="4">
        <f>IF($A1094="","",VALUE($B1094&amp;""))</f>
        <v/>
      </c>
      <c r="N1094" s="64">
        <f>IF($A1094="","",$H1094*설정!$C$15)</f>
        <v/>
      </c>
      <c r="O1094" s="4">
        <f>IF($A1094="","",J1094&amp;"|"&amp;K1094)</f>
        <v/>
      </c>
      <c r="P1094" s="63">
        <f>IF($A1094="","",IF(COUNTIFS(예산_원본!$T$5:$T$3004,O1094,예산_원본!$B$5:$B$3004,설정!$C$8,예산_원본!$U$5:$U$3004,L1094)&gt;0,"Y","N"))</f>
        <v/>
      </c>
      <c r="Q1094" s="63">
        <f>IF($A1094="","",IF(COUNTIF(집계!$E$7:$E$506,O1094)&gt;0,"Y","N"))</f>
        <v/>
      </c>
    </row>
    <row r="1095">
      <c r="A1095" s="60" t="n">
        <v>2026</v>
      </c>
      <c r="B1095" s="60" t="n">
        <v>2</v>
      </c>
      <c r="C1095" s="60" t="inlineStr">
        <is>
          <t>1000</t>
        </is>
      </c>
      <c r="D1095" s="60" t="n">
        <v>1801</v>
      </c>
      <c r="E1095" s="60" t="inlineStr">
        <is>
          <t>고객서비스</t>
        </is>
      </c>
      <c r="F1095" s="60" t="n">
        <v>62901000</v>
      </c>
      <c r="G1095" s="60" t="inlineStr">
        <is>
          <t>지급수수료-컨설팅</t>
        </is>
      </c>
      <c r="H1095" s="61" t="n">
        <v>33391320</v>
      </c>
      <c r="J1095" s="63">
        <f>IF($A1095="","",IFERROR(INDEX(부서매핑!$C$5:$C$504,MATCH($D1095&amp;"",부서매핑!$A$5:$A$504,0)),"미매핑"))</f>
        <v/>
      </c>
      <c r="K1095" s="63">
        <f>IF($A1095="","",IFERROR(INDEX(계정매핑!$C$5:$C$504,MATCH($F1095&amp;"",계정매핑!$A$5:$A$504,0)),"미매핑"))</f>
        <v/>
      </c>
      <c r="L1095" s="4">
        <f>IF($A1095="","",VALUE($A1095&amp;""))</f>
        <v/>
      </c>
      <c r="M1095" s="4">
        <f>IF($A1095="","",VALUE($B1095&amp;""))</f>
        <v/>
      </c>
      <c r="N1095" s="64">
        <f>IF($A1095="","",$H1095*설정!$C$15)</f>
        <v/>
      </c>
      <c r="O1095" s="4">
        <f>IF($A1095="","",J1095&amp;"|"&amp;K1095)</f>
        <v/>
      </c>
      <c r="P1095" s="63">
        <f>IF($A1095="","",IF(COUNTIFS(예산_원본!$T$5:$T$3004,O1095,예산_원본!$B$5:$B$3004,설정!$C$8,예산_원본!$U$5:$U$3004,L1095)&gt;0,"Y","N"))</f>
        <v/>
      </c>
      <c r="Q1095" s="63">
        <f>IF($A1095="","",IF(COUNTIF(집계!$E$7:$E$506,O1095)&gt;0,"Y","N"))</f>
        <v/>
      </c>
    </row>
    <row r="1096">
      <c r="A1096" s="60" t="n">
        <v>2026</v>
      </c>
      <c r="B1096" s="60" t="n">
        <v>2</v>
      </c>
      <c r="C1096" s="60" t="inlineStr">
        <is>
          <t>1000</t>
        </is>
      </c>
      <c r="D1096" s="60" t="n">
        <v>1801</v>
      </c>
      <c r="E1096" s="60" t="inlineStr">
        <is>
          <t>고객서비스</t>
        </is>
      </c>
      <c r="F1096" s="60" t="n">
        <v>62902000</v>
      </c>
      <c r="G1096" s="60" t="inlineStr">
        <is>
          <t>지급수수료-기타</t>
        </is>
      </c>
      <c r="H1096" s="61" t="n">
        <v>14245860</v>
      </c>
      <c r="J1096" s="63">
        <f>IF($A1096="","",IFERROR(INDEX(부서매핑!$C$5:$C$504,MATCH($D1096&amp;"",부서매핑!$A$5:$A$504,0)),"미매핑"))</f>
        <v/>
      </c>
      <c r="K1096" s="63">
        <f>IF($A1096="","",IFERROR(INDEX(계정매핑!$C$5:$C$504,MATCH($F1096&amp;"",계정매핑!$A$5:$A$504,0)),"미매핑"))</f>
        <v/>
      </c>
      <c r="L1096" s="4">
        <f>IF($A1096="","",VALUE($A1096&amp;""))</f>
        <v/>
      </c>
      <c r="M1096" s="4">
        <f>IF($A1096="","",VALUE($B1096&amp;""))</f>
        <v/>
      </c>
      <c r="N1096" s="64">
        <f>IF($A1096="","",$H1096*설정!$C$15)</f>
        <v/>
      </c>
      <c r="O1096" s="4">
        <f>IF($A1096="","",J1096&amp;"|"&amp;K1096)</f>
        <v/>
      </c>
      <c r="P1096" s="63">
        <f>IF($A1096="","",IF(COUNTIFS(예산_원본!$T$5:$T$3004,O1096,예산_원본!$B$5:$B$3004,설정!$C$8,예산_원본!$U$5:$U$3004,L1096)&gt;0,"Y","N"))</f>
        <v/>
      </c>
      <c r="Q1096" s="63">
        <f>IF($A1096="","",IF(COUNTIF(집계!$E$7:$E$506,O1096)&gt;0,"Y","N"))</f>
        <v/>
      </c>
    </row>
    <row r="1097">
      <c r="A1097" s="60" t="n">
        <v>2026</v>
      </c>
      <c r="B1097" s="60" t="n">
        <v>3</v>
      </c>
      <c r="C1097" s="60" t="inlineStr">
        <is>
          <t>1000</t>
        </is>
      </c>
      <c r="D1097" s="60" t="n">
        <v>1101</v>
      </c>
      <c r="E1097" s="60" t="inlineStr">
        <is>
          <t>경영기획</t>
        </is>
      </c>
      <c r="F1097" s="60" t="n">
        <v>62101000</v>
      </c>
      <c r="G1097" s="60" t="inlineStr">
        <is>
          <t>여비교통비-국내</t>
        </is>
      </c>
      <c r="H1097" s="61" t="n">
        <v>2299400</v>
      </c>
      <c r="J1097" s="63">
        <f>IF($A1097="","",IFERROR(INDEX(부서매핑!$C$5:$C$504,MATCH($D1097&amp;"",부서매핑!$A$5:$A$504,0)),"미매핑"))</f>
        <v/>
      </c>
      <c r="K1097" s="63">
        <f>IF($A1097="","",IFERROR(INDEX(계정매핑!$C$5:$C$504,MATCH($F1097&amp;"",계정매핑!$A$5:$A$504,0)),"미매핑"))</f>
        <v/>
      </c>
      <c r="L1097" s="4">
        <f>IF($A1097="","",VALUE($A1097&amp;""))</f>
        <v/>
      </c>
      <c r="M1097" s="4">
        <f>IF($A1097="","",VALUE($B1097&amp;""))</f>
        <v/>
      </c>
      <c r="N1097" s="64">
        <f>IF($A1097="","",$H1097*설정!$C$15)</f>
        <v/>
      </c>
      <c r="O1097" s="4">
        <f>IF($A1097="","",J1097&amp;"|"&amp;K1097)</f>
        <v/>
      </c>
      <c r="P1097" s="63">
        <f>IF($A1097="","",IF(COUNTIFS(예산_원본!$T$5:$T$3004,O1097,예산_원본!$B$5:$B$3004,설정!$C$8,예산_원본!$U$5:$U$3004,L1097)&gt;0,"Y","N"))</f>
        <v/>
      </c>
      <c r="Q1097" s="63">
        <f>IF($A1097="","",IF(COUNTIF(집계!$E$7:$E$506,O1097)&gt;0,"Y","N"))</f>
        <v/>
      </c>
    </row>
    <row r="1098">
      <c r="A1098" s="60" t="n">
        <v>2026</v>
      </c>
      <c r="B1098" s="60" t="n">
        <v>3</v>
      </c>
      <c r="C1098" s="60" t="inlineStr">
        <is>
          <t>1000</t>
        </is>
      </c>
      <c r="D1098" s="60" t="n">
        <v>1101</v>
      </c>
      <c r="E1098" s="60" t="inlineStr">
        <is>
          <t>경영기획</t>
        </is>
      </c>
      <c r="F1098" s="60" t="n">
        <v>62102000</v>
      </c>
      <c r="G1098" s="60" t="inlineStr">
        <is>
          <t>여비교통비-해외</t>
        </is>
      </c>
      <c r="H1098" s="61" t="n">
        <v>401840</v>
      </c>
      <c r="J1098" s="63">
        <f>IF($A1098="","",IFERROR(INDEX(부서매핑!$C$5:$C$504,MATCH($D1098&amp;"",부서매핑!$A$5:$A$504,0)),"미매핑"))</f>
        <v/>
      </c>
      <c r="K1098" s="63">
        <f>IF($A1098="","",IFERROR(INDEX(계정매핑!$C$5:$C$504,MATCH($F1098&amp;"",계정매핑!$A$5:$A$504,0)),"미매핑"))</f>
        <v/>
      </c>
      <c r="L1098" s="4">
        <f>IF($A1098="","",VALUE($A1098&amp;""))</f>
        <v/>
      </c>
      <c r="M1098" s="4">
        <f>IF($A1098="","",VALUE($B1098&amp;""))</f>
        <v/>
      </c>
      <c r="N1098" s="64">
        <f>IF($A1098="","",$H1098*설정!$C$15)</f>
        <v/>
      </c>
      <c r="O1098" s="4">
        <f>IF($A1098="","",J1098&amp;"|"&amp;K1098)</f>
        <v/>
      </c>
      <c r="P1098" s="63">
        <f>IF($A1098="","",IF(COUNTIFS(예산_원본!$T$5:$T$3004,O1098,예산_원본!$B$5:$B$3004,설정!$C$8,예산_원본!$U$5:$U$3004,L1098)&gt;0,"Y","N"))</f>
        <v/>
      </c>
      <c r="Q1098" s="63">
        <f>IF($A1098="","",IF(COUNTIF(집계!$E$7:$E$506,O1098)&gt;0,"Y","N"))</f>
        <v/>
      </c>
    </row>
    <row r="1099">
      <c r="A1099" s="60" t="n">
        <v>2026</v>
      </c>
      <c r="B1099" s="60" t="n">
        <v>3</v>
      </c>
      <c r="C1099" s="60" t="inlineStr">
        <is>
          <t>1000</t>
        </is>
      </c>
      <c r="D1099" s="60" t="n">
        <v>1101</v>
      </c>
      <c r="E1099" s="60" t="inlineStr">
        <is>
          <t>경영기획</t>
        </is>
      </c>
      <c r="F1099" s="60" t="n">
        <v>62201000</v>
      </c>
      <c r="G1099" s="60" t="inlineStr">
        <is>
          <t>통신비</t>
        </is>
      </c>
      <c r="H1099" s="61" t="n">
        <v>739180</v>
      </c>
      <c r="J1099" s="63">
        <f>IF($A1099="","",IFERROR(INDEX(부서매핑!$C$5:$C$504,MATCH($D1099&amp;"",부서매핑!$A$5:$A$504,0)),"미매핑"))</f>
        <v/>
      </c>
      <c r="K1099" s="63">
        <f>IF($A1099="","",IFERROR(INDEX(계정매핑!$C$5:$C$504,MATCH($F1099&amp;"",계정매핑!$A$5:$A$504,0)),"미매핑"))</f>
        <v/>
      </c>
      <c r="L1099" s="4">
        <f>IF($A1099="","",VALUE($A1099&amp;""))</f>
        <v/>
      </c>
      <c r="M1099" s="4">
        <f>IF($A1099="","",VALUE($B1099&amp;""))</f>
        <v/>
      </c>
      <c r="N1099" s="64">
        <f>IF($A1099="","",$H1099*설정!$C$15)</f>
        <v/>
      </c>
      <c r="O1099" s="4">
        <f>IF($A1099="","",J1099&amp;"|"&amp;K1099)</f>
        <v/>
      </c>
      <c r="P1099" s="63">
        <f>IF($A1099="","",IF(COUNTIFS(예산_원본!$T$5:$T$3004,O1099,예산_원본!$B$5:$B$3004,설정!$C$8,예산_원본!$U$5:$U$3004,L1099)&gt;0,"Y","N"))</f>
        <v/>
      </c>
      <c r="Q1099" s="63">
        <f>IF($A1099="","",IF(COUNTIF(집계!$E$7:$E$506,O1099)&gt;0,"Y","N"))</f>
        <v/>
      </c>
    </row>
    <row r="1100">
      <c r="A1100" s="60" t="n">
        <v>2026</v>
      </c>
      <c r="B1100" s="60" t="n">
        <v>3</v>
      </c>
      <c r="C1100" s="60" t="inlineStr">
        <is>
          <t>1000</t>
        </is>
      </c>
      <c r="D1100" s="60" t="n">
        <v>1101</v>
      </c>
      <c r="E1100" s="60" t="inlineStr">
        <is>
          <t>경영기획</t>
        </is>
      </c>
      <c r="F1100" s="60" t="n">
        <v>62301000</v>
      </c>
      <c r="G1100" s="60" t="inlineStr">
        <is>
          <t>소모품비</t>
        </is>
      </c>
      <c r="H1100" s="61" t="n">
        <v>457940</v>
      </c>
      <c r="J1100" s="63">
        <f>IF($A1100="","",IFERROR(INDEX(부서매핑!$C$5:$C$504,MATCH($D1100&amp;"",부서매핑!$A$5:$A$504,0)),"미매핑"))</f>
        <v/>
      </c>
      <c r="K1100" s="63">
        <f>IF($A1100="","",IFERROR(INDEX(계정매핑!$C$5:$C$504,MATCH($F1100&amp;"",계정매핑!$A$5:$A$504,0)),"미매핑"))</f>
        <v/>
      </c>
      <c r="L1100" s="4">
        <f>IF($A1100="","",VALUE($A1100&amp;""))</f>
        <v/>
      </c>
      <c r="M1100" s="4">
        <f>IF($A1100="","",VALUE($B1100&amp;""))</f>
        <v/>
      </c>
      <c r="N1100" s="64">
        <f>IF($A1100="","",$H1100*설정!$C$15)</f>
        <v/>
      </c>
      <c r="O1100" s="4">
        <f>IF($A1100="","",J1100&amp;"|"&amp;K1100)</f>
        <v/>
      </c>
      <c r="P1100" s="63">
        <f>IF($A1100="","",IF(COUNTIFS(예산_원본!$T$5:$T$3004,O1100,예산_원본!$B$5:$B$3004,설정!$C$8,예산_원본!$U$5:$U$3004,L1100)&gt;0,"Y","N"))</f>
        <v/>
      </c>
      <c r="Q1100" s="63">
        <f>IF($A1100="","",IF(COUNTIF(집계!$E$7:$E$506,O1100)&gt;0,"Y","N"))</f>
        <v/>
      </c>
    </row>
    <row r="1101">
      <c r="A1101" s="60" t="n">
        <v>2026</v>
      </c>
      <c r="B1101" s="60" t="n">
        <v>3</v>
      </c>
      <c r="C1101" s="60" t="inlineStr">
        <is>
          <t>1000</t>
        </is>
      </c>
      <c r="D1101" s="60" t="n">
        <v>1101</v>
      </c>
      <c r="E1101" s="60" t="inlineStr">
        <is>
          <t>경영기획</t>
        </is>
      </c>
      <c r="F1101" s="60" t="n">
        <v>62501000</v>
      </c>
      <c r="G1101" s="60" t="inlineStr">
        <is>
          <t>회의비</t>
        </is>
      </c>
      <c r="H1101" s="61" t="n">
        <v>1183310</v>
      </c>
      <c r="J1101" s="63">
        <f>IF($A1101="","",IFERROR(INDEX(부서매핑!$C$5:$C$504,MATCH($D1101&amp;"",부서매핑!$A$5:$A$504,0)),"미매핑"))</f>
        <v/>
      </c>
      <c r="K1101" s="63">
        <f>IF($A1101="","",IFERROR(INDEX(계정매핑!$C$5:$C$504,MATCH($F1101&amp;"",계정매핑!$A$5:$A$504,0)),"미매핑"))</f>
        <v/>
      </c>
      <c r="L1101" s="4">
        <f>IF($A1101="","",VALUE($A1101&amp;""))</f>
        <v/>
      </c>
      <c r="M1101" s="4">
        <f>IF($A1101="","",VALUE($B1101&amp;""))</f>
        <v/>
      </c>
      <c r="N1101" s="64">
        <f>IF($A1101="","",$H1101*설정!$C$15)</f>
        <v/>
      </c>
      <c r="O1101" s="4">
        <f>IF($A1101="","",J1101&amp;"|"&amp;K1101)</f>
        <v/>
      </c>
      <c r="P1101" s="63">
        <f>IF($A1101="","",IF(COUNTIFS(예산_원본!$T$5:$T$3004,O1101,예산_원본!$B$5:$B$3004,설정!$C$8,예산_원본!$U$5:$U$3004,L1101)&gt;0,"Y","N"))</f>
        <v/>
      </c>
      <c r="Q1101" s="63">
        <f>IF($A1101="","",IF(COUNTIF(집계!$E$7:$E$506,O1101)&gt;0,"Y","N"))</f>
        <v/>
      </c>
    </row>
    <row r="1102">
      <c r="A1102" s="60" t="n">
        <v>2026</v>
      </c>
      <c r="B1102" s="60" t="n">
        <v>3</v>
      </c>
      <c r="C1102" s="60" t="inlineStr">
        <is>
          <t>1000</t>
        </is>
      </c>
      <c r="D1102" s="60" t="n">
        <v>1101</v>
      </c>
      <c r="E1102" s="60" t="inlineStr">
        <is>
          <t>경영기획</t>
        </is>
      </c>
      <c r="F1102" s="60" t="n">
        <v>62601000</v>
      </c>
      <c r="G1102" s="60" t="inlineStr">
        <is>
          <t>업무추진비</t>
        </is>
      </c>
      <c r="H1102" s="61" t="n">
        <v>3656450</v>
      </c>
      <c r="J1102" s="63">
        <f>IF($A1102="","",IFERROR(INDEX(부서매핑!$C$5:$C$504,MATCH($D1102&amp;"",부서매핑!$A$5:$A$504,0)),"미매핑"))</f>
        <v/>
      </c>
      <c r="K1102" s="63">
        <f>IF($A1102="","",IFERROR(INDEX(계정매핑!$C$5:$C$504,MATCH($F1102&amp;"",계정매핑!$A$5:$A$504,0)),"미매핑"))</f>
        <v/>
      </c>
      <c r="L1102" s="4">
        <f>IF($A1102="","",VALUE($A1102&amp;""))</f>
        <v/>
      </c>
      <c r="M1102" s="4">
        <f>IF($A1102="","",VALUE($B1102&amp;""))</f>
        <v/>
      </c>
      <c r="N1102" s="64">
        <f>IF($A1102="","",$H1102*설정!$C$15)</f>
        <v/>
      </c>
      <c r="O1102" s="4">
        <f>IF($A1102="","",J1102&amp;"|"&amp;K1102)</f>
        <v/>
      </c>
      <c r="P1102" s="63">
        <f>IF($A1102="","",IF(COUNTIFS(예산_원본!$T$5:$T$3004,O1102,예산_원본!$B$5:$B$3004,설정!$C$8,예산_원본!$U$5:$U$3004,L1102)&gt;0,"Y","N"))</f>
        <v/>
      </c>
      <c r="Q1102" s="63">
        <f>IF($A1102="","",IF(COUNTIF(집계!$E$7:$E$506,O1102)&gt;0,"Y","N"))</f>
        <v/>
      </c>
    </row>
    <row r="1103">
      <c r="A1103" s="60" t="n">
        <v>2026</v>
      </c>
      <c r="B1103" s="60" t="n">
        <v>3</v>
      </c>
      <c r="C1103" s="60" t="inlineStr">
        <is>
          <t>1000</t>
        </is>
      </c>
      <c r="D1103" s="60" t="n">
        <v>1101</v>
      </c>
      <c r="E1103" s="60" t="inlineStr">
        <is>
          <t>경영기획</t>
        </is>
      </c>
      <c r="F1103" s="60" t="n">
        <v>62901000</v>
      </c>
      <c r="G1103" s="60" t="inlineStr">
        <is>
          <t>지급수수료-컨설팅</t>
        </is>
      </c>
      <c r="H1103" s="61" t="n">
        <v>16482870</v>
      </c>
      <c r="J1103" s="63">
        <f>IF($A1103="","",IFERROR(INDEX(부서매핑!$C$5:$C$504,MATCH($D1103&amp;"",부서매핑!$A$5:$A$504,0)),"미매핑"))</f>
        <v/>
      </c>
      <c r="K1103" s="63">
        <f>IF($A1103="","",IFERROR(INDEX(계정매핑!$C$5:$C$504,MATCH($F1103&amp;"",계정매핑!$A$5:$A$504,0)),"미매핑"))</f>
        <v/>
      </c>
      <c r="L1103" s="4">
        <f>IF($A1103="","",VALUE($A1103&amp;""))</f>
        <v/>
      </c>
      <c r="M1103" s="4">
        <f>IF($A1103="","",VALUE($B1103&amp;""))</f>
        <v/>
      </c>
      <c r="N1103" s="64">
        <f>IF($A1103="","",$H1103*설정!$C$15)</f>
        <v/>
      </c>
      <c r="O1103" s="4">
        <f>IF($A1103="","",J1103&amp;"|"&amp;K1103)</f>
        <v/>
      </c>
      <c r="P1103" s="63">
        <f>IF($A1103="","",IF(COUNTIFS(예산_원본!$T$5:$T$3004,O1103,예산_원본!$B$5:$B$3004,설정!$C$8,예산_원본!$U$5:$U$3004,L1103)&gt;0,"Y","N"))</f>
        <v/>
      </c>
      <c r="Q1103" s="63">
        <f>IF($A1103="","",IF(COUNTIF(집계!$E$7:$E$506,O1103)&gt;0,"Y","N"))</f>
        <v/>
      </c>
    </row>
    <row r="1104">
      <c r="A1104" s="60" t="n">
        <v>2026</v>
      </c>
      <c r="B1104" s="60" t="n">
        <v>3</v>
      </c>
      <c r="C1104" s="60" t="inlineStr">
        <is>
          <t>1000</t>
        </is>
      </c>
      <c r="D1104" s="60" t="n">
        <v>1101</v>
      </c>
      <c r="E1104" s="60" t="inlineStr">
        <is>
          <t>경영기획</t>
        </is>
      </c>
      <c r="F1104" s="60" t="n">
        <v>62902000</v>
      </c>
      <c r="G1104" s="60" t="inlineStr">
        <is>
          <t>지급수수료-기타</t>
        </is>
      </c>
      <c r="H1104" s="61" t="n">
        <v>6178070</v>
      </c>
      <c r="J1104" s="63">
        <f>IF($A1104="","",IFERROR(INDEX(부서매핑!$C$5:$C$504,MATCH($D1104&amp;"",부서매핑!$A$5:$A$504,0)),"미매핑"))</f>
        <v/>
      </c>
      <c r="K1104" s="63">
        <f>IF($A1104="","",IFERROR(INDEX(계정매핑!$C$5:$C$504,MATCH($F1104&amp;"",계정매핑!$A$5:$A$504,0)),"미매핑"))</f>
        <v/>
      </c>
      <c r="L1104" s="4">
        <f>IF($A1104="","",VALUE($A1104&amp;""))</f>
        <v/>
      </c>
      <c r="M1104" s="4">
        <f>IF($A1104="","",VALUE($B1104&amp;""))</f>
        <v/>
      </c>
      <c r="N1104" s="64">
        <f>IF($A1104="","",$H1104*설정!$C$15)</f>
        <v/>
      </c>
      <c r="O1104" s="4">
        <f>IF($A1104="","",J1104&amp;"|"&amp;K1104)</f>
        <v/>
      </c>
      <c r="P1104" s="63">
        <f>IF($A1104="","",IF(COUNTIFS(예산_원본!$T$5:$T$3004,O1104,예산_원본!$B$5:$B$3004,설정!$C$8,예산_원본!$U$5:$U$3004,L1104)&gt;0,"Y","N"))</f>
        <v/>
      </c>
      <c r="Q1104" s="63">
        <f>IF($A1104="","",IF(COUNTIF(집계!$E$7:$E$506,O1104)&gt;0,"Y","N"))</f>
        <v/>
      </c>
    </row>
    <row r="1105">
      <c r="A1105" s="60" t="n">
        <v>2026</v>
      </c>
      <c r="B1105" s="60" t="n">
        <v>3</v>
      </c>
      <c r="C1105" s="60" t="inlineStr">
        <is>
          <t>1000</t>
        </is>
      </c>
      <c r="D1105" s="60" t="n">
        <v>1201</v>
      </c>
      <c r="E1105" s="60" t="inlineStr">
        <is>
          <t>재무회계</t>
        </is>
      </c>
      <c r="F1105" s="60" t="n">
        <v>62101000</v>
      </c>
      <c r="G1105" s="60" t="inlineStr">
        <is>
          <t>여비교통비-국내</t>
        </is>
      </c>
      <c r="H1105" s="61" t="n">
        <v>1338870</v>
      </c>
      <c r="J1105" s="63">
        <f>IF($A1105="","",IFERROR(INDEX(부서매핑!$C$5:$C$504,MATCH($D1105&amp;"",부서매핑!$A$5:$A$504,0)),"미매핑"))</f>
        <v/>
      </c>
      <c r="K1105" s="63">
        <f>IF($A1105="","",IFERROR(INDEX(계정매핑!$C$5:$C$504,MATCH($F1105&amp;"",계정매핑!$A$5:$A$504,0)),"미매핑"))</f>
        <v/>
      </c>
      <c r="L1105" s="4">
        <f>IF($A1105="","",VALUE($A1105&amp;""))</f>
        <v/>
      </c>
      <c r="M1105" s="4">
        <f>IF($A1105="","",VALUE($B1105&amp;""))</f>
        <v/>
      </c>
      <c r="N1105" s="64">
        <f>IF($A1105="","",$H1105*설정!$C$15)</f>
        <v/>
      </c>
      <c r="O1105" s="4">
        <f>IF($A1105="","",J1105&amp;"|"&amp;K1105)</f>
        <v/>
      </c>
      <c r="P1105" s="63">
        <f>IF($A1105="","",IF(COUNTIFS(예산_원본!$T$5:$T$3004,O1105,예산_원본!$B$5:$B$3004,설정!$C$8,예산_원본!$U$5:$U$3004,L1105)&gt;0,"Y","N"))</f>
        <v/>
      </c>
      <c r="Q1105" s="63">
        <f>IF($A1105="","",IF(COUNTIF(집계!$E$7:$E$506,O1105)&gt;0,"Y","N"))</f>
        <v/>
      </c>
    </row>
    <row r="1106">
      <c r="A1106" s="60" t="n">
        <v>2026</v>
      </c>
      <c r="B1106" s="60" t="n">
        <v>3</v>
      </c>
      <c r="C1106" s="60" t="inlineStr">
        <is>
          <t>1000</t>
        </is>
      </c>
      <c r="D1106" s="60" t="n">
        <v>1201</v>
      </c>
      <c r="E1106" s="60" t="inlineStr">
        <is>
          <t>재무회계</t>
        </is>
      </c>
      <c r="F1106" s="60" t="n">
        <v>62102000</v>
      </c>
      <c r="G1106" s="60" t="inlineStr">
        <is>
          <t>여비교통비-해외</t>
        </is>
      </c>
      <c r="H1106" s="61" t="n">
        <v>204280</v>
      </c>
      <c r="J1106" s="63">
        <f>IF($A1106="","",IFERROR(INDEX(부서매핑!$C$5:$C$504,MATCH($D1106&amp;"",부서매핑!$A$5:$A$504,0)),"미매핑"))</f>
        <v/>
      </c>
      <c r="K1106" s="63">
        <f>IF($A1106="","",IFERROR(INDEX(계정매핑!$C$5:$C$504,MATCH($F1106&amp;"",계정매핑!$A$5:$A$504,0)),"미매핑"))</f>
        <v/>
      </c>
      <c r="L1106" s="4">
        <f>IF($A1106="","",VALUE($A1106&amp;""))</f>
        <v/>
      </c>
      <c r="M1106" s="4">
        <f>IF($A1106="","",VALUE($B1106&amp;""))</f>
        <v/>
      </c>
      <c r="N1106" s="64">
        <f>IF($A1106="","",$H1106*설정!$C$15)</f>
        <v/>
      </c>
      <c r="O1106" s="4">
        <f>IF($A1106="","",J1106&amp;"|"&amp;K1106)</f>
        <v/>
      </c>
      <c r="P1106" s="63">
        <f>IF($A1106="","",IF(COUNTIFS(예산_원본!$T$5:$T$3004,O1106,예산_원본!$B$5:$B$3004,설정!$C$8,예산_원본!$U$5:$U$3004,L1106)&gt;0,"Y","N"))</f>
        <v/>
      </c>
      <c r="Q1106" s="63">
        <f>IF($A1106="","",IF(COUNTIF(집계!$E$7:$E$506,O1106)&gt;0,"Y","N"))</f>
        <v/>
      </c>
    </row>
    <row r="1107">
      <c r="A1107" s="60" t="n">
        <v>2026</v>
      </c>
      <c r="B1107" s="60" t="n">
        <v>3</v>
      </c>
      <c r="C1107" s="60" t="inlineStr">
        <is>
          <t>1000</t>
        </is>
      </c>
      <c r="D1107" s="60" t="n">
        <v>1201</v>
      </c>
      <c r="E1107" s="60" t="inlineStr">
        <is>
          <t>재무회계</t>
        </is>
      </c>
      <c r="F1107" s="60" t="n">
        <v>62201000</v>
      </c>
      <c r="G1107" s="60" t="inlineStr">
        <is>
          <t>통신비</t>
        </is>
      </c>
      <c r="H1107" s="61" t="n">
        <v>586820</v>
      </c>
      <c r="J1107" s="63">
        <f>IF($A1107="","",IFERROR(INDEX(부서매핑!$C$5:$C$504,MATCH($D1107&amp;"",부서매핑!$A$5:$A$504,0)),"미매핑"))</f>
        <v/>
      </c>
      <c r="K1107" s="63">
        <f>IF($A1107="","",IFERROR(INDEX(계정매핑!$C$5:$C$504,MATCH($F1107&amp;"",계정매핑!$A$5:$A$504,0)),"미매핑"))</f>
        <v/>
      </c>
      <c r="L1107" s="4">
        <f>IF($A1107="","",VALUE($A1107&amp;""))</f>
        <v/>
      </c>
      <c r="M1107" s="4">
        <f>IF($A1107="","",VALUE($B1107&amp;""))</f>
        <v/>
      </c>
      <c r="N1107" s="64">
        <f>IF($A1107="","",$H1107*설정!$C$15)</f>
        <v/>
      </c>
      <c r="O1107" s="4">
        <f>IF($A1107="","",J1107&amp;"|"&amp;K1107)</f>
        <v/>
      </c>
      <c r="P1107" s="63">
        <f>IF($A1107="","",IF(COUNTIFS(예산_원본!$T$5:$T$3004,O1107,예산_원본!$B$5:$B$3004,설정!$C$8,예산_원본!$U$5:$U$3004,L1107)&gt;0,"Y","N"))</f>
        <v/>
      </c>
      <c r="Q1107" s="63">
        <f>IF($A1107="","",IF(COUNTIF(집계!$E$7:$E$506,O1107)&gt;0,"Y","N"))</f>
        <v/>
      </c>
    </row>
    <row r="1108">
      <c r="A1108" s="60" t="n">
        <v>2026</v>
      </c>
      <c r="B1108" s="60" t="n">
        <v>3</v>
      </c>
      <c r="C1108" s="60" t="inlineStr">
        <is>
          <t>1000</t>
        </is>
      </c>
      <c r="D1108" s="60" t="n">
        <v>1201</v>
      </c>
      <c r="E1108" s="60" t="inlineStr">
        <is>
          <t>재무회계</t>
        </is>
      </c>
      <c r="F1108" s="60" t="n">
        <v>62301000</v>
      </c>
      <c r="G1108" s="60" t="inlineStr">
        <is>
          <t>소모품비</t>
        </is>
      </c>
      <c r="H1108" s="61" t="n">
        <v>575660</v>
      </c>
      <c r="J1108" s="63">
        <f>IF($A1108="","",IFERROR(INDEX(부서매핑!$C$5:$C$504,MATCH($D1108&amp;"",부서매핑!$A$5:$A$504,0)),"미매핑"))</f>
        <v/>
      </c>
      <c r="K1108" s="63">
        <f>IF($A1108="","",IFERROR(INDEX(계정매핑!$C$5:$C$504,MATCH($F1108&amp;"",계정매핑!$A$5:$A$504,0)),"미매핑"))</f>
        <v/>
      </c>
      <c r="L1108" s="4">
        <f>IF($A1108="","",VALUE($A1108&amp;""))</f>
        <v/>
      </c>
      <c r="M1108" s="4">
        <f>IF($A1108="","",VALUE($B1108&amp;""))</f>
        <v/>
      </c>
      <c r="N1108" s="64">
        <f>IF($A1108="","",$H1108*설정!$C$15)</f>
        <v/>
      </c>
      <c r="O1108" s="4">
        <f>IF($A1108="","",J1108&amp;"|"&amp;K1108)</f>
        <v/>
      </c>
      <c r="P1108" s="63">
        <f>IF($A1108="","",IF(COUNTIFS(예산_원본!$T$5:$T$3004,O1108,예산_원본!$B$5:$B$3004,설정!$C$8,예산_원본!$U$5:$U$3004,L1108)&gt;0,"Y","N"))</f>
        <v/>
      </c>
      <c r="Q1108" s="63">
        <f>IF($A1108="","",IF(COUNTIF(집계!$E$7:$E$506,O1108)&gt;0,"Y","N"))</f>
        <v/>
      </c>
    </row>
    <row r="1109">
      <c r="A1109" s="60" t="n">
        <v>2026</v>
      </c>
      <c r="B1109" s="60" t="n">
        <v>3</v>
      </c>
      <c r="C1109" s="60" t="inlineStr">
        <is>
          <t>1000</t>
        </is>
      </c>
      <c r="D1109" s="60" t="n">
        <v>1201</v>
      </c>
      <c r="E1109" s="60" t="inlineStr">
        <is>
          <t>재무회계</t>
        </is>
      </c>
      <c r="F1109" s="60" t="n">
        <v>62501000</v>
      </c>
      <c r="G1109" s="60" t="inlineStr">
        <is>
          <t>회의비</t>
        </is>
      </c>
      <c r="H1109" s="61" t="n">
        <v>577880</v>
      </c>
      <c r="J1109" s="63">
        <f>IF($A1109="","",IFERROR(INDEX(부서매핑!$C$5:$C$504,MATCH($D1109&amp;"",부서매핑!$A$5:$A$504,0)),"미매핑"))</f>
        <v/>
      </c>
      <c r="K1109" s="63">
        <f>IF($A1109="","",IFERROR(INDEX(계정매핑!$C$5:$C$504,MATCH($F1109&amp;"",계정매핑!$A$5:$A$504,0)),"미매핑"))</f>
        <v/>
      </c>
      <c r="L1109" s="4">
        <f>IF($A1109="","",VALUE($A1109&amp;""))</f>
        <v/>
      </c>
      <c r="M1109" s="4">
        <f>IF($A1109="","",VALUE($B1109&amp;""))</f>
        <v/>
      </c>
      <c r="N1109" s="64">
        <f>IF($A1109="","",$H1109*설정!$C$15)</f>
        <v/>
      </c>
      <c r="O1109" s="4">
        <f>IF($A1109="","",J1109&amp;"|"&amp;K1109)</f>
        <v/>
      </c>
      <c r="P1109" s="63">
        <f>IF($A1109="","",IF(COUNTIFS(예산_원본!$T$5:$T$3004,O1109,예산_원본!$B$5:$B$3004,설정!$C$8,예산_원본!$U$5:$U$3004,L1109)&gt;0,"Y","N"))</f>
        <v/>
      </c>
      <c r="Q1109" s="63">
        <f>IF($A1109="","",IF(COUNTIF(집계!$E$7:$E$506,O1109)&gt;0,"Y","N"))</f>
        <v/>
      </c>
    </row>
    <row r="1110">
      <c r="A1110" s="60" t="n">
        <v>2026</v>
      </c>
      <c r="B1110" s="60" t="n">
        <v>3</v>
      </c>
      <c r="C1110" s="60" t="inlineStr">
        <is>
          <t>1000</t>
        </is>
      </c>
      <c r="D1110" s="60" t="n">
        <v>1201</v>
      </c>
      <c r="E1110" s="60" t="inlineStr">
        <is>
          <t>재무회계</t>
        </is>
      </c>
      <c r="F1110" s="60" t="n">
        <v>62901000</v>
      </c>
      <c r="G1110" s="60" t="inlineStr">
        <is>
          <t>지급수수료-컨설팅</t>
        </is>
      </c>
      <c r="H1110" s="61" t="n">
        <v>22638640</v>
      </c>
      <c r="J1110" s="63">
        <f>IF($A1110="","",IFERROR(INDEX(부서매핑!$C$5:$C$504,MATCH($D1110&amp;"",부서매핑!$A$5:$A$504,0)),"미매핑"))</f>
        <v/>
      </c>
      <c r="K1110" s="63">
        <f>IF($A1110="","",IFERROR(INDEX(계정매핑!$C$5:$C$504,MATCH($F1110&amp;"",계정매핑!$A$5:$A$504,0)),"미매핑"))</f>
        <v/>
      </c>
      <c r="L1110" s="4">
        <f>IF($A1110="","",VALUE($A1110&amp;""))</f>
        <v/>
      </c>
      <c r="M1110" s="4">
        <f>IF($A1110="","",VALUE($B1110&amp;""))</f>
        <v/>
      </c>
      <c r="N1110" s="64">
        <f>IF($A1110="","",$H1110*설정!$C$15)</f>
        <v/>
      </c>
      <c r="O1110" s="4">
        <f>IF($A1110="","",J1110&amp;"|"&amp;K1110)</f>
        <v/>
      </c>
      <c r="P1110" s="63">
        <f>IF($A1110="","",IF(COUNTIFS(예산_원본!$T$5:$T$3004,O1110,예산_원본!$B$5:$B$3004,설정!$C$8,예산_원본!$U$5:$U$3004,L1110)&gt;0,"Y","N"))</f>
        <v/>
      </c>
      <c r="Q1110" s="63">
        <f>IF($A1110="","",IF(COUNTIF(집계!$E$7:$E$506,O1110)&gt;0,"Y","N"))</f>
        <v/>
      </c>
    </row>
    <row r="1111">
      <c r="A1111" s="60" t="n">
        <v>2026</v>
      </c>
      <c r="B1111" s="60" t="n">
        <v>3</v>
      </c>
      <c r="C1111" s="60" t="inlineStr">
        <is>
          <t>1000</t>
        </is>
      </c>
      <c r="D1111" s="60" t="n">
        <v>1201</v>
      </c>
      <c r="E1111" s="60" t="inlineStr">
        <is>
          <t>재무회계</t>
        </is>
      </c>
      <c r="F1111" s="60" t="n">
        <v>62902000</v>
      </c>
      <c r="G1111" s="60" t="inlineStr">
        <is>
          <t>지급수수료-기타</t>
        </is>
      </c>
      <c r="H1111" s="61" t="n">
        <v>11316520</v>
      </c>
      <c r="J1111" s="63">
        <f>IF($A1111="","",IFERROR(INDEX(부서매핑!$C$5:$C$504,MATCH($D1111&amp;"",부서매핑!$A$5:$A$504,0)),"미매핑"))</f>
        <v/>
      </c>
      <c r="K1111" s="63">
        <f>IF($A1111="","",IFERROR(INDEX(계정매핑!$C$5:$C$504,MATCH($F1111&amp;"",계정매핑!$A$5:$A$504,0)),"미매핑"))</f>
        <v/>
      </c>
      <c r="L1111" s="4">
        <f>IF($A1111="","",VALUE($A1111&amp;""))</f>
        <v/>
      </c>
      <c r="M1111" s="4">
        <f>IF($A1111="","",VALUE($B1111&amp;""))</f>
        <v/>
      </c>
      <c r="N1111" s="64">
        <f>IF($A1111="","",$H1111*설정!$C$15)</f>
        <v/>
      </c>
      <c r="O1111" s="4">
        <f>IF($A1111="","",J1111&amp;"|"&amp;K1111)</f>
        <v/>
      </c>
      <c r="P1111" s="63">
        <f>IF($A1111="","",IF(COUNTIFS(예산_원본!$T$5:$T$3004,O1111,예산_원본!$B$5:$B$3004,설정!$C$8,예산_원본!$U$5:$U$3004,L1111)&gt;0,"Y","N"))</f>
        <v/>
      </c>
      <c r="Q1111" s="63">
        <f>IF($A1111="","",IF(COUNTIF(집계!$E$7:$E$506,O1111)&gt;0,"Y","N"))</f>
        <v/>
      </c>
    </row>
    <row r="1112">
      <c r="A1112" s="60" t="n">
        <v>2026</v>
      </c>
      <c r="B1112" s="60" t="n">
        <v>3</v>
      </c>
      <c r="C1112" s="60" t="inlineStr">
        <is>
          <t>1000</t>
        </is>
      </c>
      <c r="D1112" s="60" t="n">
        <v>1301</v>
      </c>
      <c r="E1112" s="60" t="inlineStr">
        <is>
          <t>인사</t>
        </is>
      </c>
      <c r="F1112" s="60" t="n">
        <v>62101000</v>
      </c>
      <c r="G1112" s="60" t="inlineStr">
        <is>
          <t>여비교통비-국내</t>
        </is>
      </c>
      <c r="H1112" s="61" t="n">
        <v>1419950</v>
      </c>
      <c r="J1112" s="63">
        <f>IF($A1112="","",IFERROR(INDEX(부서매핑!$C$5:$C$504,MATCH($D1112&amp;"",부서매핑!$A$5:$A$504,0)),"미매핑"))</f>
        <v/>
      </c>
      <c r="K1112" s="63">
        <f>IF($A1112="","",IFERROR(INDEX(계정매핑!$C$5:$C$504,MATCH($F1112&amp;"",계정매핑!$A$5:$A$504,0)),"미매핑"))</f>
        <v/>
      </c>
      <c r="L1112" s="4">
        <f>IF($A1112="","",VALUE($A1112&amp;""))</f>
        <v/>
      </c>
      <c r="M1112" s="4">
        <f>IF($A1112="","",VALUE($B1112&amp;""))</f>
        <v/>
      </c>
      <c r="N1112" s="64">
        <f>IF($A1112="","",$H1112*설정!$C$15)</f>
        <v/>
      </c>
      <c r="O1112" s="4">
        <f>IF($A1112="","",J1112&amp;"|"&amp;K1112)</f>
        <v/>
      </c>
      <c r="P1112" s="63">
        <f>IF($A1112="","",IF(COUNTIFS(예산_원본!$T$5:$T$3004,O1112,예산_원본!$B$5:$B$3004,설정!$C$8,예산_원본!$U$5:$U$3004,L1112)&gt;0,"Y","N"))</f>
        <v/>
      </c>
      <c r="Q1112" s="63">
        <f>IF($A1112="","",IF(COUNTIF(집계!$E$7:$E$506,O1112)&gt;0,"Y","N"))</f>
        <v/>
      </c>
    </row>
    <row r="1113">
      <c r="A1113" s="60" t="n">
        <v>2026</v>
      </c>
      <c r="B1113" s="60" t="n">
        <v>3</v>
      </c>
      <c r="C1113" s="60" t="inlineStr">
        <is>
          <t>1000</t>
        </is>
      </c>
      <c r="D1113" s="60" t="n">
        <v>1301</v>
      </c>
      <c r="E1113" s="60" t="inlineStr">
        <is>
          <t>인사</t>
        </is>
      </c>
      <c r="F1113" s="60" t="n">
        <v>62102000</v>
      </c>
      <c r="G1113" s="60" t="inlineStr">
        <is>
          <t>여비교통비-해외</t>
        </is>
      </c>
      <c r="H1113" s="61" t="n">
        <v>258660</v>
      </c>
      <c r="J1113" s="63">
        <f>IF($A1113="","",IFERROR(INDEX(부서매핑!$C$5:$C$504,MATCH($D1113&amp;"",부서매핑!$A$5:$A$504,0)),"미매핑"))</f>
        <v/>
      </c>
      <c r="K1113" s="63">
        <f>IF($A1113="","",IFERROR(INDEX(계정매핑!$C$5:$C$504,MATCH($F1113&amp;"",계정매핑!$A$5:$A$504,0)),"미매핑"))</f>
        <v/>
      </c>
      <c r="L1113" s="4">
        <f>IF($A1113="","",VALUE($A1113&amp;""))</f>
        <v/>
      </c>
      <c r="M1113" s="4">
        <f>IF($A1113="","",VALUE($B1113&amp;""))</f>
        <v/>
      </c>
      <c r="N1113" s="64">
        <f>IF($A1113="","",$H1113*설정!$C$15)</f>
        <v/>
      </c>
      <c r="O1113" s="4">
        <f>IF($A1113="","",J1113&amp;"|"&amp;K1113)</f>
        <v/>
      </c>
      <c r="P1113" s="63">
        <f>IF($A1113="","",IF(COUNTIFS(예산_원본!$T$5:$T$3004,O1113,예산_원본!$B$5:$B$3004,설정!$C$8,예산_원본!$U$5:$U$3004,L1113)&gt;0,"Y","N"))</f>
        <v/>
      </c>
      <c r="Q1113" s="63">
        <f>IF($A1113="","",IF(COUNTIF(집계!$E$7:$E$506,O1113)&gt;0,"Y","N"))</f>
        <v/>
      </c>
    </row>
    <row r="1114">
      <c r="A1114" s="60" t="n">
        <v>2026</v>
      </c>
      <c r="B1114" s="60" t="n">
        <v>3</v>
      </c>
      <c r="C1114" s="60" t="inlineStr">
        <is>
          <t>1000</t>
        </is>
      </c>
      <c r="D1114" s="60" t="n">
        <v>1301</v>
      </c>
      <c r="E1114" s="60" t="inlineStr">
        <is>
          <t>인사</t>
        </is>
      </c>
      <c r="F1114" s="60" t="n">
        <v>62201000</v>
      </c>
      <c r="G1114" s="60" t="inlineStr">
        <is>
          <t>통신비</t>
        </is>
      </c>
      <c r="H1114" s="61" t="n">
        <v>686220</v>
      </c>
      <c r="J1114" s="63">
        <f>IF($A1114="","",IFERROR(INDEX(부서매핑!$C$5:$C$504,MATCH($D1114&amp;"",부서매핑!$A$5:$A$504,0)),"미매핑"))</f>
        <v/>
      </c>
      <c r="K1114" s="63">
        <f>IF($A1114="","",IFERROR(INDEX(계정매핑!$C$5:$C$504,MATCH($F1114&amp;"",계정매핑!$A$5:$A$504,0)),"미매핑"))</f>
        <v/>
      </c>
      <c r="L1114" s="4">
        <f>IF($A1114="","",VALUE($A1114&amp;""))</f>
        <v/>
      </c>
      <c r="M1114" s="4">
        <f>IF($A1114="","",VALUE($B1114&amp;""))</f>
        <v/>
      </c>
      <c r="N1114" s="64">
        <f>IF($A1114="","",$H1114*설정!$C$15)</f>
        <v/>
      </c>
      <c r="O1114" s="4">
        <f>IF($A1114="","",J1114&amp;"|"&amp;K1114)</f>
        <v/>
      </c>
      <c r="P1114" s="63">
        <f>IF($A1114="","",IF(COUNTIFS(예산_원본!$T$5:$T$3004,O1114,예산_원본!$B$5:$B$3004,설정!$C$8,예산_원본!$U$5:$U$3004,L1114)&gt;0,"Y","N"))</f>
        <v/>
      </c>
      <c r="Q1114" s="63">
        <f>IF($A1114="","",IF(COUNTIF(집계!$E$7:$E$506,O1114)&gt;0,"Y","N"))</f>
        <v/>
      </c>
    </row>
    <row r="1115">
      <c r="A1115" s="60" t="n">
        <v>2026</v>
      </c>
      <c r="B1115" s="60" t="n">
        <v>3</v>
      </c>
      <c r="C1115" s="60" t="inlineStr">
        <is>
          <t>1000</t>
        </is>
      </c>
      <c r="D1115" s="60" t="n">
        <v>1301</v>
      </c>
      <c r="E1115" s="60" t="inlineStr">
        <is>
          <t>인사</t>
        </is>
      </c>
      <c r="F1115" s="60" t="n">
        <v>62301000</v>
      </c>
      <c r="G1115" s="60" t="inlineStr">
        <is>
          <t>소모품비</t>
        </is>
      </c>
      <c r="H1115" s="61" t="n">
        <v>759770</v>
      </c>
      <c r="J1115" s="63">
        <f>IF($A1115="","",IFERROR(INDEX(부서매핑!$C$5:$C$504,MATCH($D1115&amp;"",부서매핑!$A$5:$A$504,0)),"미매핑"))</f>
        <v/>
      </c>
      <c r="K1115" s="63">
        <f>IF($A1115="","",IFERROR(INDEX(계정매핑!$C$5:$C$504,MATCH($F1115&amp;"",계정매핑!$A$5:$A$504,0)),"미매핑"))</f>
        <v/>
      </c>
      <c r="L1115" s="4">
        <f>IF($A1115="","",VALUE($A1115&amp;""))</f>
        <v/>
      </c>
      <c r="M1115" s="4">
        <f>IF($A1115="","",VALUE($B1115&amp;""))</f>
        <v/>
      </c>
      <c r="N1115" s="64">
        <f>IF($A1115="","",$H1115*설정!$C$15)</f>
        <v/>
      </c>
      <c r="O1115" s="4">
        <f>IF($A1115="","",J1115&amp;"|"&amp;K1115)</f>
        <v/>
      </c>
      <c r="P1115" s="63">
        <f>IF($A1115="","",IF(COUNTIFS(예산_원본!$T$5:$T$3004,O1115,예산_원본!$B$5:$B$3004,설정!$C$8,예산_원본!$U$5:$U$3004,L1115)&gt;0,"Y","N"))</f>
        <v/>
      </c>
      <c r="Q1115" s="63">
        <f>IF($A1115="","",IF(COUNTIF(집계!$E$7:$E$506,O1115)&gt;0,"Y","N"))</f>
        <v/>
      </c>
    </row>
    <row r="1116">
      <c r="A1116" s="60" t="n">
        <v>2026</v>
      </c>
      <c r="B1116" s="60" t="n">
        <v>3</v>
      </c>
      <c r="C1116" s="60" t="inlineStr">
        <is>
          <t>1000</t>
        </is>
      </c>
      <c r="D1116" s="60" t="n">
        <v>1301</v>
      </c>
      <c r="E1116" s="60" t="inlineStr">
        <is>
          <t>인사</t>
        </is>
      </c>
      <c r="F1116" s="60" t="n">
        <v>62501000</v>
      </c>
      <c r="G1116" s="60" t="inlineStr">
        <is>
          <t>회의비</t>
        </is>
      </c>
      <c r="H1116" s="61" t="n">
        <v>726480</v>
      </c>
      <c r="J1116" s="63">
        <f>IF($A1116="","",IFERROR(INDEX(부서매핑!$C$5:$C$504,MATCH($D1116&amp;"",부서매핑!$A$5:$A$504,0)),"미매핑"))</f>
        <v/>
      </c>
      <c r="K1116" s="63">
        <f>IF($A1116="","",IFERROR(INDEX(계정매핑!$C$5:$C$504,MATCH($F1116&amp;"",계정매핑!$A$5:$A$504,0)),"미매핑"))</f>
        <v/>
      </c>
      <c r="L1116" s="4">
        <f>IF($A1116="","",VALUE($A1116&amp;""))</f>
        <v/>
      </c>
      <c r="M1116" s="4">
        <f>IF($A1116="","",VALUE($B1116&amp;""))</f>
        <v/>
      </c>
      <c r="N1116" s="64">
        <f>IF($A1116="","",$H1116*설정!$C$15)</f>
        <v/>
      </c>
      <c r="O1116" s="4">
        <f>IF($A1116="","",J1116&amp;"|"&amp;K1116)</f>
        <v/>
      </c>
      <c r="P1116" s="63">
        <f>IF($A1116="","",IF(COUNTIFS(예산_원본!$T$5:$T$3004,O1116,예산_원본!$B$5:$B$3004,설정!$C$8,예산_원본!$U$5:$U$3004,L1116)&gt;0,"Y","N"))</f>
        <v/>
      </c>
      <c r="Q1116" s="63">
        <f>IF($A1116="","",IF(COUNTIF(집계!$E$7:$E$506,O1116)&gt;0,"Y","N"))</f>
        <v/>
      </c>
    </row>
    <row r="1117">
      <c r="A1117" s="60" t="n">
        <v>2026</v>
      </c>
      <c r="B1117" s="60" t="n">
        <v>3</v>
      </c>
      <c r="C1117" s="60" t="inlineStr">
        <is>
          <t>1000</t>
        </is>
      </c>
      <c r="D1117" s="60" t="n">
        <v>1301</v>
      </c>
      <c r="E1117" s="60" t="inlineStr">
        <is>
          <t>인사</t>
        </is>
      </c>
      <c r="F1117" s="60" t="n">
        <v>62601000</v>
      </c>
      <c r="G1117" s="60" t="inlineStr">
        <is>
          <t>업무추진비</t>
        </is>
      </c>
      <c r="H1117" s="61" t="n">
        <v>2191220</v>
      </c>
      <c r="J1117" s="63">
        <f>IF($A1117="","",IFERROR(INDEX(부서매핑!$C$5:$C$504,MATCH($D1117&amp;"",부서매핑!$A$5:$A$504,0)),"미매핑"))</f>
        <v/>
      </c>
      <c r="K1117" s="63">
        <f>IF($A1117="","",IFERROR(INDEX(계정매핑!$C$5:$C$504,MATCH($F1117&amp;"",계정매핑!$A$5:$A$504,0)),"미매핑"))</f>
        <v/>
      </c>
      <c r="L1117" s="4">
        <f>IF($A1117="","",VALUE($A1117&amp;""))</f>
        <v/>
      </c>
      <c r="M1117" s="4">
        <f>IF($A1117="","",VALUE($B1117&amp;""))</f>
        <v/>
      </c>
      <c r="N1117" s="64">
        <f>IF($A1117="","",$H1117*설정!$C$15)</f>
        <v/>
      </c>
      <c r="O1117" s="4">
        <f>IF($A1117="","",J1117&amp;"|"&amp;K1117)</f>
        <v/>
      </c>
      <c r="P1117" s="63">
        <f>IF($A1117="","",IF(COUNTIFS(예산_원본!$T$5:$T$3004,O1117,예산_원본!$B$5:$B$3004,설정!$C$8,예산_원본!$U$5:$U$3004,L1117)&gt;0,"Y","N"))</f>
        <v/>
      </c>
      <c r="Q1117" s="63">
        <f>IF($A1117="","",IF(COUNTIF(집계!$E$7:$E$506,O1117)&gt;0,"Y","N"))</f>
        <v/>
      </c>
    </row>
    <row r="1118">
      <c r="A1118" s="60" t="n">
        <v>2026</v>
      </c>
      <c r="B1118" s="60" t="n">
        <v>3</v>
      </c>
      <c r="C1118" s="60" t="inlineStr">
        <is>
          <t>1000</t>
        </is>
      </c>
      <c r="D1118" s="60" t="n">
        <v>1301</v>
      </c>
      <c r="E1118" s="60" t="inlineStr">
        <is>
          <t>인사</t>
        </is>
      </c>
      <c r="F1118" s="60" t="n">
        <v>62701000</v>
      </c>
      <c r="G1118" s="60" t="inlineStr">
        <is>
          <t>광고선전비</t>
        </is>
      </c>
      <c r="H1118" s="61" t="n">
        <v>4800000</v>
      </c>
      <c r="J1118" s="63">
        <f>IF($A1118="","",IFERROR(INDEX(부서매핑!$C$5:$C$504,MATCH($D1118&amp;"",부서매핑!$A$5:$A$504,0)),"미매핑"))</f>
        <v/>
      </c>
      <c r="K1118" s="63">
        <f>IF($A1118="","",IFERROR(INDEX(계정매핑!$C$5:$C$504,MATCH($F1118&amp;"",계정매핑!$A$5:$A$504,0)),"미매핑"))</f>
        <v/>
      </c>
      <c r="L1118" s="4">
        <f>IF($A1118="","",VALUE($A1118&amp;""))</f>
        <v/>
      </c>
      <c r="M1118" s="4">
        <f>IF($A1118="","",VALUE($B1118&amp;""))</f>
        <v/>
      </c>
      <c r="N1118" s="64">
        <f>IF($A1118="","",$H1118*설정!$C$15)</f>
        <v/>
      </c>
      <c r="O1118" s="4">
        <f>IF($A1118="","",J1118&amp;"|"&amp;K1118)</f>
        <v/>
      </c>
      <c r="P1118" s="63">
        <f>IF($A1118="","",IF(COUNTIFS(예산_원본!$T$5:$T$3004,O1118,예산_원본!$B$5:$B$3004,설정!$C$8,예산_원본!$U$5:$U$3004,L1118)&gt;0,"Y","N"))</f>
        <v/>
      </c>
      <c r="Q1118" s="63">
        <f>IF($A1118="","",IF(COUNTIF(집계!$E$7:$E$506,O1118)&gt;0,"Y","N"))</f>
        <v/>
      </c>
    </row>
    <row r="1119">
      <c r="A1119" s="60" t="n">
        <v>2026</v>
      </c>
      <c r="B1119" s="60" t="n">
        <v>3</v>
      </c>
      <c r="C1119" s="60" t="inlineStr">
        <is>
          <t>1000</t>
        </is>
      </c>
      <c r="D1119" s="60" t="n">
        <v>1301</v>
      </c>
      <c r="E1119" s="60" t="inlineStr">
        <is>
          <t>인사</t>
        </is>
      </c>
      <c r="F1119" s="60" t="n">
        <v>62801000</v>
      </c>
      <c r="G1119" s="60" t="inlineStr">
        <is>
          <t>교육훈련비-사내</t>
        </is>
      </c>
      <c r="H1119" s="61" t="n">
        <v>15092990</v>
      </c>
      <c r="J1119" s="63">
        <f>IF($A1119="","",IFERROR(INDEX(부서매핑!$C$5:$C$504,MATCH($D1119&amp;"",부서매핑!$A$5:$A$504,0)),"미매핑"))</f>
        <v/>
      </c>
      <c r="K1119" s="63">
        <f>IF($A1119="","",IFERROR(INDEX(계정매핑!$C$5:$C$504,MATCH($F1119&amp;"",계정매핑!$A$5:$A$504,0)),"미매핑"))</f>
        <v/>
      </c>
      <c r="L1119" s="4">
        <f>IF($A1119="","",VALUE($A1119&amp;""))</f>
        <v/>
      </c>
      <c r="M1119" s="4">
        <f>IF($A1119="","",VALUE($B1119&amp;""))</f>
        <v/>
      </c>
      <c r="N1119" s="64">
        <f>IF($A1119="","",$H1119*설정!$C$15)</f>
        <v/>
      </c>
      <c r="O1119" s="4">
        <f>IF($A1119="","",J1119&amp;"|"&amp;K1119)</f>
        <v/>
      </c>
      <c r="P1119" s="63">
        <f>IF($A1119="","",IF(COUNTIFS(예산_원본!$T$5:$T$3004,O1119,예산_원본!$B$5:$B$3004,설정!$C$8,예산_원본!$U$5:$U$3004,L1119)&gt;0,"Y","N"))</f>
        <v/>
      </c>
      <c r="Q1119" s="63">
        <f>IF($A1119="","",IF(COUNTIF(집계!$E$7:$E$506,O1119)&gt;0,"Y","N"))</f>
        <v/>
      </c>
    </row>
    <row r="1120">
      <c r="A1120" s="60" t="n">
        <v>2026</v>
      </c>
      <c r="B1120" s="60" t="n">
        <v>3</v>
      </c>
      <c r="C1120" s="60" t="inlineStr">
        <is>
          <t>1000</t>
        </is>
      </c>
      <c r="D1120" s="60" t="n">
        <v>1301</v>
      </c>
      <c r="E1120" s="60" t="inlineStr">
        <is>
          <t>인사</t>
        </is>
      </c>
      <c r="F1120" s="60" t="n">
        <v>62802000</v>
      </c>
      <c r="G1120" s="60" t="inlineStr">
        <is>
          <t>교육훈련비-외부위탁</t>
        </is>
      </c>
      <c r="H1120" s="61" t="n">
        <v>22952420</v>
      </c>
      <c r="J1120" s="63">
        <f>IF($A1120="","",IFERROR(INDEX(부서매핑!$C$5:$C$504,MATCH($D1120&amp;"",부서매핑!$A$5:$A$504,0)),"미매핑"))</f>
        <v/>
      </c>
      <c r="K1120" s="63">
        <f>IF($A1120="","",IFERROR(INDEX(계정매핑!$C$5:$C$504,MATCH($F1120&amp;"",계정매핑!$A$5:$A$504,0)),"미매핑"))</f>
        <v/>
      </c>
      <c r="L1120" s="4">
        <f>IF($A1120="","",VALUE($A1120&amp;""))</f>
        <v/>
      </c>
      <c r="M1120" s="4">
        <f>IF($A1120="","",VALUE($B1120&amp;""))</f>
        <v/>
      </c>
      <c r="N1120" s="64">
        <f>IF($A1120="","",$H1120*설정!$C$15)</f>
        <v/>
      </c>
      <c r="O1120" s="4">
        <f>IF($A1120="","",J1120&amp;"|"&amp;K1120)</f>
        <v/>
      </c>
      <c r="P1120" s="63">
        <f>IF($A1120="","",IF(COUNTIFS(예산_원본!$T$5:$T$3004,O1120,예산_원본!$B$5:$B$3004,설정!$C$8,예산_원본!$U$5:$U$3004,L1120)&gt;0,"Y","N"))</f>
        <v/>
      </c>
      <c r="Q1120" s="63">
        <f>IF($A1120="","",IF(COUNTIF(집계!$E$7:$E$506,O1120)&gt;0,"Y","N"))</f>
        <v/>
      </c>
    </row>
    <row r="1121">
      <c r="A1121" s="60" t="n">
        <v>2026</v>
      </c>
      <c r="B1121" s="60" t="n">
        <v>3</v>
      </c>
      <c r="C1121" s="60" t="inlineStr">
        <is>
          <t>1000</t>
        </is>
      </c>
      <c r="D1121" s="60" t="n">
        <v>1401</v>
      </c>
      <c r="E1121" s="60" t="inlineStr">
        <is>
          <t>상품개발</t>
        </is>
      </c>
      <c r="F1121" s="60" t="n">
        <v>62101000</v>
      </c>
      <c r="G1121" s="60" t="inlineStr">
        <is>
          <t>여비교통비-국내</t>
        </is>
      </c>
      <c r="H1121" s="61" t="n">
        <v>1731950</v>
      </c>
      <c r="J1121" s="63">
        <f>IF($A1121="","",IFERROR(INDEX(부서매핑!$C$5:$C$504,MATCH($D1121&amp;"",부서매핑!$A$5:$A$504,0)),"미매핑"))</f>
        <v/>
      </c>
      <c r="K1121" s="63">
        <f>IF($A1121="","",IFERROR(INDEX(계정매핑!$C$5:$C$504,MATCH($F1121&amp;"",계정매핑!$A$5:$A$504,0)),"미매핑"))</f>
        <v/>
      </c>
      <c r="L1121" s="4">
        <f>IF($A1121="","",VALUE($A1121&amp;""))</f>
        <v/>
      </c>
      <c r="M1121" s="4">
        <f>IF($A1121="","",VALUE($B1121&amp;""))</f>
        <v/>
      </c>
      <c r="N1121" s="64">
        <f>IF($A1121="","",$H1121*설정!$C$15)</f>
        <v/>
      </c>
      <c r="O1121" s="4">
        <f>IF($A1121="","",J1121&amp;"|"&amp;K1121)</f>
        <v/>
      </c>
      <c r="P1121" s="63">
        <f>IF($A1121="","",IF(COUNTIFS(예산_원본!$T$5:$T$3004,O1121,예산_원본!$B$5:$B$3004,설정!$C$8,예산_원본!$U$5:$U$3004,L1121)&gt;0,"Y","N"))</f>
        <v/>
      </c>
      <c r="Q1121" s="63">
        <f>IF($A1121="","",IF(COUNTIF(집계!$E$7:$E$506,O1121)&gt;0,"Y","N"))</f>
        <v/>
      </c>
    </row>
    <row r="1122">
      <c r="A1122" s="60" t="n">
        <v>2026</v>
      </c>
      <c r="B1122" s="60" t="n">
        <v>3</v>
      </c>
      <c r="C1122" s="60" t="inlineStr">
        <is>
          <t>1000</t>
        </is>
      </c>
      <c r="D1122" s="60" t="n">
        <v>1401</v>
      </c>
      <c r="E1122" s="60" t="inlineStr">
        <is>
          <t>상품개발</t>
        </is>
      </c>
      <c r="F1122" s="60" t="n">
        <v>62102000</v>
      </c>
      <c r="G1122" s="60" t="inlineStr">
        <is>
          <t>여비교통비-해외</t>
        </is>
      </c>
      <c r="H1122" s="61" t="n">
        <v>311030</v>
      </c>
      <c r="J1122" s="63">
        <f>IF($A1122="","",IFERROR(INDEX(부서매핑!$C$5:$C$504,MATCH($D1122&amp;"",부서매핑!$A$5:$A$504,0)),"미매핑"))</f>
        <v/>
      </c>
      <c r="K1122" s="63">
        <f>IF($A1122="","",IFERROR(INDEX(계정매핑!$C$5:$C$504,MATCH($F1122&amp;"",계정매핑!$A$5:$A$504,0)),"미매핑"))</f>
        <v/>
      </c>
      <c r="L1122" s="4">
        <f>IF($A1122="","",VALUE($A1122&amp;""))</f>
        <v/>
      </c>
      <c r="M1122" s="4">
        <f>IF($A1122="","",VALUE($B1122&amp;""))</f>
        <v/>
      </c>
      <c r="N1122" s="64">
        <f>IF($A1122="","",$H1122*설정!$C$15)</f>
        <v/>
      </c>
      <c r="O1122" s="4">
        <f>IF($A1122="","",J1122&amp;"|"&amp;K1122)</f>
        <v/>
      </c>
      <c r="P1122" s="63">
        <f>IF($A1122="","",IF(COUNTIFS(예산_원본!$T$5:$T$3004,O1122,예산_원본!$B$5:$B$3004,설정!$C$8,예산_원본!$U$5:$U$3004,L1122)&gt;0,"Y","N"))</f>
        <v/>
      </c>
      <c r="Q1122" s="63">
        <f>IF($A1122="","",IF(COUNTIF(집계!$E$7:$E$506,O1122)&gt;0,"Y","N"))</f>
        <v/>
      </c>
    </row>
    <row r="1123">
      <c r="A1123" s="60" t="n">
        <v>2026</v>
      </c>
      <c r="B1123" s="60" t="n">
        <v>3</v>
      </c>
      <c r="C1123" s="60" t="inlineStr">
        <is>
          <t>1000</t>
        </is>
      </c>
      <c r="D1123" s="60" t="n">
        <v>1401</v>
      </c>
      <c r="E1123" s="60" t="inlineStr">
        <is>
          <t>상품개발</t>
        </is>
      </c>
      <c r="F1123" s="60" t="n">
        <v>62201000</v>
      </c>
      <c r="G1123" s="60" t="inlineStr">
        <is>
          <t>통신비</t>
        </is>
      </c>
      <c r="H1123" s="61" t="n">
        <v>520130</v>
      </c>
      <c r="J1123" s="63">
        <f>IF($A1123="","",IFERROR(INDEX(부서매핑!$C$5:$C$504,MATCH($D1123&amp;"",부서매핑!$A$5:$A$504,0)),"미매핑"))</f>
        <v/>
      </c>
      <c r="K1123" s="63">
        <f>IF($A1123="","",IFERROR(INDEX(계정매핑!$C$5:$C$504,MATCH($F1123&amp;"",계정매핑!$A$5:$A$504,0)),"미매핑"))</f>
        <v/>
      </c>
      <c r="L1123" s="4">
        <f>IF($A1123="","",VALUE($A1123&amp;""))</f>
        <v/>
      </c>
      <c r="M1123" s="4">
        <f>IF($A1123="","",VALUE($B1123&amp;""))</f>
        <v/>
      </c>
      <c r="N1123" s="64">
        <f>IF($A1123="","",$H1123*설정!$C$15)</f>
        <v/>
      </c>
      <c r="O1123" s="4">
        <f>IF($A1123="","",J1123&amp;"|"&amp;K1123)</f>
        <v/>
      </c>
      <c r="P1123" s="63">
        <f>IF($A1123="","",IF(COUNTIFS(예산_원본!$T$5:$T$3004,O1123,예산_원본!$B$5:$B$3004,설정!$C$8,예산_원본!$U$5:$U$3004,L1123)&gt;0,"Y","N"))</f>
        <v/>
      </c>
      <c r="Q1123" s="63">
        <f>IF($A1123="","",IF(COUNTIF(집계!$E$7:$E$506,O1123)&gt;0,"Y","N"))</f>
        <v/>
      </c>
    </row>
    <row r="1124">
      <c r="A1124" s="60" t="n">
        <v>2026</v>
      </c>
      <c r="B1124" s="60" t="n">
        <v>3</v>
      </c>
      <c r="C1124" s="60" t="inlineStr">
        <is>
          <t>1000</t>
        </is>
      </c>
      <c r="D1124" s="60" t="n">
        <v>1401</v>
      </c>
      <c r="E1124" s="60" t="inlineStr">
        <is>
          <t>상품개발</t>
        </is>
      </c>
      <c r="F1124" s="60" t="n">
        <v>62301000</v>
      </c>
      <c r="G1124" s="60" t="inlineStr">
        <is>
          <t>소모품비</t>
        </is>
      </c>
      <c r="H1124" s="61" t="n">
        <v>390960</v>
      </c>
      <c r="J1124" s="63">
        <f>IF($A1124="","",IFERROR(INDEX(부서매핑!$C$5:$C$504,MATCH($D1124&amp;"",부서매핑!$A$5:$A$504,0)),"미매핑"))</f>
        <v/>
      </c>
      <c r="K1124" s="63">
        <f>IF($A1124="","",IFERROR(INDEX(계정매핑!$C$5:$C$504,MATCH($F1124&amp;"",계정매핑!$A$5:$A$504,0)),"미매핑"))</f>
        <v/>
      </c>
      <c r="L1124" s="4">
        <f>IF($A1124="","",VALUE($A1124&amp;""))</f>
        <v/>
      </c>
      <c r="M1124" s="4">
        <f>IF($A1124="","",VALUE($B1124&amp;""))</f>
        <v/>
      </c>
      <c r="N1124" s="64">
        <f>IF($A1124="","",$H1124*설정!$C$15)</f>
        <v/>
      </c>
      <c r="O1124" s="4">
        <f>IF($A1124="","",J1124&amp;"|"&amp;K1124)</f>
        <v/>
      </c>
      <c r="P1124" s="63">
        <f>IF($A1124="","",IF(COUNTIFS(예산_원본!$T$5:$T$3004,O1124,예산_원본!$B$5:$B$3004,설정!$C$8,예산_원본!$U$5:$U$3004,L1124)&gt;0,"Y","N"))</f>
        <v/>
      </c>
      <c r="Q1124" s="63">
        <f>IF($A1124="","",IF(COUNTIF(집계!$E$7:$E$506,O1124)&gt;0,"Y","N"))</f>
        <v/>
      </c>
    </row>
    <row r="1125">
      <c r="A1125" s="60" t="n">
        <v>2026</v>
      </c>
      <c r="B1125" s="60" t="n">
        <v>3</v>
      </c>
      <c r="C1125" s="60" t="inlineStr">
        <is>
          <t>1000</t>
        </is>
      </c>
      <c r="D1125" s="60" t="n">
        <v>1401</v>
      </c>
      <c r="E1125" s="60" t="inlineStr">
        <is>
          <t>상품개발</t>
        </is>
      </c>
      <c r="F1125" s="60" t="n">
        <v>62401000</v>
      </c>
      <c r="G1125" s="60" t="inlineStr">
        <is>
          <t>도서인쇄비</t>
        </is>
      </c>
      <c r="H1125" s="61" t="n">
        <v>884750</v>
      </c>
      <c r="J1125" s="63">
        <f>IF($A1125="","",IFERROR(INDEX(부서매핑!$C$5:$C$504,MATCH($D1125&amp;"",부서매핑!$A$5:$A$504,0)),"미매핑"))</f>
        <v/>
      </c>
      <c r="K1125" s="63">
        <f>IF($A1125="","",IFERROR(INDEX(계정매핑!$C$5:$C$504,MATCH($F1125&amp;"",계정매핑!$A$5:$A$504,0)),"미매핑"))</f>
        <v/>
      </c>
      <c r="L1125" s="4">
        <f>IF($A1125="","",VALUE($A1125&amp;""))</f>
        <v/>
      </c>
      <c r="M1125" s="4">
        <f>IF($A1125="","",VALUE($B1125&amp;""))</f>
        <v/>
      </c>
      <c r="N1125" s="64">
        <f>IF($A1125="","",$H1125*설정!$C$15)</f>
        <v/>
      </c>
      <c r="O1125" s="4">
        <f>IF($A1125="","",J1125&amp;"|"&amp;K1125)</f>
        <v/>
      </c>
      <c r="P1125" s="63">
        <f>IF($A1125="","",IF(COUNTIFS(예산_원본!$T$5:$T$3004,O1125,예산_원본!$B$5:$B$3004,설정!$C$8,예산_원본!$U$5:$U$3004,L1125)&gt;0,"Y","N"))</f>
        <v/>
      </c>
      <c r="Q1125" s="63">
        <f>IF($A1125="","",IF(COUNTIF(집계!$E$7:$E$506,O1125)&gt;0,"Y","N"))</f>
        <v/>
      </c>
    </row>
    <row r="1126">
      <c r="A1126" s="60" t="n">
        <v>2026</v>
      </c>
      <c r="B1126" s="60" t="n">
        <v>3</v>
      </c>
      <c r="C1126" s="60" t="inlineStr">
        <is>
          <t>1000</t>
        </is>
      </c>
      <c r="D1126" s="60" t="n">
        <v>1401</v>
      </c>
      <c r="E1126" s="60" t="inlineStr">
        <is>
          <t>상품개발</t>
        </is>
      </c>
      <c r="F1126" s="60" t="n">
        <v>62501000</v>
      </c>
      <c r="G1126" s="60" t="inlineStr">
        <is>
          <t>회의비</t>
        </is>
      </c>
      <c r="H1126" s="61" t="n">
        <v>653990</v>
      </c>
      <c r="J1126" s="63">
        <f>IF($A1126="","",IFERROR(INDEX(부서매핑!$C$5:$C$504,MATCH($D1126&amp;"",부서매핑!$A$5:$A$504,0)),"미매핑"))</f>
        <v/>
      </c>
      <c r="K1126" s="63">
        <f>IF($A1126="","",IFERROR(INDEX(계정매핑!$C$5:$C$504,MATCH($F1126&amp;"",계정매핑!$A$5:$A$504,0)),"미매핑"))</f>
        <v/>
      </c>
      <c r="L1126" s="4">
        <f>IF($A1126="","",VALUE($A1126&amp;""))</f>
        <v/>
      </c>
      <c r="M1126" s="4">
        <f>IF($A1126="","",VALUE($B1126&amp;""))</f>
        <v/>
      </c>
      <c r="N1126" s="64">
        <f>IF($A1126="","",$H1126*설정!$C$15)</f>
        <v/>
      </c>
      <c r="O1126" s="4">
        <f>IF($A1126="","",J1126&amp;"|"&amp;K1126)</f>
        <v/>
      </c>
      <c r="P1126" s="63">
        <f>IF($A1126="","",IF(COUNTIFS(예산_원본!$T$5:$T$3004,O1126,예산_원본!$B$5:$B$3004,설정!$C$8,예산_원본!$U$5:$U$3004,L1126)&gt;0,"Y","N"))</f>
        <v/>
      </c>
      <c r="Q1126" s="63">
        <f>IF($A1126="","",IF(COUNTIF(집계!$E$7:$E$506,O1126)&gt;0,"Y","N"))</f>
        <v/>
      </c>
    </row>
    <row r="1127">
      <c r="A1127" s="60" t="n">
        <v>2026</v>
      </c>
      <c r="B1127" s="60" t="n">
        <v>3</v>
      </c>
      <c r="C1127" s="60" t="inlineStr">
        <is>
          <t>1000</t>
        </is>
      </c>
      <c r="D1127" s="60" t="n">
        <v>1401</v>
      </c>
      <c r="E1127" s="60" t="inlineStr">
        <is>
          <t>상품개발</t>
        </is>
      </c>
      <c r="F1127" s="60" t="n">
        <v>62901000</v>
      </c>
      <c r="G1127" s="60" t="inlineStr">
        <is>
          <t>지급수수료-컨설팅</t>
        </is>
      </c>
      <c r="H1127" s="61" t="n">
        <v>10283060</v>
      </c>
      <c r="J1127" s="63">
        <f>IF($A1127="","",IFERROR(INDEX(부서매핑!$C$5:$C$504,MATCH($D1127&amp;"",부서매핑!$A$5:$A$504,0)),"미매핑"))</f>
        <v/>
      </c>
      <c r="K1127" s="63">
        <f>IF($A1127="","",IFERROR(INDEX(계정매핑!$C$5:$C$504,MATCH($F1127&amp;"",계정매핑!$A$5:$A$504,0)),"미매핑"))</f>
        <v/>
      </c>
      <c r="L1127" s="4">
        <f>IF($A1127="","",VALUE($A1127&amp;""))</f>
        <v/>
      </c>
      <c r="M1127" s="4">
        <f>IF($A1127="","",VALUE($B1127&amp;""))</f>
        <v/>
      </c>
      <c r="N1127" s="64">
        <f>IF($A1127="","",$H1127*설정!$C$15)</f>
        <v/>
      </c>
      <c r="O1127" s="4">
        <f>IF($A1127="","",J1127&amp;"|"&amp;K1127)</f>
        <v/>
      </c>
      <c r="P1127" s="63">
        <f>IF($A1127="","",IF(COUNTIFS(예산_원본!$T$5:$T$3004,O1127,예산_원본!$B$5:$B$3004,설정!$C$8,예산_원본!$U$5:$U$3004,L1127)&gt;0,"Y","N"))</f>
        <v/>
      </c>
      <c r="Q1127" s="63">
        <f>IF($A1127="","",IF(COUNTIF(집계!$E$7:$E$506,O1127)&gt;0,"Y","N"))</f>
        <v/>
      </c>
    </row>
    <row r="1128">
      <c r="A1128" s="60" t="n">
        <v>2026</v>
      </c>
      <c r="B1128" s="60" t="n">
        <v>3</v>
      </c>
      <c r="C1128" s="60" t="inlineStr">
        <is>
          <t>1000</t>
        </is>
      </c>
      <c r="D1128" s="60" t="n">
        <v>1401</v>
      </c>
      <c r="E1128" s="60" t="inlineStr">
        <is>
          <t>상품개발</t>
        </is>
      </c>
      <c r="F1128" s="60" t="n">
        <v>62902000</v>
      </c>
      <c r="G1128" s="60" t="inlineStr">
        <is>
          <t>지급수수료-기타</t>
        </is>
      </c>
      <c r="H1128" s="61" t="n">
        <v>3955190</v>
      </c>
      <c r="J1128" s="63">
        <f>IF($A1128="","",IFERROR(INDEX(부서매핑!$C$5:$C$504,MATCH($D1128&amp;"",부서매핑!$A$5:$A$504,0)),"미매핑"))</f>
        <v/>
      </c>
      <c r="K1128" s="63">
        <f>IF($A1128="","",IFERROR(INDEX(계정매핑!$C$5:$C$504,MATCH($F1128&amp;"",계정매핑!$A$5:$A$504,0)),"미매핑"))</f>
        <v/>
      </c>
      <c r="L1128" s="4">
        <f>IF($A1128="","",VALUE($A1128&amp;""))</f>
        <v/>
      </c>
      <c r="M1128" s="4">
        <f>IF($A1128="","",VALUE($B1128&amp;""))</f>
        <v/>
      </c>
      <c r="N1128" s="64">
        <f>IF($A1128="","",$H1128*설정!$C$15)</f>
        <v/>
      </c>
      <c r="O1128" s="4">
        <f>IF($A1128="","",J1128&amp;"|"&amp;K1128)</f>
        <v/>
      </c>
      <c r="P1128" s="63">
        <f>IF($A1128="","",IF(COUNTIFS(예산_원본!$T$5:$T$3004,O1128,예산_원본!$B$5:$B$3004,설정!$C$8,예산_원본!$U$5:$U$3004,L1128)&gt;0,"Y","N"))</f>
        <v/>
      </c>
      <c r="Q1128" s="63">
        <f>IF($A1128="","",IF(COUNTIF(집계!$E$7:$E$506,O1128)&gt;0,"Y","N"))</f>
        <v/>
      </c>
    </row>
    <row r="1129">
      <c r="A1129" s="60" t="n">
        <v>2026</v>
      </c>
      <c r="B1129" s="60" t="n">
        <v>3</v>
      </c>
      <c r="C1129" s="60" t="inlineStr">
        <is>
          <t>1000</t>
        </is>
      </c>
      <c r="D1129" s="60" t="n">
        <v>1501</v>
      </c>
      <c r="E1129" s="60" t="inlineStr">
        <is>
          <t>마케팅전략</t>
        </is>
      </c>
      <c r="F1129" s="60" t="n">
        <v>62101000</v>
      </c>
      <c r="G1129" s="60" t="inlineStr">
        <is>
          <t>여비교통비-국내</t>
        </is>
      </c>
      <c r="H1129" s="61" t="n">
        <v>1703680</v>
      </c>
      <c r="J1129" s="63">
        <f>IF($A1129="","",IFERROR(INDEX(부서매핑!$C$5:$C$504,MATCH($D1129&amp;"",부서매핑!$A$5:$A$504,0)),"미매핑"))</f>
        <v/>
      </c>
      <c r="K1129" s="63">
        <f>IF($A1129="","",IFERROR(INDEX(계정매핑!$C$5:$C$504,MATCH($F1129&amp;"",계정매핑!$A$5:$A$504,0)),"미매핑"))</f>
        <v/>
      </c>
      <c r="L1129" s="4">
        <f>IF($A1129="","",VALUE($A1129&amp;""))</f>
        <v/>
      </c>
      <c r="M1129" s="4">
        <f>IF($A1129="","",VALUE($B1129&amp;""))</f>
        <v/>
      </c>
      <c r="N1129" s="64">
        <f>IF($A1129="","",$H1129*설정!$C$15)</f>
        <v/>
      </c>
      <c r="O1129" s="4">
        <f>IF($A1129="","",J1129&amp;"|"&amp;K1129)</f>
        <v/>
      </c>
      <c r="P1129" s="63">
        <f>IF($A1129="","",IF(COUNTIFS(예산_원본!$T$5:$T$3004,O1129,예산_원본!$B$5:$B$3004,설정!$C$8,예산_원본!$U$5:$U$3004,L1129)&gt;0,"Y","N"))</f>
        <v/>
      </c>
      <c r="Q1129" s="63">
        <f>IF($A1129="","",IF(COUNTIF(집계!$E$7:$E$506,O1129)&gt;0,"Y","N"))</f>
        <v/>
      </c>
    </row>
    <row r="1130">
      <c r="A1130" s="60" t="n">
        <v>2026</v>
      </c>
      <c r="B1130" s="60" t="n">
        <v>3</v>
      </c>
      <c r="C1130" s="60" t="inlineStr">
        <is>
          <t>1000</t>
        </is>
      </c>
      <c r="D1130" s="60" t="n">
        <v>1501</v>
      </c>
      <c r="E1130" s="60" t="inlineStr">
        <is>
          <t>마케팅전략</t>
        </is>
      </c>
      <c r="F1130" s="60" t="n">
        <v>62102000</v>
      </c>
      <c r="G1130" s="60" t="inlineStr">
        <is>
          <t>여비교통비-해외</t>
        </is>
      </c>
      <c r="H1130" s="61" t="n">
        <v>264190</v>
      </c>
      <c r="J1130" s="63">
        <f>IF($A1130="","",IFERROR(INDEX(부서매핑!$C$5:$C$504,MATCH($D1130&amp;"",부서매핑!$A$5:$A$504,0)),"미매핑"))</f>
        <v/>
      </c>
      <c r="K1130" s="63">
        <f>IF($A1130="","",IFERROR(INDEX(계정매핑!$C$5:$C$504,MATCH($F1130&amp;"",계정매핑!$A$5:$A$504,0)),"미매핑"))</f>
        <v/>
      </c>
      <c r="L1130" s="4">
        <f>IF($A1130="","",VALUE($A1130&amp;""))</f>
        <v/>
      </c>
      <c r="M1130" s="4">
        <f>IF($A1130="","",VALUE($B1130&amp;""))</f>
        <v/>
      </c>
      <c r="N1130" s="64">
        <f>IF($A1130="","",$H1130*설정!$C$15)</f>
        <v/>
      </c>
      <c r="O1130" s="4">
        <f>IF($A1130="","",J1130&amp;"|"&amp;K1130)</f>
        <v/>
      </c>
      <c r="P1130" s="63">
        <f>IF($A1130="","",IF(COUNTIFS(예산_원본!$T$5:$T$3004,O1130,예산_원본!$B$5:$B$3004,설정!$C$8,예산_원본!$U$5:$U$3004,L1130)&gt;0,"Y","N"))</f>
        <v/>
      </c>
      <c r="Q1130" s="63">
        <f>IF($A1130="","",IF(COUNTIF(집계!$E$7:$E$506,O1130)&gt;0,"Y","N"))</f>
        <v/>
      </c>
    </row>
    <row r="1131">
      <c r="A1131" s="60" t="n">
        <v>2026</v>
      </c>
      <c r="B1131" s="60" t="n">
        <v>3</v>
      </c>
      <c r="C1131" s="60" t="inlineStr">
        <is>
          <t>1000</t>
        </is>
      </c>
      <c r="D1131" s="60" t="n">
        <v>1501</v>
      </c>
      <c r="E1131" s="60" t="inlineStr">
        <is>
          <t>마케팅전략</t>
        </is>
      </c>
      <c r="F1131" s="60" t="n">
        <v>62201000</v>
      </c>
      <c r="G1131" s="60" t="inlineStr">
        <is>
          <t>통신비</t>
        </is>
      </c>
      <c r="H1131" s="61" t="n">
        <v>558760</v>
      </c>
      <c r="J1131" s="63">
        <f>IF($A1131="","",IFERROR(INDEX(부서매핑!$C$5:$C$504,MATCH($D1131&amp;"",부서매핑!$A$5:$A$504,0)),"미매핑"))</f>
        <v/>
      </c>
      <c r="K1131" s="63">
        <f>IF($A1131="","",IFERROR(INDEX(계정매핑!$C$5:$C$504,MATCH($F1131&amp;"",계정매핑!$A$5:$A$504,0)),"미매핑"))</f>
        <v/>
      </c>
      <c r="L1131" s="4">
        <f>IF($A1131="","",VALUE($A1131&amp;""))</f>
        <v/>
      </c>
      <c r="M1131" s="4">
        <f>IF($A1131="","",VALUE($B1131&amp;""))</f>
        <v/>
      </c>
      <c r="N1131" s="64">
        <f>IF($A1131="","",$H1131*설정!$C$15)</f>
        <v/>
      </c>
      <c r="O1131" s="4">
        <f>IF($A1131="","",J1131&amp;"|"&amp;K1131)</f>
        <v/>
      </c>
      <c r="P1131" s="63">
        <f>IF($A1131="","",IF(COUNTIFS(예산_원본!$T$5:$T$3004,O1131,예산_원본!$B$5:$B$3004,설정!$C$8,예산_원본!$U$5:$U$3004,L1131)&gt;0,"Y","N"))</f>
        <v/>
      </c>
      <c r="Q1131" s="63">
        <f>IF($A1131="","",IF(COUNTIF(집계!$E$7:$E$506,O1131)&gt;0,"Y","N"))</f>
        <v/>
      </c>
    </row>
    <row r="1132">
      <c r="A1132" s="60" t="n">
        <v>2026</v>
      </c>
      <c r="B1132" s="60" t="n">
        <v>3</v>
      </c>
      <c r="C1132" s="60" t="inlineStr">
        <is>
          <t>1000</t>
        </is>
      </c>
      <c r="D1132" s="60" t="n">
        <v>1501</v>
      </c>
      <c r="E1132" s="60" t="inlineStr">
        <is>
          <t>마케팅전략</t>
        </is>
      </c>
      <c r="F1132" s="60" t="n">
        <v>62301000</v>
      </c>
      <c r="G1132" s="60" t="inlineStr">
        <is>
          <t>소모품비</t>
        </is>
      </c>
      <c r="H1132" s="61" t="n">
        <v>378960</v>
      </c>
      <c r="J1132" s="63">
        <f>IF($A1132="","",IFERROR(INDEX(부서매핑!$C$5:$C$504,MATCH($D1132&amp;"",부서매핑!$A$5:$A$504,0)),"미매핑"))</f>
        <v/>
      </c>
      <c r="K1132" s="63">
        <f>IF($A1132="","",IFERROR(INDEX(계정매핑!$C$5:$C$504,MATCH($F1132&amp;"",계정매핑!$A$5:$A$504,0)),"미매핑"))</f>
        <v/>
      </c>
      <c r="L1132" s="4">
        <f>IF($A1132="","",VALUE($A1132&amp;""))</f>
        <v/>
      </c>
      <c r="M1132" s="4">
        <f>IF($A1132="","",VALUE($B1132&amp;""))</f>
        <v/>
      </c>
      <c r="N1132" s="64">
        <f>IF($A1132="","",$H1132*설정!$C$15)</f>
        <v/>
      </c>
      <c r="O1132" s="4">
        <f>IF($A1132="","",J1132&amp;"|"&amp;K1132)</f>
        <v/>
      </c>
      <c r="P1132" s="63">
        <f>IF($A1132="","",IF(COUNTIFS(예산_원본!$T$5:$T$3004,O1132,예산_원본!$B$5:$B$3004,설정!$C$8,예산_원본!$U$5:$U$3004,L1132)&gt;0,"Y","N"))</f>
        <v/>
      </c>
      <c r="Q1132" s="63">
        <f>IF($A1132="","",IF(COUNTIF(집계!$E$7:$E$506,O1132)&gt;0,"Y","N"))</f>
        <v/>
      </c>
    </row>
    <row r="1133">
      <c r="A1133" s="60" t="n">
        <v>2026</v>
      </c>
      <c r="B1133" s="60" t="n">
        <v>3</v>
      </c>
      <c r="C1133" s="60" t="inlineStr">
        <is>
          <t>1000</t>
        </is>
      </c>
      <c r="D1133" s="60" t="n">
        <v>1501</v>
      </c>
      <c r="E1133" s="60" t="inlineStr">
        <is>
          <t>마케팅전략</t>
        </is>
      </c>
      <c r="F1133" s="60" t="n">
        <v>62401000</v>
      </c>
      <c r="G1133" s="60" t="inlineStr">
        <is>
          <t>도서인쇄비</t>
        </is>
      </c>
      <c r="H1133" s="61" t="n">
        <v>4524790</v>
      </c>
      <c r="J1133" s="63">
        <f>IF($A1133="","",IFERROR(INDEX(부서매핑!$C$5:$C$504,MATCH($D1133&amp;"",부서매핑!$A$5:$A$504,0)),"미매핑"))</f>
        <v/>
      </c>
      <c r="K1133" s="63">
        <f>IF($A1133="","",IFERROR(INDEX(계정매핑!$C$5:$C$504,MATCH($F1133&amp;"",계정매핑!$A$5:$A$504,0)),"미매핑"))</f>
        <v/>
      </c>
      <c r="L1133" s="4">
        <f>IF($A1133="","",VALUE($A1133&amp;""))</f>
        <v/>
      </c>
      <c r="M1133" s="4">
        <f>IF($A1133="","",VALUE($B1133&amp;""))</f>
        <v/>
      </c>
      <c r="N1133" s="64">
        <f>IF($A1133="","",$H1133*설정!$C$15)</f>
        <v/>
      </c>
      <c r="O1133" s="4">
        <f>IF($A1133="","",J1133&amp;"|"&amp;K1133)</f>
        <v/>
      </c>
      <c r="P1133" s="63">
        <f>IF($A1133="","",IF(COUNTIFS(예산_원본!$T$5:$T$3004,O1133,예산_원본!$B$5:$B$3004,설정!$C$8,예산_원본!$U$5:$U$3004,L1133)&gt;0,"Y","N"))</f>
        <v/>
      </c>
      <c r="Q1133" s="63">
        <f>IF($A1133="","",IF(COUNTIF(집계!$E$7:$E$506,O1133)&gt;0,"Y","N"))</f>
        <v/>
      </c>
    </row>
    <row r="1134">
      <c r="A1134" s="60" t="n">
        <v>2026</v>
      </c>
      <c r="B1134" s="60" t="n">
        <v>3</v>
      </c>
      <c r="C1134" s="60" t="inlineStr">
        <is>
          <t>1000</t>
        </is>
      </c>
      <c r="D1134" s="60" t="n">
        <v>1501</v>
      </c>
      <c r="E1134" s="60" t="inlineStr">
        <is>
          <t>마케팅전략</t>
        </is>
      </c>
      <c r="F1134" s="60" t="n">
        <v>62501000</v>
      </c>
      <c r="G1134" s="60" t="inlineStr">
        <is>
          <t>회의비</t>
        </is>
      </c>
      <c r="H1134" s="61" t="n">
        <v>722520</v>
      </c>
      <c r="J1134" s="63">
        <f>IF($A1134="","",IFERROR(INDEX(부서매핑!$C$5:$C$504,MATCH($D1134&amp;"",부서매핑!$A$5:$A$504,0)),"미매핑"))</f>
        <v/>
      </c>
      <c r="K1134" s="63">
        <f>IF($A1134="","",IFERROR(INDEX(계정매핑!$C$5:$C$504,MATCH($F1134&amp;"",계정매핑!$A$5:$A$504,0)),"미매핑"))</f>
        <v/>
      </c>
      <c r="L1134" s="4">
        <f>IF($A1134="","",VALUE($A1134&amp;""))</f>
        <v/>
      </c>
      <c r="M1134" s="4">
        <f>IF($A1134="","",VALUE($B1134&amp;""))</f>
        <v/>
      </c>
      <c r="N1134" s="64">
        <f>IF($A1134="","",$H1134*설정!$C$15)</f>
        <v/>
      </c>
      <c r="O1134" s="4">
        <f>IF($A1134="","",J1134&amp;"|"&amp;K1134)</f>
        <v/>
      </c>
      <c r="P1134" s="63">
        <f>IF($A1134="","",IF(COUNTIFS(예산_원본!$T$5:$T$3004,O1134,예산_원본!$B$5:$B$3004,설정!$C$8,예산_원본!$U$5:$U$3004,L1134)&gt;0,"Y","N"))</f>
        <v/>
      </c>
      <c r="Q1134" s="63">
        <f>IF($A1134="","",IF(COUNTIF(집계!$E$7:$E$506,O1134)&gt;0,"Y","N"))</f>
        <v/>
      </c>
    </row>
    <row r="1135">
      <c r="A1135" s="60" t="n">
        <v>2026</v>
      </c>
      <c r="B1135" s="60" t="n">
        <v>3</v>
      </c>
      <c r="C1135" s="60" t="inlineStr">
        <is>
          <t>1000</t>
        </is>
      </c>
      <c r="D1135" s="60" t="n">
        <v>1501</v>
      </c>
      <c r="E1135" s="60" t="inlineStr">
        <is>
          <t>마케팅전략</t>
        </is>
      </c>
      <c r="F1135" s="60" t="n">
        <v>62601000</v>
      </c>
      <c r="G1135" s="60" t="inlineStr">
        <is>
          <t>업무추진비</t>
        </is>
      </c>
      <c r="H1135" s="61" t="n">
        <v>1700280</v>
      </c>
      <c r="J1135" s="63">
        <f>IF($A1135="","",IFERROR(INDEX(부서매핑!$C$5:$C$504,MATCH($D1135&amp;"",부서매핑!$A$5:$A$504,0)),"미매핑"))</f>
        <v/>
      </c>
      <c r="K1135" s="63">
        <f>IF($A1135="","",IFERROR(INDEX(계정매핑!$C$5:$C$504,MATCH($F1135&amp;"",계정매핑!$A$5:$A$504,0)),"미매핑"))</f>
        <v/>
      </c>
      <c r="L1135" s="4">
        <f>IF($A1135="","",VALUE($A1135&amp;""))</f>
        <v/>
      </c>
      <c r="M1135" s="4">
        <f>IF($A1135="","",VALUE($B1135&amp;""))</f>
        <v/>
      </c>
      <c r="N1135" s="64">
        <f>IF($A1135="","",$H1135*설정!$C$15)</f>
        <v/>
      </c>
      <c r="O1135" s="4">
        <f>IF($A1135="","",J1135&amp;"|"&amp;K1135)</f>
        <v/>
      </c>
      <c r="P1135" s="63">
        <f>IF($A1135="","",IF(COUNTIFS(예산_원본!$T$5:$T$3004,O1135,예산_원본!$B$5:$B$3004,설정!$C$8,예산_원본!$U$5:$U$3004,L1135)&gt;0,"Y","N"))</f>
        <v/>
      </c>
      <c r="Q1135" s="63">
        <f>IF($A1135="","",IF(COUNTIF(집계!$E$7:$E$506,O1135)&gt;0,"Y","N"))</f>
        <v/>
      </c>
    </row>
    <row r="1136">
      <c r="A1136" s="60" t="n">
        <v>2026</v>
      </c>
      <c r="B1136" s="60" t="n">
        <v>3</v>
      </c>
      <c r="C1136" s="60" t="inlineStr">
        <is>
          <t>1000</t>
        </is>
      </c>
      <c r="D1136" s="60" t="n">
        <v>1501</v>
      </c>
      <c r="E1136" s="60" t="inlineStr">
        <is>
          <t>마케팅전략</t>
        </is>
      </c>
      <c r="F1136" s="60" t="n">
        <v>62701000</v>
      </c>
      <c r="G1136" s="60" t="inlineStr">
        <is>
          <t>광고선전비</t>
        </is>
      </c>
      <c r="H1136" s="61" t="n">
        <v>182319700</v>
      </c>
      <c r="J1136" s="63">
        <f>IF($A1136="","",IFERROR(INDEX(부서매핑!$C$5:$C$504,MATCH($D1136&amp;"",부서매핑!$A$5:$A$504,0)),"미매핑"))</f>
        <v/>
      </c>
      <c r="K1136" s="63">
        <f>IF($A1136="","",IFERROR(INDEX(계정매핑!$C$5:$C$504,MATCH($F1136&amp;"",계정매핑!$A$5:$A$504,0)),"미매핑"))</f>
        <v/>
      </c>
      <c r="L1136" s="4">
        <f>IF($A1136="","",VALUE($A1136&amp;""))</f>
        <v/>
      </c>
      <c r="M1136" s="4">
        <f>IF($A1136="","",VALUE($B1136&amp;""))</f>
        <v/>
      </c>
      <c r="N1136" s="64">
        <f>IF($A1136="","",$H1136*설정!$C$15)</f>
        <v/>
      </c>
      <c r="O1136" s="4">
        <f>IF($A1136="","",J1136&amp;"|"&amp;K1136)</f>
        <v/>
      </c>
      <c r="P1136" s="63">
        <f>IF($A1136="","",IF(COUNTIFS(예산_원본!$T$5:$T$3004,O1136,예산_원본!$B$5:$B$3004,설정!$C$8,예산_원본!$U$5:$U$3004,L1136)&gt;0,"Y","N"))</f>
        <v/>
      </c>
      <c r="Q1136" s="63">
        <f>IF($A1136="","",IF(COUNTIF(집계!$E$7:$E$506,O1136)&gt;0,"Y","N"))</f>
        <v/>
      </c>
    </row>
    <row r="1137">
      <c r="A1137" s="60" t="n">
        <v>2026</v>
      </c>
      <c r="B1137" s="60" t="n">
        <v>3</v>
      </c>
      <c r="C1137" s="60" t="inlineStr">
        <is>
          <t>1000</t>
        </is>
      </c>
      <c r="D1137" s="60" t="n">
        <v>1502</v>
      </c>
      <c r="E1137" s="60" t="inlineStr">
        <is>
          <t>디지털마케팅</t>
        </is>
      </c>
      <c r="F1137" s="60" t="n">
        <v>62101000</v>
      </c>
      <c r="G1137" s="60" t="inlineStr">
        <is>
          <t>여비교통비-국내</t>
        </is>
      </c>
      <c r="H1137" s="61" t="n">
        <v>983660</v>
      </c>
      <c r="J1137" s="63">
        <f>IF($A1137="","",IFERROR(INDEX(부서매핑!$C$5:$C$504,MATCH($D1137&amp;"",부서매핑!$A$5:$A$504,0)),"미매핑"))</f>
        <v/>
      </c>
      <c r="K1137" s="63">
        <f>IF($A1137="","",IFERROR(INDEX(계정매핑!$C$5:$C$504,MATCH($F1137&amp;"",계정매핑!$A$5:$A$504,0)),"미매핑"))</f>
        <v/>
      </c>
      <c r="L1137" s="4">
        <f>IF($A1137="","",VALUE($A1137&amp;""))</f>
        <v/>
      </c>
      <c r="M1137" s="4">
        <f>IF($A1137="","",VALUE($B1137&amp;""))</f>
        <v/>
      </c>
      <c r="N1137" s="64">
        <f>IF($A1137="","",$H1137*설정!$C$15)</f>
        <v/>
      </c>
      <c r="O1137" s="4">
        <f>IF($A1137="","",J1137&amp;"|"&amp;K1137)</f>
        <v/>
      </c>
      <c r="P1137" s="63">
        <f>IF($A1137="","",IF(COUNTIFS(예산_원본!$T$5:$T$3004,O1137,예산_원본!$B$5:$B$3004,설정!$C$8,예산_원본!$U$5:$U$3004,L1137)&gt;0,"Y","N"))</f>
        <v/>
      </c>
      <c r="Q1137" s="63">
        <f>IF($A1137="","",IF(COUNTIF(집계!$E$7:$E$506,O1137)&gt;0,"Y","N"))</f>
        <v/>
      </c>
    </row>
    <row r="1138">
      <c r="A1138" s="60" t="n">
        <v>2026</v>
      </c>
      <c r="B1138" s="60" t="n">
        <v>3</v>
      </c>
      <c r="C1138" s="60" t="inlineStr">
        <is>
          <t>1000</t>
        </is>
      </c>
      <c r="D1138" s="60" t="n">
        <v>1502</v>
      </c>
      <c r="E1138" s="60" t="inlineStr">
        <is>
          <t>디지털마케팅</t>
        </is>
      </c>
      <c r="F1138" s="60" t="n">
        <v>62102000</v>
      </c>
      <c r="G1138" s="60" t="inlineStr">
        <is>
          <t>여비교통비-해외</t>
        </is>
      </c>
      <c r="H1138" s="61" t="n">
        <v>191430</v>
      </c>
      <c r="J1138" s="63">
        <f>IF($A1138="","",IFERROR(INDEX(부서매핑!$C$5:$C$504,MATCH($D1138&amp;"",부서매핑!$A$5:$A$504,0)),"미매핑"))</f>
        <v/>
      </c>
      <c r="K1138" s="63">
        <f>IF($A1138="","",IFERROR(INDEX(계정매핑!$C$5:$C$504,MATCH($F1138&amp;"",계정매핑!$A$5:$A$504,0)),"미매핑"))</f>
        <v/>
      </c>
      <c r="L1138" s="4">
        <f>IF($A1138="","",VALUE($A1138&amp;""))</f>
        <v/>
      </c>
      <c r="M1138" s="4">
        <f>IF($A1138="","",VALUE($B1138&amp;""))</f>
        <v/>
      </c>
      <c r="N1138" s="64">
        <f>IF($A1138="","",$H1138*설정!$C$15)</f>
        <v/>
      </c>
      <c r="O1138" s="4">
        <f>IF($A1138="","",J1138&amp;"|"&amp;K1138)</f>
        <v/>
      </c>
      <c r="P1138" s="63">
        <f>IF($A1138="","",IF(COUNTIFS(예산_원본!$T$5:$T$3004,O1138,예산_원본!$B$5:$B$3004,설정!$C$8,예산_원본!$U$5:$U$3004,L1138)&gt;0,"Y","N"))</f>
        <v/>
      </c>
      <c r="Q1138" s="63">
        <f>IF($A1138="","",IF(COUNTIF(집계!$E$7:$E$506,O1138)&gt;0,"Y","N"))</f>
        <v/>
      </c>
    </row>
    <row r="1139">
      <c r="A1139" s="60" t="n">
        <v>2026</v>
      </c>
      <c r="B1139" s="60" t="n">
        <v>3</v>
      </c>
      <c r="C1139" s="60" t="inlineStr">
        <is>
          <t>1000</t>
        </is>
      </c>
      <c r="D1139" s="60" t="n">
        <v>1502</v>
      </c>
      <c r="E1139" s="60" t="inlineStr">
        <is>
          <t>디지털마케팅</t>
        </is>
      </c>
      <c r="F1139" s="60" t="n">
        <v>62201000</v>
      </c>
      <c r="G1139" s="60" t="inlineStr">
        <is>
          <t>통신비</t>
        </is>
      </c>
      <c r="H1139" s="61" t="n">
        <v>409580</v>
      </c>
      <c r="J1139" s="63">
        <f>IF($A1139="","",IFERROR(INDEX(부서매핑!$C$5:$C$504,MATCH($D1139&amp;"",부서매핑!$A$5:$A$504,0)),"미매핑"))</f>
        <v/>
      </c>
      <c r="K1139" s="63">
        <f>IF($A1139="","",IFERROR(INDEX(계정매핑!$C$5:$C$504,MATCH($F1139&amp;"",계정매핑!$A$5:$A$504,0)),"미매핑"))</f>
        <v/>
      </c>
      <c r="L1139" s="4">
        <f>IF($A1139="","",VALUE($A1139&amp;""))</f>
        <v/>
      </c>
      <c r="M1139" s="4">
        <f>IF($A1139="","",VALUE($B1139&amp;""))</f>
        <v/>
      </c>
      <c r="N1139" s="64">
        <f>IF($A1139="","",$H1139*설정!$C$15)</f>
        <v/>
      </c>
      <c r="O1139" s="4">
        <f>IF($A1139="","",J1139&amp;"|"&amp;K1139)</f>
        <v/>
      </c>
      <c r="P1139" s="63">
        <f>IF($A1139="","",IF(COUNTIFS(예산_원본!$T$5:$T$3004,O1139,예산_원본!$B$5:$B$3004,설정!$C$8,예산_원본!$U$5:$U$3004,L1139)&gt;0,"Y","N"))</f>
        <v/>
      </c>
      <c r="Q1139" s="63">
        <f>IF($A1139="","",IF(COUNTIF(집계!$E$7:$E$506,O1139)&gt;0,"Y","N"))</f>
        <v/>
      </c>
    </row>
    <row r="1140">
      <c r="A1140" s="60" t="n">
        <v>2026</v>
      </c>
      <c r="B1140" s="60" t="n">
        <v>3</v>
      </c>
      <c r="C1140" s="60" t="inlineStr">
        <is>
          <t>1000</t>
        </is>
      </c>
      <c r="D1140" s="60" t="n">
        <v>1502</v>
      </c>
      <c r="E1140" s="60" t="inlineStr">
        <is>
          <t>디지털마케팅</t>
        </is>
      </c>
      <c r="F1140" s="60" t="n">
        <v>62301000</v>
      </c>
      <c r="G1140" s="60" t="inlineStr">
        <is>
          <t>소모품비</t>
        </is>
      </c>
      <c r="H1140" s="61" t="n">
        <v>252740</v>
      </c>
      <c r="J1140" s="63">
        <f>IF($A1140="","",IFERROR(INDEX(부서매핑!$C$5:$C$504,MATCH($D1140&amp;"",부서매핑!$A$5:$A$504,0)),"미매핑"))</f>
        <v/>
      </c>
      <c r="K1140" s="63">
        <f>IF($A1140="","",IFERROR(INDEX(계정매핑!$C$5:$C$504,MATCH($F1140&amp;"",계정매핑!$A$5:$A$504,0)),"미매핑"))</f>
        <v/>
      </c>
      <c r="L1140" s="4">
        <f>IF($A1140="","",VALUE($A1140&amp;""))</f>
        <v/>
      </c>
      <c r="M1140" s="4">
        <f>IF($A1140="","",VALUE($B1140&amp;""))</f>
        <v/>
      </c>
      <c r="N1140" s="64">
        <f>IF($A1140="","",$H1140*설정!$C$15)</f>
        <v/>
      </c>
      <c r="O1140" s="4">
        <f>IF($A1140="","",J1140&amp;"|"&amp;K1140)</f>
        <v/>
      </c>
      <c r="P1140" s="63">
        <f>IF($A1140="","",IF(COUNTIFS(예산_원본!$T$5:$T$3004,O1140,예산_원본!$B$5:$B$3004,설정!$C$8,예산_원본!$U$5:$U$3004,L1140)&gt;0,"Y","N"))</f>
        <v/>
      </c>
      <c r="Q1140" s="63">
        <f>IF($A1140="","",IF(COUNTIF(집계!$E$7:$E$506,O1140)&gt;0,"Y","N"))</f>
        <v/>
      </c>
    </row>
    <row r="1141">
      <c r="A1141" s="60" t="n">
        <v>2026</v>
      </c>
      <c r="B1141" s="60" t="n">
        <v>3</v>
      </c>
      <c r="C1141" s="60" t="inlineStr">
        <is>
          <t>1000</t>
        </is>
      </c>
      <c r="D1141" s="60" t="n">
        <v>1502</v>
      </c>
      <c r="E1141" s="60" t="inlineStr">
        <is>
          <t>디지털마케팅</t>
        </is>
      </c>
      <c r="F1141" s="60" t="n">
        <v>62401000</v>
      </c>
      <c r="G1141" s="60" t="inlineStr">
        <is>
          <t>도서인쇄비</t>
        </is>
      </c>
      <c r="H1141" s="61" t="n">
        <v>2895920</v>
      </c>
      <c r="J1141" s="63">
        <f>IF($A1141="","",IFERROR(INDEX(부서매핑!$C$5:$C$504,MATCH($D1141&amp;"",부서매핑!$A$5:$A$504,0)),"미매핑"))</f>
        <v/>
      </c>
      <c r="K1141" s="63">
        <f>IF($A1141="","",IFERROR(INDEX(계정매핑!$C$5:$C$504,MATCH($F1141&amp;"",계정매핑!$A$5:$A$504,0)),"미매핑"))</f>
        <v/>
      </c>
      <c r="L1141" s="4">
        <f>IF($A1141="","",VALUE($A1141&amp;""))</f>
        <v/>
      </c>
      <c r="M1141" s="4">
        <f>IF($A1141="","",VALUE($B1141&amp;""))</f>
        <v/>
      </c>
      <c r="N1141" s="64">
        <f>IF($A1141="","",$H1141*설정!$C$15)</f>
        <v/>
      </c>
      <c r="O1141" s="4">
        <f>IF($A1141="","",J1141&amp;"|"&amp;K1141)</f>
        <v/>
      </c>
      <c r="P1141" s="63">
        <f>IF($A1141="","",IF(COUNTIFS(예산_원본!$T$5:$T$3004,O1141,예산_원본!$B$5:$B$3004,설정!$C$8,예산_원본!$U$5:$U$3004,L1141)&gt;0,"Y","N"))</f>
        <v/>
      </c>
      <c r="Q1141" s="63">
        <f>IF($A1141="","",IF(COUNTIF(집계!$E$7:$E$506,O1141)&gt;0,"Y","N"))</f>
        <v/>
      </c>
    </row>
    <row r="1142">
      <c r="A1142" s="60" t="n">
        <v>2026</v>
      </c>
      <c r="B1142" s="60" t="n">
        <v>3</v>
      </c>
      <c r="C1142" s="60" t="inlineStr">
        <is>
          <t>1000</t>
        </is>
      </c>
      <c r="D1142" s="60" t="n">
        <v>1502</v>
      </c>
      <c r="E1142" s="60" t="inlineStr">
        <is>
          <t>디지털마케팅</t>
        </is>
      </c>
      <c r="F1142" s="60" t="n">
        <v>62501000</v>
      </c>
      <c r="G1142" s="60" t="inlineStr">
        <is>
          <t>회의비</t>
        </is>
      </c>
      <c r="H1142" s="61" t="n">
        <v>535430</v>
      </c>
      <c r="J1142" s="63">
        <f>IF($A1142="","",IFERROR(INDEX(부서매핑!$C$5:$C$504,MATCH($D1142&amp;"",부서매핑!$A$5:$A$504,0)),"미매핑"))</f>
        <v/>
      </c>
      <c r="K1142" s="63">
        <f>IF($A1142="","",IFERROR(INDEX(계정매핑!$C$5:$C$504,MATCH($F1142&amp;"",계정매핑!$A$5:$A$504,0)),"미매핑"))</f>
        <v/>
      </c>
      <c r="L1142" s="4">
        <f>IF($A1142="","",VALUE($A1142&amp;""))</f>
        <v/>
      </c>
      <c r="M1142" s="4">
        <f>IF($A1142="","",VALUE($B1142&amp;""))</f>
        <v/>
      </c>
      <c r="N1142" s="64">
        <f>IF($A1142="","",$H1142*설정!$C$15)</f>
        <v/>
      </c>
      <c r="O1142" s="4">
        <f>IF($A1142="","",J1142&amp;"|"&amp;K1142)</f>
        <v/>
      </c>
      <c r="P1142" s="63">
        <f>IF($A1142="","",IF(COUNTIFS(예산_원본!$T$5:$T$3004,O1142,예산_원본!$B$5:$B$3004,설정!$C$8,예산_원본!$U$5:$U$3004,L1142)&gt;0,"Y","N"))</f>
        <v/>
      </c>
      <c r="Q1142" s="63">
        <f>IF($A1142="","",IF(COUNTIF(집계!$E$7:$E$506,O1142)&gt;0,"Y","N"))</f>
        <v/>
      </c>
    </row>
    <row r="1143">
      <c r="A1143" s="60" t="n">
        <v>2026</v>
      </c>
      <c r="B1143" s="60" t="n">
        <v>3</v>
      </c>
      <c r="C1143" s="60" t="inlineStr">
        <is>
          <t>1000</t>
        </is>
      </c>
      <c r="D1143" s="60" t="n">
        <v>1502</v>
      </c>
      <c r="E1143" s="60" t="inlineStr">
        <is>
          <t>디지털마케팅</t>
        </is>
      </c>
      <c r="F1143" s="60" t="n">
        <v>62601000</v>
      </c>
      <c r="G1143" s="60" t="inlineStr">
        <is>
          <t>업무추진비</t>
        </is>
      </c>
      <c r="H1143" s="61" t="n">
        <v>1210480</v>
      </c>
      <c r="J1143" s="63">
        <f>IF($A1143="","",IFERROR(INDEX(부서매핑!$C$5:$C$504,MATCH($D1143&amp;"",부서매핑!$A$5:$A$504,0)),"미매핑"))</f>
        <v/>
      </c>
      <c r="K1143" s="63">
        <f>IF($A1143="","",IFERROR(INDEX(계정매핑!$C$5:$C$504,MATCH($F1143&amp;"",계정매핑!$A$5:$A$504,0)),"미매핑"))</f>
        <v/>
      </c>
      <c r="L1143" s="4">
        <f>IF($A1143="","",VALUE($A1143&amp;""))</f>
        <v/>
      </c>
      <c r="M1143" s="4">
        <f>IF($A1143="","",VALUE($B1143&amp;""))</f>
        <v/>
      </c>
      <c r="N1143" s="64">
        <f>IF($A1143="","",$H1143*설정!$C$15)</f>
        <v/>
      </c>
      <c r="O1143" s="4">
        <f>IF($A1143="","",J1143&amp;"|"&amp;K1143)</f>
        <v/>
      </c>
      <c r="P1143" s="63">
        <f>IF($A1143="","",IF(COUNTIFS(예산_원본!$T$5:$T$3004,O1143,예산_원본!$B$5:$B$3004,설정!$C$8,예산_원본!$U$5:$U$3004,L1143)&gt;0,"Y","N"))</f>
        <v/>
      </c>
      <c r="Q1143" s="63">
        <f>IF($A1143="","",IF(COUNTIF(집계!$E$7:$E$506,O1143)&gt;0,"Y","N"))</f>
        <v/>
      </c>
    </row>
    <row r="1144">
      <c r="A1144" s="60" t="n">
        <v>2026</v>
      </c>
      <c r="B1144" s="60" t="n">
        <v>3</v>
      </c>
      <c r="C1144" s="60" t="inlineStr">
        <is>
          <t>1000</t>
        </is>
      </c>
      <c r="D1144" s="60" t="n">
        <v>1502</v>
      </c>
      <c r="E1144" s="60" t="inlineStr">
        <is>
          <t>디지털마케팅</t>
        </is>
      </c>
      <c r="F1144" s="60" t="n">
        <v>62701000</v>
      </c>
      <c r="G1144" s="60" t="inlineStr">
        <is>
          <t>광고선전비</t>
        </is>
      </c>
      <c r="H1144" s="61" t="n">
        <v>110244480</v>
      </c>
      <c r="J1144" s="63">
        <f>IF($A1144="","",IFERROR(INDEX(부서매핑!$C$5:$C$504,MATCH($D1144&amp;"",부서매핑!$A$5:$A$504,0)),"미매핑"))</f>
        <v/>
      </c>
      <c r="K1144" s="63">
        <f>IF($A1144="","",IFERROR(INDEX(계정매핑!$C$5:$C$504,MATCH($F1144&amp;"",계정매핑!$A$5:$A$504,0)),"미매핑"))</f>
        <v/>
      </c>
      <c r="L1144" s="4">
        <f>IF($A1144="","",VALUE($A1144&amp;""))</f>
        <v/>
      </c>
      <c r="M1144" s="4">
        <f>IF($A1144="","",VALUE($B1144&amp;""))</f>
        <v/>
      </c>
      <c r="N1144" s="64">
        <f>IF($A1144="","",$H1144*설정!$C$15)</f>
        <v/>
      </c>
      <c r="O1144" s="4">
        <f>IF($A1144="","",J1144&amp;"|"&amp;K1144)</f>
        <v/>
      </c>
      <c r="P1144" s="63">
        <f>IF($A1144="","",IF(COUNTIFS(예산_원본!$T$5:$T$3004,O1144,예산_원본!$B$5:$B$3004,설정!$C$8,예산_원본!$U$5:$U$3004,L1144)&gt;0,"Y","N"))</f>
        <v/>
      </c>
      <c r="Q1144" s="63">
        <f>IF($A1144="","",IF(COUNTIF(집계!$E$7:$E$506,O1144)&gt;0,"Y","N"))</f>
        <v/>
      </c>
    </row>
    <row r="1145">
      <c r="A1145" s="60" t="n">
        <v>2026</v>
      </c>
      <c r="B1145" s="60" t="n">
        <v>3</v>
      </c>
      <c r="C1145" s="60" t="inlineStr">
        <is>
          <t>1000</t>
        </is>
      </c>
      <c r="D1145" s="60" t="n">
        <v>1601</v>
      </c>
      <c r="E1145" s="60" t="inlineStr">
        <is>
          <t>영업지원-본사</t>
        </is>
      </c>
      <c r="F1145" s="60" t="n">
        <v>62101000</v>
      </c>
      <c r="G1145" s="60" t="inlineStr">
        <is>
          <t>여비교통비-국내</t>
        </is>
      </c>
      <c r="H1145" s="61" t="n">
        <v>3158300</v>
      </c>
      <c r="J1145" s="63">
        <f>IF($A1145="","",IFERROR(INDEX(부서매핑!$C$5:$C$504,MATCH($D1145&amp;"",부서매핑!$A$5:$A$504,0)),"미매핑"))</f>
        <v/>
      </c>
      <c r="K1145" s="63">
        <f>IF($A1145="","",IFERROR(INDEX(계정매핑!$C$5:$C$504,MATCH($F1145&amp;"",계정매핑!$A$5:$A$504,0)),"미매핑"))</f>
        <v/>
      </c>
      <c r="L1145" s="4">
        <f>IF($A1145="","",VALUE($A1145&amp;""))</f>
        <v/>
      </c>
      <c r="M1145" s="4">
        <f>IF($A1145="","",VALUE($B1145&amp;""))</f>
        <v/>
      </c>
      <c r="N1145" s="64">
        <f>IF($A1145="","",$H1145*설정!$C$15)</f>
        <v/>
      </c>
      <c r="O1145" s="4">
        <f>IF($A1145="","",J1145&amp;"|"&amp;K1145)</f>
        <v/>
      </c>
      <c r="P1145" s="63">
        <f>IF($A1145="","",IF(COUNTIFS(예산_원본!$T$5:$T$3004,O1145,예산_원본!$B$5:$B$3004,설정!$C$8,예산_원본!$U$5:$U$3004,L1145)&gt;0,"Y","N"))</f>
        <v/>
      </c>
      <c r="Q1145" s="63">
        <f>IF($A1145="","",IF(COUNTIF(집계!$E$7:$E$506,O1145)&gt;0,"Y","N"))</f>
        <v/>
      </c>
    </row>
    <row r="1146">
      <c r="A1146" s="60" t="n">
        <v>2026</v>
      </c>
      <c r="B1146" s="60" t="n">
        <v>3</v>
      </c>
      <c r="C1146" s="60" t="inlineStr">
        <is>
          <t>1000</t>
        </is>
      </c>
      <c r="D1146" s="60" t="n">
        <v>1601</v>
      </c>
      <c r="E1146" s="60" t="inlineStr">
        <is>
          <t>영업지원-본사</t>
        </is>
      </c>
      <c r="F1146" s="60" t="n">
        <v>62102000</v>
      </c>
      <c r="G1146" s="60" t="inlineStr">
        <is>
          <t>여비교통비-해외</t>
        </is>
      </c>
      <c r="H1146" s="61" t="n">
        <v>553380</v>
      </c>
      <c r="J1146" s="63">
        <f>IF($A1146="","",IFERROR(INDEX(부서매핑!$C$5:$C$504,MATCH($D1146&amp;"",부서매핑!$A$5:$A$504,0)),"미매핑"))</f>
        <v/>
      </c>
      <c r="K1146" s="63">
        <f>IF($A1146="","",IFERROR(INDEX(계정매핑!$C$5:$C$504,MATCH($F1146&amp;"",계정매핑!$A$5:$A$504,0)),"미매핑"))</f>
        <v/>
      </c>
      <c r="L1146" s="4">
        <f>IF($A1146="","",VALUE($A1146&amp;""))</f>
        <v/>
      </c>
      <c r="M1146" s="4">
        <f>IF($A1146="","",VALUE($B1146&amp;""))</f>
        <v/>
      </c>
      <c r="N1146" s="64">
        <f>IF($A1146="","",$H1146*설정!$C$15)</f>
        <v/>
      </c>
      <c r="O1146" s="4">
        <f>IF($A1146="","",J1146&amp;"|"&amp;K1146)</f>
        <v/>
      </c>
      <c r="P1146" s="63">
        <f>IF($A1146="","",IF(COUNTIFS(예산_원본!$T$5:$T$3004,O1146,예산_원본!$B$5:$B$3004,설정!$C$8,예산_원본!$U$5:$U$3004,L1146)&gt;0,"Y","N"))</f>
        <v/>
      </c>
      <c r="Q1146" s="63">
        <f>IF($A1146="","",IF(COUNTIF(집계!$E$7:$E$506,O1146)&gt;0,"Y","N"))</f>
        <v/>
      </c>
    </row>
    <row r="1147">
      <c r="A1147" s="60" t="n">
        <v>2026</v>
      </c>
      <c r="B1147" s="60" t="n">
        <v>3</v>
      </c>
      <c r="C1147" s="60" t="inlineStr">
        <is>
          <t>1000</t>
        </is>
      </c>
      <c r="D1147" s="60" t="n">
        <v>1601</v>
      </c>
      <c r="E1147" s="60" t="inlineStr">
        <is>
          <t>영업지원-본사</t>
        </is>
      </c>
      <c r="F1147" s="60" t="n">
        <v>62201000</v>
      </c>
      <c r="G1147" s="60" t="inlineStr">
        <is>
          <t>통신비</t>
        </is>
      </c>
      <c r="H1147" s="61" t="n">
        <v>1034140</v>
      </c>
      <c r="J1147" s="63">
        <f>IF($A1147="","",IFERROR(INDEX(부서매핑!$C$5:$C$504,MATCH($D1147&amp;"",부서매핑!$A$5:$A$504,0)),"미매핑"))</f>
        <v/>
      </c>
      <c r="K1147" s="63">
        <f>IF($A1147="","",IFERROR(INDEX(계정매핑!$C$5:$C$504,MATCH($F1147&amp;"",계정매핑!$A$5:$A$504,0)),"미매핑"))</f>
        <v/>
      </c>
      <c r="L1147" s="4">
        <f>IF($A1147="","",VALUE($A1147&amp;""))</f>
        <v/>
      </c>
      <c r="M1147" s="4">
        <f>IF($A1147="","",VALUE($B1147&amp;""))</f>
        <v/>
      </c>
      <c r="N1147" s="64">
        <f>IF($A1147="","",$H1147*설정!$C$15)</f>
        <v/>
      </c>
      <c r="O1147" s="4">
        <f>IF($A1147="","",J1147&amp;"|"&amp;K1147)</f>
        <v/>
      </c>
      <c r="P1147" s="63">
        <f>IF($A1147="","",IF(COUNTIFS(예산_원본!$T$5:$T$3004,O1147,예산_원본!$B$5:$B$3004,설정!$C$8,예산_원본!$U$5:$U$3004,L1147)&gt;0,"Y","N"))</f>
        <v/>
      </c>
      <c r="Q1147" s="63">
        <f>IF($A1147="","",IF(COUNTIF(집계!$E$7:$E$506,O1147)&gt;0,"Y","N"))</f>
        <v/>
      </c>
    </row>
    <row r="1148">
      <c r="A1148" s="60" t="n">
        <v>2026</v>
      </c>
      <c r="B1148" s="60" t="n">
        <v>3</v>
      </c>
      <c r="C1148" s="60" t="inlineStr">
        <is>
          <t>1000</t>
        </is>
      </c>
      <c r="D1148" s="60" t="n">
        <v>1601</v>
      </c>
      <c r="E1148" s="60" t="inlineStr">
        <is>
          <t>영업지원-본사</t>
        </is>
      </c>
      <c r="F1148" s="60" t="n">
        <v>62301000</v>
      </c>
      <c r="G1148" s="60" t="inlineStr">
        <is>
          <t>소모품비</t>
        </is>
      </c>
      <c r="H1148" s="61" t="n">
        <v>689780</v>
      </c>
      <c r="J1148" s="63">
        <f>IF($A1148="","",IFERROR(INDEX(부서매핑!$C$5:$C$504,MATCH($D1148&amp;"",부서매핑!$A$5:$A$504,0)),"미매핑"))</f>
        <v/>
      </c>
      <c r="K1148" s="63">
        <f>IF($A1148="","",IFERROR(INDEX(계정매핑!$C$5:$C$504,MATCH($F1148&amp;"",계정매핑!$A$5:$A$504,0)),"미매핑"))</f>
        <v/>
      </c>
      <c r="L1148" s="4">
        <f>IF($A1148="","",VALUE($A1148&amp;""))</f>
        <v/>
      </c>
      <c r="M1148" s="4">
        <f>IF($A1148="","",VALUE($B1148&amp;""))</f>
        <v/>
      </c>
      <c r="N1148" s="64">
        <f>IF($A1148="","",$H1148*설정!$C$15)</f>
        <v/>
      </c>
      <c r="O1148" s="4">
        <f>IF($A1148="","",J1148&amp;"|"&amp;K1148)</f>
        <v/>
      </c>
      <c r="P1148" s="63">
        <f>IF($A1148="","",IF(COUNTIFS(예산_원본!$T$5:$T$3004,O1148,예산_원본!$B$5:$B$3004,설정!$C$8,예산_원본!$U$5:$U$3004,L1148)&gt;0,"Y","N"))</f>
        <v/>
      </c>
      <c r="Q1148" s="63">
        <f>IF($A1148="","",IF(COUNTIF(집계!$E$7:$E$506,O1148)&gt;0,"Y","N"))</f>
        <v/>
      </c>
    </row>
    <row r="1149">
      <c r="A1149" s="60" t="n">
        <v>2026</v>
      </c>
      <c r="B1149" s="60" t="n">
        <v>3</v>
      </c>
      <c r="C1149" s="60" t="inlineStr">
        <is>
          <t>1000</t>
        </is>
      </c>
      <c r="D1149" s="60" t="n">
        <v>1601</v>
      </c>
      <c r="E1149" s="60" t="inlineStr">
        <is>
          <t>영업지원-본사</t>
        </is>
      </c>
      <c r="F1149" s="60" t="n">
        <v>62501000</v>
      </c>
      <c r="G1149" s="60" t="inlineStr">
        <is>
          <t>회의비</t>
        </is>
      </c>
      <c r="H1149" s="61" t="n">
        <v>836180</v>
      </c>
      <c r="J1149" s="63">
        <f>IF($A1149="","",IFERROR(INDEX(부서매핑!$C$5:$C$504,MATCH($D1149&amp;"",부서매핑!$A$5:$A$504,0)),"미매핑"))</f>
        <v/>
      </c>
      <c r="K1149" s="63">
        <f>IF($A1149="","",IFERROR(INDEX(계정매핑!$C$5:$C$504,MATCH($F1149&amp;"",계정매핑!$A$5:$A$504,0)),"미매핑"))</f>
        <v/>
      </c>
      <c r="L1149" s="4">
        <f>IF($A1149="","",VALUE($A1149&amp;""))</f>
        <v/>
      </c>
      <c r="M1149" s="4">
        <f>IF($A1149="","",VALUE($B1149&amp;""))</f>
        <v/>
      </c>
      <c r="N1149" s="64">
        <f>IF($A1149="","",$H1149*설정!$C$15)</f>
        <v/>
      </c>
      <c r="O1149" s="4">
        <f>IF($A1149="","",J1149&amp;"|"&amp;K1149)</f>
        <v/>
      </c>
      <c r="P1149" s="63">
        <f>IF($A1149="","",IF(COUNTIFS(예산_원본!$T$5:$T$3004,O1149,예산_원본!$B$5:$B$3004,설정!$C$8,예산_원본!$U$5:$U$3004,L1149)&gt;0,"Y","N"))</f>
        <v/>
      </c>
      <c r="Q1149" s="63">
        <f>IF($A1149="","",IF(COUNTIF(집계!$E$7:$E$506,O1149)&gt;0,"Y","N"))</f>
        <v/>
      </c>
    </row>
    <row r="1150">
      <c r="A1150" s="60" t="n">
        <v>2026</v>
      </c>
      <c r="B1150" s="60" t="n">
        <v>3</v>
      </c>
      <c r="C1150" s="60" t="inlineStr">
        <is>
          <t>1000</t>
        </is>
      </c>
      <c r="D1150" s="60" t="n">
        <v>1601</v>
      </c>
      <c r="E1150" s="60" t="inlineStr">
        <is>
          <t>영업지원-본사</t>
        </is>
      </c>
      <c r="F1150" s="60" t="n">
        <v>62601000</v>
      </c>
      <c r="G1150" s="60" t="inlineStr">
        <is>
          <t>업무추진비</t>
        </is>
      </c>
      <c r="H1150" s="61" t="n">
        <v>1611460</v>
      </c>
      <c r="J1150" s="63">
        <f>IF($A1150="","",IFERROR(INDEX(부서매핑!$C$5:$C$504,MATCH($D1150&amp;"",부서매핑!$A$5:$A$504,0)),"미매핑"))</f>
        <v/>
      </c>
      <c r="K1150" s="63">
        <f>IF($A1150="","",IFERROR(INDEX(계정매핑!$C$5:$C$504,MATCH($F1150&amp;"",계정매핑!$A$5:$A$504,0)),"미매핑"))</f>
        <v/>
      </c>
      <c r="L1150" s="4">
        <f>IF($A1150="","",VALUE($A1150&amp;""))</f>
        <v/>
      </c>
      <c r="M1150" s="4">
        <f>IF($A1150="","",VALUE($B1150&amp;""))</f>
        <v/>
      </c>
      <c r="N1150" s="64">
        <f>IF($A1150="","",$H1150*설정!$C$15)</f>
        <v/>
      </c>
      <c r="O1150" s="4">
        <f>IF($A1150="","",J1150&amp;"|"&amp;K1150)</f>
        <v/>
      </c>
      <c r="P1150" s="63">
        <f>IF($A1150="","",IF(COUNTIFS(예산_원본!$T$5:$T$3004,O1150,예산_원본!$B$5:$B$3004,설정!$C$8,예산_원본!$U$5:$U$3004,L1150)&gt;0,"Y","N"))</f>
        <v/>
      </c>
      <c r="Q1150" s="63">
        <f>IF($A1150="","",IF(COUNTIF(집계!$E$7:$E$506,O1150)&gt;0,"Y","N"))</f>
        <v/>
      </c>
    </row>
    <row r="1151">
      <c r="A1151" s="60" t="n">
        <v>2026</v>
      </c>
      <c r="B1151" s="60" t="n">
        <v>3</v>
      </c>
      <c r="C1151" s="60" t="inlineStr">
        <is>
          <t>1000</t>
        </is>
      </c>
      <c r="D1151" s="60" t="n">
        <v>1601</v>
      </c>
      <c r="E1151" s="60" t="inlineStr">
        <is>
          <t>영업지원-본사</t>
        </is>
      </c>
      <c r="F1151" s="60" t="n">
        <v>63101000</v>
      </c>
      <c r="G1151" s="60" t="inlineStr">
        <is>
          <t>임차료</t>
        </is>
      </c>
      <c r="H1151" s="61" t="n">
        <v>10466890</v>
      </c>
      <c r="J1151" s="63">
        <f>IF($A1151="","",IFERROR(INDEX(부서매핑!$C$5:$C$504,MATCH($D1151&amp;"",부서매핑!$A$5:$A$504,0)),"미매핑"))</f>
        <v/>
      </c>
      <c r="K1151" s="63">
        <f>IF($A1151="","",IFERROR(INDEX(계정매핑!$C$5:$C$504,MATCH($F1151&amp;"",계정매핑!$A$5:$A$504,0)),"미매핑"))</f>
        <v/>
      </c>
      <c r="L1151" s="4">
        <f>IF($A1151="","",VALUE($A1151&amp;""))</f>
        <v/>
      </c>
      <c r="M1151" s="4">
        <f>IF($A1151="","",VALUE($B1151&amp;""))</f>
        <v/>
      </c>
      <c r="N1151" s="64">
        <f>IF($A1151="","",$H1151*설정!$C$15)</f>
        <v/>
      </c>
      <c r="O1151" s="4">
        <f>IF($A1151="","",J1151&amp;"|"&amp;K1151)</f>
        <v/>
      </c>
      <c r="P1151" s="63">
        <f>IF($A1151="","",IF(COUNTIFS(예산_원본!$T$5:$T$3004,O1151,예산_원본!$B$5:$B$3004,설정!$C$8,예산_원본!$U$5:$U$3004,L1151)&gt;0,"Y","N"))</f>
        <v/>
      </c>
      <c r="Q1151" s="63">
        <f>IF($A1151="","",IF(COUNTIF(집계!$E$7:$E$506,O1151)&gt;0,"Y","N"))</f>
        <v/>
      </c>
    </row>
    <row r="1152">
      <c r="A1152" s="60" t="n">
        <v>2026</v>
      </c>
      <c r="B1152" s="60" t="n">
        <v>3</v>
      </c>
      <c r="C1152" s="60" t="inlineStr">
        <is>
          <t>1000</t>
        </is>
      </c>
      <c r="D1152" s="60" t="n">
        <v>1601</v>
      </c>
      <c r="E1152" s="60" t="inlineStr">
        <is>
          <t>영업지원-본사</t>
        </is>
      </c>
      <c r="F1152" s="60" t="n">
        <v>63201000</v>
      </c>
      <c r="G1152" s="60" t="inlineStr">
        <is>
          <t>차량유지비</t>
        </is>
      </c>
      <c r="H1152" s="61" t="n">
        <v>5489690</v>
      </c>
      <c r="J1152" s="63">
        <f>IF($A1152="","",IFERROR(INDEX(부서매핑!$C$5:$C$504,MATCH($D1152&amp;"",부서매핑!$A$5:$A$504,0)),"미매핑"))</f>
        <v/>
      </c>
      <c r="K1152" s="63">
        <f>IF($A1152="","",IFERROR(INDEX(계정매핑!$C$5:$C$504,MATCH($F1152&amp;"",계정매핑!$A$5:$A$504,0)),"미매핑"))</f>
        <v/>
      </c>
      <c r="L1152" s="4">
        <f>IF($A1152="","",VALUE($A1152&amp;""))</f>
        <v/>
      </c>
      <c r="M1152" s="4">
        <f>IF($A1152="","",VALUE($B1152&amp;""))</f>
        <v/>
      </c>
      <c r="N1152" s="64">
        <f>IF($A1152="","",$H1152*설정!$C$15)</f>
        <v/>
      </c>
      <c r="O1152" s="4">
        <f>IF($A1152="","",J1152&amp;"|"&amp;K1152)</f>
        <v/>
      </c>
      <c r="P1152" s="63">
        <f>IF($A1152="","",IF(COUNTIFS(예산_원본!$T$5:$T$3004,O1152,예산_원본!$B$5:$B$3004,설정!$C$8,예산_원본!$U$5:$U$3004,L1152)&gt;0,"Y","N"))</f>
        <v/>
      </c>
      <c r="Q1152" s="63">
        <f>IF($A1152="","",IF(COUNTIF(집계!$E$7:$E$506,O1152)&gt;0,"Y","N"))</f>
        <v/>
      </c>
    </row>
    <row r="1153">
      <c r="A1153" s="60" t="n">
        <v>2026</v>
      </c>
      <c r="B1153" s="60" t="n">
        <v>3</v>
      </c>
      <c r="C1153" s="60" t="inlineStr">
        <is>
          <t>1000</t>
        </is>
      </c>
      <c r="D1153" s="60" t="n">
        <v>1602</v>
      </c>
      <c r="E1153" s="60" t="inlineStr">
        <is>
          <t>영업지원-지역본부</t>
        </is>
      </c>
      <c r="F1153" s="60" t="n">
        <v>62101000</v>
      </c>
      <c r="G1153" s="60" t="inlineStr">
        <is>
          <t>여비교통비-국내</t>
        </is>
      </c>
      <c r="H1153" s="61" t="n">
        <v>2851130</v>
      </c>
      <c r="J1153" s="63">
        <f>IF($A1153="","",IFERROR(INDEX(부서매핑!$C$5:$C$504,MATCH($D1153&amp;"",부서매핑!$A$5:$A$504,0)),"미매핑"))</f>
        <v/>
      </c>
      <c r="K1153" s="63">
        <f>IF($A1153="","",IFERROR(INDEX(계정매핑!$C$5:$C$504,MATCH($F1153&amp;"",계정매핑!$A$5:$A$504,0)),"미매핑"))</f>
        <v/>
      </c>
      <c r="L1153" s="4">
        <f>IF($A1153="","",VALUE($A1153&amp;""))</f>
        <v/>
      </c>
      <c r="M1153" s="4">
        <f>IF($A1153="","",VALUE($B1153&amp;""))</f>
        <v/>
      </c>
      <c r="N1153" s="64">
        <f>IF($A1153="","",$H1153*설정!$C$15)</f>
        <v/>
      </c>
      <c r="O1153" s="4">
        <f>IF($A1153="","",J1153&amp;"|"&amp;K1153)</f>
        <v/>
      </c>
      <c r="P1153" s="63">
        <f>IF($A1153="","",IF(COUNTIFS(예산_원본!$T$5:$T$3004,O1153,예산_원본!$B$5:$B$3004,설정!$C$8,예산_원본!$U$5:$U$3004,L1153)&gt;0,"Y","N"))</f>
        <v/>
      </c>
      <c r="Q1153" s="63">
        <f>IF($A1153="","",IF(COUNTIF(집계!$E$7:$E$506,O1153)&gt;0,"Y","N"))</f>
        <v/>
      </c>
    </row>
    <row r="1154">
      <c r="A1154" s="60" t="n">
        <v>2026</v>
      </c>
      <c r="B1154" s="60" t="n">
        <v>3</v>
      </c>
      <c r="C1154" s="60" t="inlineStr">
        <is>
          <t>1000</t>
        </is>
      </c>
      <c r="D1154" s="60" t="n">
        <v>1602</v>
      </c>
      <c r="E1154" s="60" t="inlineStr">
        <is>
          <t>영업지원-지역본부</t>
        </is>
      </c>
      <c r="F1154" s="60" t="n">
        <v>62102000</v>
      </c>
      <c r="G1154" s="60" t="inlineStr">
        <is>
          <t>여비교통비-해외</t>
        </is>
      </c>
      <c r="H1154" s="61" t="n">
        <v>534310</v>
      </c>
      <c r="J1154" s="63">
        <f>IF($A1154="","",IFERROR(INDEX(부서매핑!$C$5:$C$504,MATCH($D1154&amp;"",부서매핑!$A$5:$A$504,0)),"미매핑"))</f>
        <v/>
      </c>
      <c r="K1154" s="63">
        <f>IF($A1154="","",IFERROR(INDEX(계정매핑!$C$5:$C$504,MATCH($F1154&amp;"",계정매핑!$A$5:$A$504,0)),"미매핑"))</f>
        <v/>
      </c>
      <c r="L1154" s="4">
        <f>IF($A1154="","",VALUE($A1154&amp;""))</f>
        <v/>
      </c>
      <c r="M1154" s="4">
        <f>IF($A1154="","",VALUE($B1154&amp;""))</f>
        <v/>
      </c>
      <c r="N1154" s="64">
        <f>IF($A1154="","",$H1154*설정!$C$15)</f>
        <v/>
      </c>
      <c r="O1154" s="4">
        <f>IF($A1154="","",J1154&amp;"|"&amp;K1154)</f>
        <v/>
      </c>
      <c r="P1154" s="63">
        <f>IF($A1154="","",IF(COUNTIFS(예산_원본!$T$5:$T$3004,O1154,예산_원본!$B$5:$B$3004,설정!$C$8,예산_원본!$U$5:$U$3004,L1154)&gt;0,"Y","N"))</f>
        <v/>
      </c>
      <c r="Q1154" s="63">
        <f>IF($A1154="","",IF(COUNTIF(집계!$E$7:$E$506,O1154)&gt;0,"Y","N"))</f>
        <v/>
      </c>
    </row>
    <row r="1155">
      <c r="A1155" s="60" t="n">
        <v>2026</v>
      </c>
      <c r="B1155" s="60" t="n">
        <v>3</v>
      </c>
      <c r="C1155" s="60" t="inlineStr">
        <is>
          <t>1000</t>
        </is>
      </c>
      <c r="D1155" s="60" t="n">
        <v>1602</v>
      </c>
      <c r="E1155" s="60" t="inlineStr">
        <is>
          <t>영업지원-지역본부</t>
        </is>
      </c>
      <c r="F1155" s="60" t="n">
        <v>62201000</v>
      </c>
      <c r="G1155" s="60" t="inlineStr">
        <is>
          <t>통신비</t>
        </is>
      </c>
      <c r="H1155" s="61" t="n">
        <v>802000</v>
      </c>
      <c r="J1155" s="63">
        <f>IF($A1155="","",IFERROR(INDEX(부서매핑!$C$5:$C$504,MATCH($D1155&amp;"",부서매핑!$A$5:$A$504,0)),"미매핑"))</f>
        <v/>
      </c>
      <c r="K1155" s="63">
        <f>IF($A1155="","",IFERROR(INDEX(계정매핑!$C$5:$C$504,MATCH($F1155&amp;"",계정매핑!$A$5:$A$504,0)),"미매핑"))</f>
        <v/>
      </c>
      <c r="L1155" s="4">
        <f>IF($A1155="","",VALUE($A1155&amp;""))</f>
        <v/>
      </c>
      <c r="M1155" s="4">
        <f>IF($A1155="","",VALUE($B1155&amp;""))</f>
        <v/>
      </c>
      <c r="N1155" s="64">
        <f>IF($A1155="","",$H1155*설정!$C$15)</f>
        <v/>
      </c>
      <c r="O1155" s="4">
        <f>IF($A1155="","",J1155&amp;"|"&amp;K1155)</f>
        <v/>
      </c>
      <c r="P1155" s="63">
        <f>IF($A1155="","",IF(COUNTIFS(예산_원본!$T$5:$T$3004,O1155,예산_원본!$B$5:$B$3004,설정!$C$8,예산_원본!$U$5:$U$3004,L1155)&gt;0,"Y","N"))</f>
        <v/>
      </c>
      <c r="Q1155" s="63">
        <f>IF($A1155="","",IF(COUNTIF(집계!$E$7:$E$506,O1155)&gt;0,"Y","N"))</f>
        <v/>
      </c>
    </row>
    <row r="1156">
      <c r="A1156" s="60" t="n">
        <v>2026</v>
      </c>
      <c r="B1156" s="60" t="n">
        <v>3</v>
      </c>
      <c r="C1156" s="60" t="inlineStr">
        <is>
          <t>1000</t>
        </is>
      </c>
      <c r="D1156" s="60" t="n">
        <v>1602</v>
      </c>
      <c r="E1156" s="60" t="inlineStr">
        <is>
          <t>영업지원-지역본부</t>
        </is>
      </c>
      <c r="F1156" s="60" t="n">
        <v>62301000</v>
      </c>
      <c r="G1156" s="60" t="inlineStr">
        <is>
          <t>소모품비</t>
        </is>
      </c>
      <c r="H1156" s="61" t="n">
        <v>566750</v>
      </c>
      <c r="J1156" s="63">
        <f>IF($A1156="","",IFERROR(INDEX(부서매핑!$C$5:$C$504,MATCH($D1156&amp;"",부서매핑!$A$5:$A$504,0)),"미매핑"))</f>
        <v/>
      </c>
      <c r="K1156" s="63">
        <f>IF($A1156="","",IFERROR(INDEX(계정매핑!$C$5:$C$504,MATCH($F1156&amp;"",계정매핑!$A$5:$A$504,0)),"미매핑"))</f>
        <v/>
      </c>
      <c r="L1156" s="4">
        <f>IF($A1156="","",VALUE($A1156&amp;""))</f>
        <v/>
      </c>
      <c r="M1156" s="4">
        <f>IF($A1156="","",VALUE($B1156&amp;""))</f>
        <v/>
      </c>
      <c r="N1156" s="64">
        <f>IF($A1156="","",$H1156*설정!$C$15)</f>
        <v/>
      </c>
      <c r="O1156" s="4">
        <f>IF($A1156="","",J1156&amp;"|"&amp;K1156)</f>
        <v/>
      </c>
      <c r="P1156" s="63">
        <f>IF($A1156="","",IF(COUNTIFS(예산_원본!$T$5:$T$3004,O1156,예산_원본!$B$5:$B$3004,설정!$C$8,예산_원본!$U$5:$U$3004,L1156)&gt;0,"Y","N"))</f>
        <v/>
      </c>
      <c r="Q1156" s="63">
        <f>IF($A1156="","",IF(COUNTIF(집계!$E$7:$E$506,O1156)&gt;0,"Y","N"))</f>
        <v/>
      </c>
    </row>
    <row r="1157">
      <c r="A1157" s="60" t="n">
        <v>2026</v>
      </c>
      <c r="B1157" s="60" t="n">
        <v>3</v>
      </c>
      <c r="C1157" s="60" t="inlineStr">
        <is>
          <t>1000</t>
        </is>
      </c>
      <c r="D1157" s="60" t="n">
        <v>1602</v>
      </c>
      <c r="E1157" s="60" t="inlineStr">
        <is>
          <t>영업지원-지역본부</t>
        </is>
      </c>
      <c r="F1157" s="60" t="n">
        <v>62501000</v>
      </c>
      <c r="G1157" s="60" t="inlineStr">
        <is>
          <t>회의비</t>
        </is>
      </c>
      <c r="H1157" s="61" t="n">
        <v>781200</v>
      </c>
      <c r="J1157" s="63">
        <f>IF($A1157="","",IFERROR(INDEX(부서매핑!$C$5:$C$504,MATCH($D1157&amp;"",부서매핑!$A$5:$A$504,0)),"미매핑"))</f>
        <v/>
      </c>
      <c r="K1157" s="63">
        <f>IF($A1157="","",IFERROR(INDEX(계정매핑!$C$5:$C$504,MATCH($F1157&amp;"",계정매핑!$A$5:$A$504,0)),"미매핑"))</f>
        <v/>
      </c>
      <c r="L1157" s="4">
        <f>IF($A1157="","",VALUE($A1157&amp;""))</f>
        <v/>
      </c>
      <c r="M1157" s="4">
        <f>IF($A1157="","",VALUE($B1157&amp;""))</f>
        <v/>
      </c>
      <c r="N1157" s="64">
        <f>IF($A1157="","",$H1157*설정!$C$15)</f>
        <v/>
      </c>
      <c r="O1157" s="4">
        <f>IF($A1157="","",J1157&amp;"|"&amp;K1157)</f>
        <v/>
      </c>
      <c r="P1157" s="63">
        <f>IF($A1157="","",IF(COUNTIFS(예산_원본!$T$5:$T$3004,O1157,예산_원본!$B$5:$B$3004,설정!$C$8,예산_원본!$U$5:$U$3004,L1157)&gt;0,"Y","N"))</f>
        <v/>
      </c>
      <c r="Q1157" s="63">
        <f>IF($A1157="","",IF(COUNTIF(집계!$E$7:$E$506,O1157)&gt;0,"Y","N"))</f>
        <v/>
      </c>
    </row>
    <row r="1158">
      <c r="A1158" s="60" t="n">
        <v>2026</v>
      </c>
      <c r="B1158" s="60" t="n">
        <v>3</v>
      </c>
      <c r="C1158" s="60" t="inlineStr">
        <is>
          <t>1000</t>
        </is>
      </c>
      <c r="D1158" s="60" t="n">
        <v>1602</v>
      </c>
      <c r="E1158" s="60" t="inlineStr">
        <is>
          <t>영업지원-지역본부</t>
        </is>
      </c>
      <c r="F1158" s="60" t="n">
        <v>62601000</v>
      </c>
      <c r="G1158" s="60" t="inlineStr">
        <is>
          <t>업무추진비</t>
        </is>
      </c>
      <c r="H1158" s="61" t="n">
        <v>1349530</v>
      </c>
      <c r="J1158" s="63">
        <f>IF($A1158="","",IFERROR(INDEX(부서매핑!$C$5:$C$504,MATCH($D1158&amp;"",부서매핑!$A$5:$A$504,0)),"미매핑"))</f>
        <v/>
      </c>
      <c r="K1158" s="63">
        <f>IF($A1158="","",IFERROR(INDEX(계정매핑!$C$5:$C$504,MATCH($F1158&amp;"",계정매핑!$A$5:$A$504,0)),"미매핑"))</f>
        <v/>
      </c>
      <c r="L1158" s="4">
        <f>IF($A1158="","",VALUE($A1158&amp;""))</f>
        <v/>
      </c>
      <c r="M1158" s="4">
        <f>IF($A1158="","",VALUE($B1158&amp;""))</f>
        <v/>
      </c>
      <c r="N1158" s="64">
        <f>IF($A1158="","",$H1158*설정!$C$15)</f>
        <v/>
      </c>
      <c r="O1158" s="4">
        <f>IF($A1158="","",J1158&amp;"|"&amp;K1158)</f>
        <v/>
      </c>
      <c r="P1158" s="63">
        <f>IF($A1158="","",IF(COUNTIFS(예산_원본!$T$5:$T$3004,O1158,예산_원본!$B$5:$B$3004,설정!$C$8,예산_원본!$U$5:$U$3004,L1158)&gt;0,"Y","N"))</f>
        <v/>
      </c>
      <c r="Q1158" s="63">
        <f>IF($A1158="","",IF(COUNTIF(집계!$E$7:$E$506,O1158)&gt;0,"Y","N"))</f>
        <v/>
      </c>
    </row>
    <row r="1159">
      <c r="A1159" s="60" t="n">
        <v>2026</v>
      </c>
      <c r="B1159" s="60" t="n">
        <v>3</v>
      </c>
      <c r="C1159" s="60" t="inlineStr">
        <is>
          <t>1000</t>
        </is>
      </c>
      <c r="D1159" s="60" t="n">
        <v>1602</v>
      </c>
      <c r="E1159" s="60" t="inlineStr">
        <is>
          <t>영업지원-지역본부</t>
        </is>
      </c>
      <c r="F1159" s="60" t="n">
        <v>63101000</v>
      </c>
      <c r="G1159" s="60" t="inlineStr">
        <is>
          <t>임차료</t>
        </is>
      </c>
      <c r="H1159" s="61" t="n">
        <v>7951200</v>
      </c>
      <c r="J1159" s="63">
        <f>IF($A1159="","",IFERROR(INDEX(부서매핑!$C$5:$C$504,MATCH($D1159&amp;"",부서매핑!$A$5:$A$504,0)),"미매핑"))</f>
        <v/>
      </c>
      <c r="K1159" s="63">
        <f>IF($A1159="","",IFERROR(INDEX(계정매핑!$C$5:$C$504,MATCH($F1159&amp;"",계정매핑!$A$5:$A$504,0)),"미매핑"))</f>
        <v/>
      </c>
      <c r="L1159" s="4">
        <f>IF($A1159="","",VALUE($A1159&amp;""))</f>
        <v/>
      </c>
      <c r="M1159" s="4">
        <f>IF($A1159="","",VALUE($B1159&amp;""))</f>
        <v/>
      </c>
      <c r="N1159" s="64">
        <f>IF($A1159="","",$H1159*설정!$C$15)</f>
        <v/>
      </c>
      <c r="O1159" s="4">
        <f>IF($A1159="","",J1159&amp;"|"&amp;K1159)</f>
        <v/>
      </c>
      <c r="P1159" s="63">
        <f>IF($A1159="","",IF(COUNTIFS(예산_원본!$T$5:$T$3004,O1159,예산_원본!$B$5:$B$3004,설정!$C$8,예산_원본!$U$5:$U$3004,L1159)&gt;0,"Y","N"))</f>
        <v/>
      </c>
      <c r="Q1159" s="63">
        <f>IF($A1159="","",IF(COUNTIF(집계!$E$7:$E$506,O1159)&gt;0,"Y","N"))</f>
        <v/>
      </c>
    </row>
    <row r="1160">
      <c r="A1160" s="60" t="n">
        <v>2026</v>
      </c>
      <c r="B1160" s="60" t="n">
        <v>3</v>
      </c>
      <c r="C1160" s="60" t="inlineStr">
        <is>
          <t>1000</t>
        </is>
      </c>
      <c r="D1160" s="60" t="n">
        <v>1602</v>
      </c>
      <c r="E1160" s="60" t="inlineStr">
        <is>
          <t>영업지원-지역본부</t>
        </is>
      </c>
      <c r="F1160" s="60" t="n">
        <v>63201000</v>
      </c>
      <c r="G1160" s="60" t="inlineStr">
        <is>
          <t>차량유지비</t>
        </is>
      </c>
      <c r="H1160" s="61" t="n">
        <v>4633270</v>
      </c>
      <c r="J1160" s="63">
        <f>IF($A1160="","",IFERROR(INDEX(부서매핑!$C$5:$C$504,MATCH($D1160&amp;"",부서매핑!$A$5:$A$504,0)),"미매핑"))</f>
        <v/>
      </c>
      <c r="K1160" s="63">
        <f>IF($A1160="","",IFERROR(INDEX(계정매핑!$C$5:$C$504,MATCH($F1160&amp;"",계정매핑!$A$5:$A$504,0)),"미매핑"))</f>
        <v/>
      </c>
      <c r="L1160" s="4">
        <f>IF($A1160="","",VALUE($A1160&amp;""))</f>
        <v/>
      </c>
      <c r="M1160" s="4">
        <f>IF($A1160="","",VALUE($B1160&amp;""))</f>
        <v/>
      </c>
      <c r="N1160" s="64">
        <f>IF($A1160="","",$H1160*설정!$C$15)</f>
        <v/>
      </c>
      <c r="O1160" s="4">
        <f>IF($A1160="","",J1160&amp;"|"&amp;K1160)</f>
        <v/>
      </c>
      <c r="P1160" s="63">
        <f>IF($A1160="","",IF(COUNTIFS(예산_원본!$T$5:$T$3004,O1160,예산_원본!$B$5:$B$3004,설정!$C$8,예산_원본!$U$5:$U$3004,L1160)&gt;0,"Y","N"))</f>
        <v/>
      </c>
      <c r="Q1160" s="63">
        <f>IF($A1160="","",IF(COUNTIF(집계!$E$7:$E$506,O1160)&gt;0,"Y","N"))</f>
        <v/>
      </c>
    </row>
    <row r="1161">
      <c r="A1161" s="60" t="n">
        <v>2026</v>
      </c>
      <c r="B1161" s="60" t="n">
        <v>3</v>
      </c>
      <c r="C1161" s="60" t="inlineStr">
        <is>
          <t>1000</t>
        </is>
      </c>
      <c r="D1161" s="60" t="n">
        <v>1701</v>
      </c>
      <c r="E1161" s="60" t="inlineStr">
        <is>
          <t>IT운영</t>
        </is>
      </c>
      <c r="F1161" s="60" t="n">
        <v>62101000</v>
      </c>
      <c r="G1161" s="60" t="inlineStr">
        <is>
          <t>여비교통비-국내</t>
        </is>
      </c>
      <c r="H1161" s="61" t="n">
        <v>947630</v>
      </c>
      <c r="J1161" s="63">
        <f>IF($A1161="","",IFERROR(INDEX(부서매핑!$C$5:$C$504,MATCH($D1161&amp;"",부서매핑!$A$5:$A$504,0)),"미매핑"))</f>
        <v/>
      </c>
      <c r="K1161" s="63">
        <f>IF($A1161="","",IFERROR(INDEX(계정매핑!$C$5:$C$504,MATCH($F1161&amp;"",계정매핑!$A$5:$A$504,0)),"미매핑"))</f>
        <v/>
      </c>
      <c r="L1161" s="4">
        <f>IF($A1161="","",VALUE($A1161&amp;""))</f>
        <v/>
      </c>
      <c r="M1161" s="4">
        <f>IF($A1161="","",VALUE($B1161&amp;""))</f>
        <v/>
      </c>
      <c r="N1161" s="64">
        <f>IF($A1161="","",$H1161*설정!$C$15)</f>
        <v/>
      </c>
      <c r="O1161" s="4">
        <f>IF($A1161="","",J1161&amp;"|"&amp;K1161)</f>
        <v/>
      </c>
      <c r="P1161" s="63">
        <f>IF($A1161="","",IF(COUNTIFS(예산_원본!$T$5:$T$3004,O1161,예산_원본!$B$5:$B$3004,설정!$C$8,예산_원본!$U$5:$U$3004,L1161)&gt;0,"Y","N"))</f>
        <v/>
      </c>
      <c r="Q1161" s="63">
        <f>IF($A1161="","",IF(COUNTIF(집계!$E$7:$E$506,O1161)&gt;0,"Y","N"))</f>
        <v/>
      </c>
    </row>
    <row r="1162">
      <c r="A1162" s="60" t="n">
        <v>2026</v>
      </c>
      <c r="B1162" s="60" t="n">
        <v>3</v>
      </c>
      <c r="C1162" s="60" t="inlineStr">
        <is>
          <t>1000</t>
        </is>
      </c>
      <c r="D1162" s="60" t="n">
        <v>1701</v>
      </c>
      <c r="E1162" s="60" t="inlineStr">
        <is>
          <t>IT운영</t>
        </is>
      </c>
      <c r="F1162" s="60" t="n">
        <v>62102000</v>
      </c>
      <c r="G1162" s="60" t="inlineStr">
        <is>
          <t>여비교통비-해외</t>
        </is>
      </c>
      <c r="H1162" s="61" t="n">
        <v>155900</v>
      </c>
      <c r="J1162" s="63">
        <f>IF($A1162="","",IFERROR(INDEX(부서매핑!$C$5:$C$504,MATCH($D1162&amp;"",부서매핑!$A$5:$A$504,0)),"미매핑"))</f>
        <v/>
      </c>
      <c r="K1162" s="63">
        <f>IF($A1162="","",IFERROR(INDEX(계정매핑!$C$5:$C$504,MATCH($F1162&amp;"",계정매핑!$A$5:$A$504,0)),"미매핑"))</f>
        <v/>
      </c>
      <c r="L1162" s="4">
        <f>IF($A1162="","",VALUE($A1162&amp;""))</f>
        <v/>
      </c>
      <c r="M1162" s="4">
        <f>IF($A1162="","",VALUE($B1162&amp;""))</f>
        <v/>
      </c>
      <c r="N1162" s="64">
        <f>IF($A1162="","",$H1162*설정!$C$15)</f>
        <v/>
      </c>
      <c r="O1162" s="4">
        <f>IF($A1162="","",J1162&amp;"|"&amp;K1162)</f>
        <v/>
      </c>
      <c r="P1162" s="63">
        <f>IF($A1162="","",IF(COUNTIFS(예산_원본!$T$5:$T$3004,O1162,예산_원본!$B$5:$B$3004,설정!$C$8,예산_원본!$U$5:$U$3004,L1162)&gt;0,"Y","N"))</f>
        <v/>
      </c>
      <c r="Q1162" s="63">
        <f>IF($A1162="","",IF(COUNTIF(집계!$E$7:$E$506,O1162)&gt;0,"Y","N"))</f>
        <v/>
      </c>
    </row>
    <row r="1163">
      <c r="A1163" s="60" t="n">
        <v>2026</v>
      </c>
      <c r="B1163" s="60" t="n">
        <v>3</v>
      </c>
      <c r="C1163" s="60" t="inlineStr">
        <is>
          <t>1000</t>
        </is>
      </c>
      <c r="D1163" s="60" t="n">
        <v>1701</v>
      </c>
      <c r="E1163" s="60" t="inlineStr">
        <is>
          <t>IT운영</t>
        </is>
      </c>
      <c r="F1163" s="60" t="n">
        <v>62201000</v>
      </c>
      <c r="G1163" s="60" t="inlineStr">
        <is>
          <t>통신비</t>
        </is>
      </c>
      <c r="H1163" s="61" t="n">
        <v>14175040</v>
      </c>
      <c r="J1163" s="63">
        <f>IF($A1163="","",IFERROR(INDEX(부서매핑!$C$5:$C$504,MATCH($D1163&amp;"",부서매핑!$A$5:$A$504,0)),"미매핑"))</f>
        <v/>
      </c>
      <c r="K1163" s="63">
        <f>IF($A1163="","",IFERROR(INDEX(계정매핑!$C$5:$C$504,MATCH($F1163&amp;"",계정매핑!$A$5:$A$504,0)),"미매핑"))</f>
        <v/>
      </c>
      <c r="L1163" s="4">
        <f>IF($A1163="","",VALUE($A1163&amp;""))</f>
        <v/>
      </c>
      <c r="M1163" s="4">
        <f>IF($A1163="","",VALUE($B1163&amp;""))</f>
        <v/>
      </c>
      <c r="N1163" s="64">
        <f>IF($A1163="","",$H1163*설정!$C$15)</f>
        <v/>
      </c>
      <c r="O1163" s="4">
        <f>IF($A1163="","",J1163&amp;"|"&amp;K1163)</f>
        <v/>
      </c>
      <c r="P1163" s="63">
        <f>IF($A1163="","",IF(COUNTIFS(예산_원본!$T$5:$T$3004,O1163,예산_원본!$B$5:$B$3004,설정!$C$8,예산_원본!$U$5:$U$3004,L1163)&gt;0,"Y","N"))</f>
        <v/>
      </c>
      <c r="Q1163" s="63">
        <f>IF($A1163="","",IF(COUNTIF(집계!$E$7:$E$506,O1163)&gt;0,"Y","N"))</f>
        <v/>
      </c>
    </row>
    <row r="1164">
      <c r="A1164" s="60" t="n">
        <v>2026</v>
      </c>
      <c r="B1164" s="60" t="n">
        <v>3</v>
      </c>
      <c r="C1164" s="60" t="inlineStr">
        <is>
          <t>1000</t>
        </is>
      </c>
      <c r="D1164" s="60" t="n">
        <v>1701</v>
      </c>
      <c r="E1164" s="60" t="inlineStr">
        <is>
          <t>IT운영</t>
        </is>
      </c>
      <c r="F1164" s="60" t="n">
        <v>62301000</v>
      </c>
      <c r="G1164" s="60" t="inlineStr">
        <is>
          <t>소모품비</t>
        </is>
      </c>
      <c r="H1164" s="61" t="n">
        <v>1015230</v>
      </c>
      <c r="J1164" s="63">
        <f>IF($A1164="","",IFERROR(INDEX(부서매핑!$C$5:$C$504,MATCH($D1164&amp;"",부서매핑!$A$5:$A$504,0)),"미매핑"))</f>
        <v/>
      </c>
      <c r="K1164" s="63">
        <f>IF($A1164="","",IFERROR(INDEX(계정매핑!$C$5:$C$504,MATCH($F1164&amp;"",계정매핑!$A$5:$A$504,0)),"미매핑"))</f>
        <v/>
      </c>
      <c r="L1164" s="4">
        <f>IF($A1164="","",VALUE($A1164&amp;""))</f>
        <v/>
      </c>
      <c r="M1164" s="4">
        <f>IF($A1164="","",VALUE($B1164&amp;""))</f>
        <v/>
      </c>
      <c r="N1164" s="64">
        <f>IF($A1164="","",$H1164*설정!$C$15)</f>
        <v/>
      </c>
      <c r="O1164" s="4">
        <f>IF($A1164="","",J1164&amp;"|"&amp;K1164)</f>
        <v/>
      </c>
      <c r="P1164" s="63">
        <f>IF($A1164="","",IF(COUNTIFS(예산_원본!$T$5:$T$3004,O1164,예산_원본!$B$5:$B$3004,설정!$C$8,예산_원본!$U$5:$U$3004,L1164)&gt;0,"Y","N"))</f>
        <v/>
      </c>
      <c r="Q1164" s="63">
        <f>IF($A1164="","",IF(COUNTIF(집계!$E$7:$E$506,O1164)&gt;0,"Y","N"))</f>
        <v/>
      </c>
    </row>
    <row r="1165">
      <c r="A1165" s="60" t="n">
        <v>2026</v>
      </c>
      <c r="B1165" s="60" t="n">
        <v>3</v>
      </c>
      <c r="C1165" s="60" t="inlineStr">
        <is>
          <t>1000</t>
        </is>
      </c>
      <c r="D1165" s="60" t="n">
        <v>1701</v>
      </c>
      <c r="E1165" s="60" t="inlineStr">
        <is>
          <t>IT운영</t>
        </is>
      </c>
      <c r="F1165" s="60" t="n">
        <v>62501000</v>
      </c>
      <c r="G1165" s="60" t="inlineStr">
        <is>
          <t>회의비</t>
        </is>
      </c>
      <c r="H1165" s="61" t="n">
        <v>432990</v>
      </c>
      <c r="J1165" s="63">
        <f>IF($A1165="","",IFERROR(INDEX(부서매핑!$C$5:$C$504,MATCH($D1165&amp;"",부서매핑!$A$5:$A$504,0)),"미매핑"))</f>
        <v/>
      </c>
      <c r="K1165" s="63">
        <f>IF($A1165="","",IFERROR(INDEX(계정매핑!$C$5:$C$504,MATCH($F1165&amp;"",계정매핑!$A$5:$A$504,0)),"미매핑"))</f>
        <v/>
      </c>
      <c r="L1165" s="4">
        <f>IF($A1165="","",VALUE($A1165&amp;""))</f>
        <v/>
      </c>
      <c r="M1165" s="4">
        <f>IF($A1165="","",VALUE($B1165&amp;""))</f>
        <v/>
      </c>
      <c r="N1165" s="64">
        <f>IF($A1165="","",$H1165*설정!$C$15)</f>
        <v/>
      </c>
      <c r="O1165" s="4">
        <f>IF($A1165="","",J1165&amp;"|"&amp;K1165)</f>
        <v/>
      </c>
      <c r="P1165" s="63">
        <f>IF($A1165="","",IF(COUNTIFS(예산_원본!$T$5:$T$3004,O1165,예산_원본!$B$5:$B$3004,설정!$C$8,예산_원본!$U$5:$U$3004,L1165)&gt;0,"Y","N"))</f>
        <v/>
      </c>
      <c r="Q1165" s="63">
        <f>IF($A1165="","",IF(COUNTIF(집계!$E$7:$E$506,O1165)&gt;0,"Y","N"))</f>
        <v/>
      </c>
    </row>
    <row r="1166">
      <c r="A1166" s="60" t="n">
        <v>2026</v>
      </c>
      <c r="B1166" s="60" t="n">
        <v>3</v>
      </c>
      <c r="C1166" s="60" t="inlineStr">
        <is>
          <t>1000</t>
        </is>
      </c>
      <c r="D1166" s="60" t="n">
        <v>1701</v>
      </c>
      <c r="E1166" s="60" t="inlineStr">
        <is>
          <t>IT운영</t>
        </is>
      </c>
      <c r="F1166" s="60" t="n">
        <v>63001000</v>
      </c>
      <c r="G1166" s="60" t="inlineStr">
        <is>
          <t>전산운영비-SW유지보수</t>
        </is>
      </c>
      <c r="H1166" s="61" t="n">
        <v>128184670</v>
      </c>
      <c r="J1166" s="63">
        <f>IF($A1166="","",IFERROR(INDEX(부서매핑!$C$5:$C$504,MATCH($D1166&amp;"",부서매핑!$A$5:$A$504,0)),"미매핑"))</f>
        <v/>
      </c>
      <c r="K1166" s="63">
        <f>IF($A1166="","",IFERROR(INDEX(계정매핑!$C$5:$C$504,MATCH($F1166&amp;"",계정매핑!$A$5:$A$504,0)),"미매핑"))</f>
        <v/>
      </c>
      <c r="L1166" s="4">
        <f>IF($A1166="","",VALUE($A1166&amp;""))</f>
        <v/>
      </c>
      <c r="M1166" s="4">
        <f>IF($A1166="","",VALUE($B1166&amp;""))</f>
        <v/>
      </c>
      <c r="N1166" s="64">
        <f>IF($A1166="","",$H1166*설정!$C$15)</f>
        <v/>
      </c>
      <c r="O1166" s="4">
        <f>IF($A1166="","",J1166&amp;"|"&amp;K1166)</f>
        <v/>
      </c>
      <c r="P1166" s="63">
        <f>IF($A1166="","",IF(COUNTIFS(예산_원본!$T$5:$T$3004,O1166,예산_원본!$B$5:$B$3004,설정!$C$8,예산_원본!$U$5:$U$3004,L1166)&gt;0,"Y","N"))</f>
        <v/>
      </c>
      <c r="Q1166" s="63">
        <f>IF($A1166="","",IF(COUNTIF(집계!$E$7:$E$506,O1166)&gt;0,"Y","N"))</f>
        <v/>
      </c>
    </row>
    <row r="1167">
      <c r="A1167" s="60" t="n">
        <v>2026</v>
      </c>
      <c r="B1167" s="60" t="n">
        <v>3</v>
      </c>
      <c r="C1167" s="60" t="inlineStr">
        <is>
          <t>1000</t>
        </is>
      </c>
      <c r="D1167" s="60" t="n">
        <v>1701</v>
      </c>
      <c r="E1167" s="60" t="inlineStr">
        <is>
          <t>IT운영</t>
        </is>
      </c>
      <c r="F1167" s="60" t="n">
        <v>63002000</v>
      </c>
      <c r="G1167" s="60" t="inlineStr">
        <is>
          <t>전산운영비-클라우드</t>
        </is>
      </c>
      <c r="H1167" s="61" t="n">
        <v>104963350</v>
      </c>
      <c r="J1167" s="63">
        <f>IF($A1167="","",IFERROR(INDEX(부서매핑!$C$5:$C$504,MATCH($D1167&amp;"",부서매핑!$A$5:$A$504,0)),"미매핑"))</f>
        <v/>
      </c>
      <c r="K1167" s="63">
        <f>IF($A1167="","",IFERROR(INDEX(계정매핑!$C$5:$C$504,MATCH($F1167&amp;"",계정매핑!$A$5:$A$504,0)),"미매핑"))</f>
        <v/>
      </c>
      <c r="L1167" s="4">
        <f>IF($A1167="","",VALUE($A1167&amp;""))</f>
        <v/>
      </c>
      <c r="M1167" s="4">
        <f>IF($A1167="","",VALUE($B1167&amp;""))</f>
        <v/>
      </c>
      <c r="N1167" s="64">
        <f>IF($A1167="","",$H1167*설정!$C$15)</f>
        <v/>
      </c>
      <c r="O1167" s="4">
        <f>IF($A1167="","",J1167&amp;"|"&amp;K1167)</f>
        <v/>
      </c>
      <c r="P1167" s="63">
        <f>IF($A1167="","",IF(COUNTIFS(예산_원본!$T$5:$T$3004,O1167,예산_원본!$B$5:$B$3004,설정!$C$8,예산_원본!$U$5:$U$3004,L1167)&gt;0,"Y","N"))</f>
        <v/>
      </c>
      <c r="Q1167" s="63">
        <f>IF($A1167="","",IF(COUNTIF(집계!$E$7:$E$506,O1167)&gt;0,"Y","N"))</f>
        <v/>
      </c>
    </row>
    <row r="1168">
      <c r="A1168" s="60" t="n">
        <v>2026</v>
      </c>
      <c r="B1168" s="60" t="n">
        <v>3</v>
      </c>
      <c r="C1168" s="60" t="inlineStr">
        <is>
          <t>1000</t>
        </is>
      </c>
      <c r="D1168" s="60" t="n">
        <v>1801</v>
      </c>
      <c r="E1168" s="60" t="inlineStr">
        <is>
          <t>고객서비스</t>
        </is>
      </c>
      <c r="F1168" s="60" t="n">
        <v>62101000</v>
      </c>
      <c r="G1168" s="60" t="inlineStr">
        <is>
          <t>여비교통비-국내</t>
        </is>
      </c>
      <c r="H1168" s="61" t="n">
        <v>761660</v>
      </c>
      <c r="J1168" s="63">
        <f>IF($A1168="","",IFERROR(INDEX(부서매핑!$C$5:$C$504,MATCH($D1168&amp;"",부서매핑!$A$5:$A$504,0)),"미매핑"))</f>
        <v/>
      </c>
      <c r="K1168" s="63">
        <f>IF($A1168="","",IFERROR(INDEX(계정매핑!$C$5:$C$504,MATCH($F1168&amp;"",계정매핑!$A$5:$A$504,0)),"미매핑"))</f>
        <v/>
      </c>
      <c r="L1168" s="4">
        <f>IF($A1168="","",VALUE($A1168&amp;""))</f>
        <v/>
      </c>
      <c r="M1168" s="4">
        <f>IF($A1168="","",VALUE($B1168&amp;""))</f>
        <v/>
      </c>
      <c r="N1168" s="64">
        <f>IF($A1168="","",$H1168*설정!$C$15)</f>
        <v/>
      </c>
      <c r="O1168" s="4">
        <f>IF($A1168="","",J1168&amp;"|"&amp;K1168)</f>
        <v/>
      </c>
      <c r="P1168" s="63">
        <f>IF($A1168="","",IF(COUNTIFS(예산_원본!$T$5:$T$3004,O1168,예산_원본!$B$5:$B$3004,설정!$C$8,예산_원본!$U$5:$U$3004,L1168)&gt;0,"Y","N"))</f>
        <v/>
      </c>
      <c r="Q1168" s="63">
        <f>IF($A1168="","",IF(COUNTIF(집계!$E$7:$E$506,O1168)&gt;0,"Y","N"))</f>
        <v/>
      </c>
    </row>
    <row r="1169">
      <c r="A1169" s="60" t="n">
        <v>2026</v>
      </c>
      <c r="B1169" s="60" t="n">
        <v>3</v>
      </c>
      <c r="C1169" s="60" t="inlineStr">
        <is>
          <t>1000</t>
        </is>
      </c>
      <c r="D1169" s="60" t="n">
        <v>1801</v>
      </c>
      <c r="E1169" s="60" t="inlineStr">
        <is>
          <t>고객서비스</t>
        </is>
      </c>
      <c r="F1169" s="60" t="n">
        <v>62102000</v>
      </c>
      <c r="G1169" s="60" t="inlineStr">
        <is>
          <t>여비교통비-해외</t>
        </is>
      </c>
      <c r="H1169" s="61" t="n">
        <v>135570</v>
      </c>
      <c r="J1169" s="63">
        <f>IF($A1169="","",IFERROR(INDEX(부서매핑!$C$5:$C$504,MATCH($D1169&amp;"",부서매핑!$A$5:$A$504,0)),"미매핑"))</f>
        <v/>
      </c>
      <c r="K1169" s="63">
        <f>IF($A1169="","",IFERROR(INDEX(계정매핑!$C$5:$C$504,MATCH($F1169&amp;"",계정매핑!$A$5:$A$504,0)),"미매핑"))</f>
        <v/>
      </c>
      <c r="L1169" s="4">
        <f>IF($A1169="","",VALUE($A1169&amp;""))</f>
        <v/>
      </c>
      <c r="M1169" s="4">
        <f>IF($A1169="","",VALUE($B1169&amp;""))</f>
        <v/>
      </c>
      <c r="N1169" s="64">
        <f>IF($A1169="","",$H1169*설정!$C$15)</f>
        <v/>
      </c>
      <c r="O1169" s="4">
        <f>IF($A1169="","",J1169&amp;"|"&amp;K1169)</f>
        <v/>
      </c>
      <c r="P1169" s="63">
        <f>IF($A1169="","",IF(COUNTIFS(예산_원본!$T$5:$T$3004,O1169,예산_원본!$B$5:$B$3004,설정!$C$8,예산_원본!$U$5:$U$3004,L1169)&gt;0,"Y","N"))</f>
        <v/>
      </c>
      <c r="Q1169" s="63">
        <f>IF($A1169="","",IF(COUNTIF(집계!$E$7:$E$506,O1169)&gt;0,"Y","N"))</f>
        <v/>
      </c>
    </row>
    <row r="1170">
      <c r="A1170" s="60" t="n">
        <v>2026</v>
      </c>
      <c r="B1170" s="60" t="n">
        <v>3</v>
      </c>
      <c r="C1170" s="60" t="inlineStr">
        <is>
          <t>1000</t>
        </is>
      </c>
      <c r="D1170" s="60" t="n">
        <v>1801</v>
      </c>
      <c r="E1170" s="60" t="inlineStr">
        <is>
          <t>고객서비스</t>
        </is>
      </c>
      <c r="F1170" s="60" t="n">
        <v>62201000</v>
      </c>
      <c r="G1170" s="60" t="inlineStr">
        <is>
          <t>통신비</t>
        </is>
      </c>
      <c r="H1170" s="61" t="n">
        <v>19509010</v>
      </c>
      <c r="J1170" s="63">
        <f>IF($A1170="","",IFERROR(INDEX(부서매핑!$C$5:$C$504,MATCH($D1170&amp;"",부서매핑!$A$5:$A$504,0)),"미매핑"))</f>
        <v/>
      </c>
      <c r="K1170" s="63">
        <f>IF($A1170="","",IFERROR(INDEX(계정매핑!$C$5:$C$504,MATCH($F1170&amp;"",계정매핑!$A$5:$A$504,0)),"미매핑"))</f>
        <v/>
      </c>
      <c r="L1170" s="4">
        <f>IF($A1170="","",VALUE($A1170&amp;""))</f>
        <v/>
      </c>
      <c r="M1170" s="4">
        <f>IF($A1170="","",VALUE($B1170&amp;""))</f>
        <v/>
      </c>
      <c r="N1170" s="64">
        <f>IF($A1170="","",$H1170*설정!$C$15)</f>
        <v/>
      </c>
      <c r="O1170" s="4">
        <f>IF($A1170="","",J1170&amp;"|"&amp;K1170)</f>
        <v/>
      </c>
      <c r="P1170" s="63">
        <f>IF($A1170="","",IF(COUNTIFS(예산_원본!$T$5:$T$3004,O1170,예산_원본!$B$5:$B$3004,설정!$C$8,예산_원본!$U$5:$U$3004,L1170)&gt;0,"Y","N"))</f>
        <v/>
      </c>
      <c r="Q1170" s="63">
        <f>IF($A1170="","",IF(COUNTIF(집계!$E$7:$E$506,O1170)&gt;0,"Y","N"))</f>
        <v/>
      </c>
    </row>
    <row r="1171">
      <c r="A1171" s="60" t="n">
        <v>2026</v>
      </c>
      <c r="B1171" s="60" t="n">
        <v>3</v>
      </c>
      <c r="C1171" s="60" t="inlineStr">
        <is>
          <t>1000</t>
        </is>
      </c>
      <c r="D1171" s="60" t="n">
        <v>1801</v>
      </c>
      <c r="E1171" s="60" t="inlineStr">
        <is>
          <t>고객서비스</t>
        </is>
      </c>
      <c r="F1171" s="60" t="n">
        <v>62301000</v>
      </c>
      <c r="G1171" s="60" t="inlineStr">
        <is>
          <t>소모품비</t>
        </is>
      </c>
      <c r="H1171" s="61" t="n">
        <v>1240990</v>
      </c>
      <c r="J1171" s="63">
        <f>IF($A1171="","",IFERROR(INDEX(부서매핑!$C$5:$C$504,MATCH($D1171&amp;"",부서매핑!$A$5:$A$504,0)),"미매핑"))</f>
        <v/>
      </c>
      <c r="K1171" s="63">
        <f>IF($A1171="","",IFERROR(INDEX(계정매핑!$C$5:$C$504,MATCH($F1171&amp;"",계정매핑!$A$5:$A$504,0)),"미매핑"))</f>
        <v/>
      </c>
      <c r="L1171" s="4">
        <f>IF($A1171="","",VALUE($A1171&amp;""))</f>
        <v/>
      </c>
      <c r="M1171" s="4">
        <f>IF($A1171="","",VALUE($B1171&amp;""))</f>
        <v/>
      </c>
      <c r="N1171" s="64">
        <f>IF($A1171="","",$H1171*설정!$C$15)</f>
        <v/>
      </c>
      <c r="O1171" s="4">
        <f>IF($A1171="","",J1171&amp;"|"&amp;K1171)</f>
        <v/>
      </c>
      <c r="P1171" s="63">
        <f>IF($A1171="","",IF(COUNTIFS(예산_원본!$T$5:$T$3004,O1171,예산_원본!$B$5:$B$3004,설정!$C$8,예산_원본!$U$5:$U$3004,L1171)&gt;0,"Y","N"))</f>
        <v/>
      </c>
      <c r="Q1171" s="63">
        <f>IF($A1171="","",IF(COUNTIF(집계!$E$7:$E$506,O1171)&gt;0,"Y","N"))</f>
        <v/>
      </c>
    </row>
    <row r="1172">
      <c r="A1172" s="60" t="n">
        <v>2026</v>
      </c>
      <c r="B1172" s="60" t="n">
        <v>3</v>
      </c>
      <c r="C1172" s="60" t="inlineStr">
        <is>
          <t>1000</t>
        </is>
      </c>
      <c r="D1172" s="60" t="n">
        <v>1801</v>
      </c>
      <c r="E1172" s="60" t="inlineStr">
        <is>
          <t>고객서비스</t>
        </is>
      </c>
      <c r="F1172" s="60" t="n">
        <v>62401000</v>
      </c>
      <c r="G1172" s="60" t="inlineStr">
        <is>
          <t>도서인쇄비</t>
        </is>
      </c>
      <c r="H1172" s="61" t="n">
        <v>8435260</v>
      </c>
      <c r="J1172" s="63">
        <f>IF($A1172="","",IFERROR(INDEX(부서매핑!$C$5:$C$504,MATCH($D1172&amp;"",부서매핑!$A$5:$A$504,0)),"미매핑"))</f>
        <v/>
      </c>
      <c r="K1172" s="63">
        <f>IF($A1172="","",IFERROR(INDEX(계정매핑!$C$5:$C$504,MATCH($F1172&amp;"",계정매핑!$A$5:$A$504,0)),"미매핑"))</f>
        <v/>
      </c>
      <c r="L1172" s="4">
        <f>IF($A1172="","",VALUE($A1172&amp;""))</f>
        <v/>
      </c>
      <c r="M1172" s="4">
        <f>IF($A1172="","",VALUE($B1172&amp;""))</f>
        <v/>
      </c>
      <c r="N1172" s="64">
        <f>IF($A1172="","",$H1172*설정!$C$15)</f>
        <v/>
      </c>
      <c r="O1172" s="4">
        <f>IF($A1172="","",J1172&amp;"|"&amp;K1172)</f>
        <v/>
      </c>
      <c r="P1172" s="63">
        <f>IF($A1172="","",IF(COUNTIFS(예산_원본!$T$5:$T$3004,O1172,예산_원본!$B$5:$B$3004,설정!$C$8,예산_원본!$U$5:$U$3004,L1172)&gt;0,"Y","N"))</f>
        <v/>
      </c>
      <c r="Q1172" s="63">
        <f>IF($A1172="","",IF(COUNTIF(집계!$E$7:$E$506,O1172)&gt;0,"Y","N"))</f>
        <v/>
      </c>
    </row>
    <row r="1173">
      <c r="A1173" s="60" t="n">
        <v>2026</v>
      </c>
      <c r="B1173" s="60" t="n">
        <v>3</v>
      </c>
      <c r="C1173" s="60" t="inlineStr">
        <is>
          <t>1000</t>
        </is>
      </c>
      <c r="D1173" s="60" t="n">
        <v>1801</v>
      </c>
      <c r="E1173" s="60" t="inlineStr">
        <is>
          <t>고객서비스</t>
        </is>
      </c>
      <c r="F1173" s="60" t="n">
        <v>62501000</v>
      </c>
      <c r="G1173" s="60" t="inlineStr">
        <is>
          <t>회의비</t>
        </is>
      </c>
      <c r="H1173" s="61" t="n">
        <v>553980</v>
      </c>
      <c r="J1173" s="63">
        <f>IF($A1173="","",IFERROR(INDEX(부서매핑!$C$5:$C$504,MATCH($D1173&amp;"",부서매핑!$A$5:$A$504,0)),"미매핑"))</f>
        <v/>
      </c>
      <c r="K1173" s="63">
        <f>IF($A1173="","",IFERROR(INDEX(계정매핑!$C$5:$C$504,MATCH($F1173&amp;"",계정매핑!$A$5:$A$504,0)),"미매핑"))</f>
        <v/>
      </c>
      <c r="L1173" s="4">
        <f>IF($A1173="","",VALUE($A1173&amp;""))</f>
        <v/>
      </c>
      <c r="M1173" s="4">
        <f>IF($A1173="","",VALUE($B1173&amp;""))</f>
        <v/>
      </c>
      <c r="N1173" s="64">
        <f>IF($A1173="","",$H1173*설정!$C$15)</f>
        <v/>
      </c>
      <c r="O1173" s="4">
        <f>IF($A1173="","",J1173&amp;"|"&amp;K1173)</f>
        <v/>
      </c>
      <c r="P1173" s="63">
        <f>IF($A1173="","",IF(COUNTIFS(예산_원본!$T$5:$T$3004,O1173,예산_원본!$B$5:$B$3004,설정!$C$8,예산_원본!$U$5:$U$3004,L1173)&gt;0,"Y","N"))</f>
        <v/>
      </c>
      <c r="Q1173" s="63">
        <f>IF($A1173="","",IF(COUNTIF(집계!$E$7:$E$506,O1173)&gt;0,"Y","N"))</f>
        <v/>
      </c>
    </row>
    <row r="1174">
      <c r="A1174" s="60" t="n">
        <v>2026</v>
      </c>
      <c r="B1174" s="60" t="n">
        <v>3</v>
      </c>
      <c r="C1174" s="60" t="inlineStr">
        <is>
          <t>1000</t>
        </is>
      </c>
      <c r="D1174" s="60" t="n">
        <v>1801</v>
      </c>
      <c r="E1174" s="60" t="inlineStr">
        <is>
          <t>고객서비스</t>
        </is>
      </c>
      <c r="F1174" s="60" t="n">
        <v>62901000</v>
      </c>
      <c r="G1174" s="60" t="inlineStr">
        <is>
          <t>지급수수료-컨설팅</t>
        </is>
      </c>
      <c r="H1174" s="61" t="n">
        <v>34706320</v>
      </c>
      <c r="J1174" s="63">
        <f>IF($A1174="","",IFERROR(INDEX(부서매핑!$C$5:$C$504,MATCH($D1174&amp;"",부서매핑!$A$5:$A$504,0)),"미매핑"))</f>
        <v/>
      </c>
      <c r="K1174" s="63">
        <f>IF($A1174="","",IFERROR(INDEX(계정매핑!$C$5:$C$504,MATCH($F1174&amp;"",계정매핑!$A$5:$A$504,0)),"미매핑"))</f>
        <v/>
      </c>
      <c r="L1174" s="4">
        <f>IF($A1174="","",VALUE($A1174&amp;""))</f>
        <v/>
      </c>
      <c r="M1174" s="4">
        <f>IF($A1174="","",VALUE($B1174&amp;""))</f>
        <v/>
      </c>
      <c r="N1174" s="64">
        <f>IF($A1174="","",$H1174*설정!$C$15)</f>
        <v/>
      </c>
      <c r="O1174" s="4">
        <f>IF($A1174="","",J1174&amp;"|"&amp;K1174)</f>
        <v/>
      </c>
      <c r="P1174" s="63">
        <f>IF($A1174="","",IF(COUNTIFS(예산_원본!$T$5:$T$3004,O1174,예산_원본!$B$5:$B$3004,설정!$C$8,예산_원본!$U$5:$U$3004,L1174)&gt;0,"Y","N"))</f>
        <v/>
      </c>
      <c r="Q1174" s="63">
        <f>IF($A1174="","",IF(COUNTIF(집계!$E$7:$E$506,O1174)&gt;0,"Y","N"))</f>
        <v/>
      </c>
    </row>
    <row r="1175">
      <c r="A1175" s="60" t="n">
        <v>2026</v>
      </c>
      <c r="B1175" s="60" t="n">
        <v>3</v>
      </c>
      <c r="C1175" s="60" t="inlineStr">
        <is>
          <t>1000</t>
        </is>
      </c>
      <c r="D1175" s="60" t="n">
        <v>1801</v>
      </c>
      <c r="E1175" s="60" t="inlineStr">
        <is>
          <t>고객서비스</t>
        </is>
      </c>
      <c r="F1175" s="60" t="n">
        <v>62902000</v>
      </c>
      <c r="G1175" s="60" t="inlineStr">
        <is>
          <t>지급수수료-기타</t>
        </is>
      </c>
      <c r="H1175" s="61" t="n">
        <v>14049270</v>
      </c>
      <c r="J1175" s="63">
        <f>IF($A1175="","",IFERROR(INDEX(부서매핑!$C$5:$C$504,MATCH($D1175&amp;"",부서매핑!$A$5:$A$504,0)),"미매핑"))</f>
        <v/>
      </c>
      <c r="K1175" s="63">
        <f>IF($A1175="","",IFERROR(INDEX(계정매핑!$C$5:$C$504,MATCH($F1175&amp;"",계정매핑!$A$5:$A$504,0)),"미매핑"))</f>
        <v/>
      </c>
      <c r="L1175" s="4">
        <f>IF($A1175="","",VALUE($A1175&amp;""))</f>
        <v/>
      </c>
      <c r="M1175" s="4">
        <f>IF($A1175="","",VALUE($B1175&amp;""))</f>
        <v/>
      </c>
      <c r="N1175" s="64">
        <f>IF($A1175="","",$H1175*설정!$C$15)</f>
        <v/>
      </c>
      <c r="O1175" s="4">
        <f>IF($A1175="","",J1175&amp;"|"&amp;K1175)</f>
        <v/>
      </c>
      <c r="P1175" s="63">
        <f>IF($A1175="","",IF(COUNTIFS(예산_원본!$T$5:$T$3004,O1175,예산_원본!$B$5:$B$3004,설정!$C$8,예산_원본!$U$5:$U$3004,L1175)&gt;0,"Y","N"))</f>
        <v/>
      </c>
      <c r="Q1175" s="63">
        <f>IF($A1175="","",IF(COUNTIF(집계!$E$7:$E$506,O1175)&gt;0,"Y","N"))</f>
        <v/>
      </c>
    </row>
    <row r="1176">
      <c r="A1176" s="60" t="n">
        <v>2026</v>
      </c>
      <c r="B1176" s="60" t="n">
        <v>4</v>
      </c>
      <c r="C1176" s="60" t="inlineStr">
        <is>
          <t>1000</t>
        </is>
      </c>
      <c r="D1176" s="60" t="n">
        <v>1101</v>
      </c>
      <c r="E1176" s="60" t="inlineStr">
        <is>
          <t>경영기획</t>
        </is>
      </c>
      <c r="F1176" s="60" t="n">
        <v>62101000</v>
      </c>
      <c r="G1176" s="60" t="inlineStr">
        <is>
          <t>여비교통비-국내</t>
        </is>
      </c>
      <c r="H1176" s="61" t="n">
        <v>2855550</v>
      </c>
      <c r="J1176" s="63">
        <f>IF($A1176="","",IFERROR(INDEX(부서매핑!$C$5:$C$504,MATCH($D1176&amp;"",부서매핑!$A$5:$A$504,0)),"미매핑"))</f>
        <v/>
      </c>
      <c r="K1176" s="63">
        <f>IF($A1176="","",IFERROR(INDEX(계정매핑!$C$5:$C$504,MATCH($F1176&amp;"",계정매핑!$A$5:$A$504,0)),"미매핑"))</f>
        <v/>
      </c>
      <c r="L1176" s="4">
        <f>IF($A1176="","",VALUE($A1176&amp;""))</f>
        <v/>
      </c>
      <c r="M1176" s="4">
        <f>IF($A1176="","",VALUE($B1176&amp;""))</f>
        <v/>
      </c>
      <c r="N1176" s="64">
        <f>IF($A1176="","",$H1176*설정!$C$15)</f>
        <v/>
      </c>
      <c r="O1176" s="4">
        <f>IF($A1176="","",J1176&amp;"|"&amp;K1176)</f>
        <v/>
      </c>
      <c r="P1176" s="63">
        <f>IF($A1176="","",IF(COUNTIFS(예산_원본!$T$5:$T$3004,O1176,예산_원본!$B$5:$B$3004,설정!$C$8,예산_원본!$U$5:$U$3004,L1176)&gt;0,"Y","N"))</f>
        <v/>
      </c>
      <c r="Q1176" s="63">
        <f>IF($A1176="","",IF(COUNTIF(집계!$E$7:$E$506,O1176)&gt;0,"Y","N"))</f>
        <v/>
      </c>
    </row>
    <row r="1177">
      <c r="A1177" s="60" t="n">
        <v>2026</v>
      </c>
      <c r="B1177" s="60" t="n">
        <v>4</v>
      </c>
      <c r="C1177" s="60" t="inlineStr">
        <is>
          <t>1000</t>
        </is>
      </c>
      <c r="D1177" s="60" t="n">
        <v>1101</v>
      </c>
      <c r="E1177" s="60" t="inlineStr">
        <is>
          <t>경영기획</t>
        </is>
      </c>
      <c r="F1177" s="60" t="n">
        <v>62102000</v>
      </c>
      <c r="G1177" s="60" t="inlineStr">
        <is>
          <t>여비교통비-해외</t>
        </is>
      </c>
      <c r="H1177" s="61" t="n">
        <v>461380</v>
      </c>
      <c r="J1177" s="63">
        <f>IF($A1177="","",IFERROR(INDEX(부서매핑!$C$5:$C$504,MATCH($D1177&amp;"",부서매핑!$A$5:$A$504,0)),"미매핑"))</f>
        <v/>
      </c>
      <c r="K1177" s="63">
        <f>IF($A1177="","",IFERROR(INDEX(계정매핑!$C$5:$C$504,MATCH($F1177&amp;"",계정매핑!$A$5:$A$504,0)),"미매핑"))</f>
        <v/>
      </c>
      <c r="L1177" s="4">
        <f>IF($A1177="","",VALUE($A1177&amp;""))</f>
        <v/>
      </c>
      <c r="M1177" s="4">
        <f>IF($A1177="","",VALUE($B1177&amp;""))</f>
        <v/>
      </c>
      <c r="N1177" s="64">
        <f>IF($A1177="","",$H1177*설정!$C$15)</f>
        <v/>
      </c>
      <c r="O1177" s="4">
        <f>IF($A1177="","",J1177&amp;"|"&amp;K1177)</f>
        <v/>
      </c>
      <c r="P1177" s="63">
        <f>IF($A1177="","",IF(COUNTIFS(예산_원본!$T$5:$T$3004,O1177,예산_원본!$B$5:$B$3004,설정!$C$8,예산_원본!$U$5:$U$3004,L1177)&gt;0,"Y","N"))</f>
        <v/>
      </c>
      <c r="Q1177" s="63">
        <f>IF($A1177="","",IF(COUNTIF(집계!$E$7:$E$506,O1177)&gt;0,"Y","N"))</f>
        <v/>
      </c>
    </row>
    <row r="1178">
      <c r="A1178" s="60" t="n">
        <v>2026</v>
      </c>
      <c r="B1178" s="60" t="n">
        <v>4</v>
      </c>
      <c r="C1178" s="60" t="inlineStr">
        <is>
          <t>1000</t>
        </is>
      </c>
      <c r="D1178" s="60" t="n">
        <v>1101</v>
      </c>
      <c r="E1178" s="60" t="inlineStr">
        <is>
          <t>경영기획</t>
        </is>
      </c>
      <c r="F1178" s="60" t="n">
        <v>62201000</v>
      </c>
      <c r="G1178" s="60" t="inlineStr">
        <is>
          <t>통신비</t>
        </is>
      </c>
      <c r="H1178" s="61" t="n">
        <v>950140</v>
      </c>
      <c r="J1178" s="63">
        <f>IF($A1178="","",IFERROR(INDEX(부서매핑!$C$5:$C$504,MATCH($D1178&amp;"",부서매핑!$A$5:$A$504,0)),"미매핑"))</f>
        <v/>
      </c>
      <c r="K1178" s="63">
        <f>IF($A1178="","",IFERROR(INDEX(계정매핑!$C$5:$C$504,MATCH($F1178&amp;"",계정매핑!$A$5:$A$504,0)),"미매핑"))</f>
        <v/>
      </c>
      <c r="L1178" s="4">
        <f>IF($A1178="","",VALUE($A1178&amp;""))</f>
        <v/>
      </c>
      <c r="M1178" s="4">
        <f>IF($A1178="","",VALUE($B1178&amp;""))</f>
        <v/>
      </c>
      <c r="N1178" s="64">
        <f>IF($A1178="","",$H1178*설정!$C$15)</f>
        <v/>
      </c>
      <c r="O1178" s="4">
        <f>IF($A1178="","",J1178&amp;"|"&amp;K1178)</f>
        <v/>
      </c>
      <c r="P1178" s="63">
        <f>IF($A1178="","",IF(COUNTIFS(예산_원본!$T$5:$T$3004,O1178,예산_원본!$B$5:$B$3004,설정!$C$8,예산_원본!$U$5:$U$3004,L1178)&gt;0,"Y","N"))</f>
        <v/>
      </c>
      <c r="Q1178" s="63">
        <f>IF($A1178="","",IF(COUNTIF(집계!$E$7:$E$506,O1178)&gt;0,"Y","N"))</f>
        <v/>
      </c>
    </row>
    <row r="1179">
      <c r="A1179" s="60" t="n">
        <v>2026</v>
      </c>
      <c r="B1179" s="60" t="n">
        <v>4</v>
      </c>
      <c r="C1179" s="60" t="inlineStr">
        <is>
          <t>1000</t>
        </is>
      </c>
      <c r="D1179" s="60" t="n">
        <v>1101</v>
      </c>
      <c r="E1179" s="60" t="inlineStr">
        <is>
          <t>경영기획</t>
        </is>
      </c>
      <c r="F1179" s="60" t="n">
        <v>62301000</v>
      </c>
      <c r="G1179" s="60" t="inlineStr">
        <is>
          <t>소모품비</t>
        </is>
      </c>
      <c r="H1179" s="61" t="n">
        <v>468030</v>
      </c>
      <c r="J1179" s="63">
        <f>IF($A1179="","",IFERROR(INDEX(부서매핑!$C$5:$C$504,MATCH($D1179&amp;"",부서매핑!$A$5:$A$504,0)),"미매핑"))</f>
        <v/>
      </c>
      <c r="K1179" s="63">
        <f>IF($A1179="","",IFERROR(INDEX(계정매핑!$C$5:$C$504,MATCH($F1179&amp;"",계정매핑!$A$5:$A$504,0)),"미매핑"))</f>
        <v/>
      </c>
      <c r="L1179" s="4">
        <f>IF($A1179="","",VALUE($A1179&amp;""))</f>
        <v/>
      </c>
      <c r="M1179" s="4">
        <f>IF($A1179="","",VALUE($B1179&amp;""))</f>
        <v/>
      </c>
      <c r="N1179" s="64">
        <f>IF($A1179="","",$H1179*설정!$C$15)</f>
        <v/>
      </c>
      <c r="O1179" s="4">
        <f>IF($A1179="","",J1179&amp;"|"&amp;K1179)</f>
        <v/>
      </c>
      <c r="P1179" s="63">
        <f>IF($A1179="","",IF(COUNTIFS(예산_원본!$T$5:$T$3004,O1179,예산_원본!$B$5:$B$3004,설정!$C$8,예산_원본!$U$5:$U$3004,L1179)&gt;0,"Y","N"))</f>
        <v/>
      </c>
      <c r="Q1179" s="63">
        <f>IF($A1179="","",IF(COUNTIF(집계!$E$7:$E$506,O1179)&gt;0,"Y","N"))</f>
        <v/>
      </c>
    </row>
    <row r="1180">
      <c r="A1180" s="60" t="n">
        <v>2026</v>
      </c>
      <c r="B1180" s="60" t="n">
        <v>4</v>
      </c>
      <c r="C1180" s="60" t="inlineStr">
        <is>
          <t>1000</t>
        </is>
      </c>
      <c r="D1180" s="60" t="n">
        <v>1101</v>
      </c>
      <c r="E1180" s="60" t="inlineStr">
        <is>
          <t>경영기획</t>
        </is>
      </c>
      <c r="F1180" s="60" t="n">
        <v>62501000</v>
      </c>
      <c r="G1180" s="60" t="inlineStr">
        <is>
          <t>회의비</t>
        </is>
      </c>
      <c r="H1180" s="61" t="n">
        <v>1097050</v>
      </c>
      <c r="J1180" s="63">
        <f>IF($A1180="","",IFERROR(INDEX(부서매핑!$C$5:$C$504,MATCH($D1180&amp;"",부서매핑!$A$5:$A$504,0)),"미매핑"))</f>
        <v/>
      </c>
      <c r="K1180" s="63">
        <f>IF($A1180="","",IFERROR(INDEX(계정매핑!$C$5:$C$504,MATCH($F1180&amp;"",계정매핑!$A$5:$A$504,0)),"미매핑"))</f>
        <v/>
      </c>
      <c r="L1180" s="4">
        <f>IF($A1180="","",VALUE($A1180&amp;""))</f>
        <v/>
      </c>
      <c r="M1180" s="4">
        <f>IF($A1180="","",VALUE($B1180&amp;""))</f>
        <v/>
      </c>
      <c r="N1180" s="64">
        <f>IF($A1180="","",$H1180*설정!$C$15)</f>
        <v/>
      </c>
      <c r="O1180" s="4">
        <f>IF($A1180="","",J1180&amp;"|"&amp;K1180)</f>
        <v/>
      </c>
      <c r="P1180" s="63">
        <f>IF($A1180="","",IF(COUNTIFS(예산_원본!$T$5:$T$3004,O1180,예산_원본!$B$5:$B$3004,설정!$C$8,예산_원본!$U$5:$U$3004,L1180)&gt;0,"Y","N"))</f>
        <v/>
      </c>
      <c r="Q1180" s="63">
        <f>IF($A1180="","",IF(COUNTIF(집계!$E$7:$E$506,O1180)&gt;0,"Y","N"))</f>
        <v/>
      </c>
    </row>
    <row r="1181">
      <c r="A1181" s="60" t="n">
        <v>2026</v>
      </c>
      <c r="B1181" s="60" t="n">
        <v>4</v>
      </c>
      <c r="C1181" s="60" t="inlineStr">
        <is>
          <t>1000</t>
        </is>
      </c>
      <c r="D1181" s="60" t="n">
        <v>1101</v>
      </c>
      <c r="E1181" s="60" t="inlineStr">
        <is>
          <t>경영기획</t>
        </is>
      </c>
      <c r="F1181" s="60" t="n">
        <v>62601000</v>
      </c>
      <c r="G1181" s="60" t="inlineStr">
        <is>
          <t>업무추진비</t>
        </is>
      </c>
      <c r="H1181" s="61" t="n">
        <v>4109170</v>
      </c>
      <c r="J1181" s="63">
        <f>IF($A1181="","",IFERROR(INDEX(부서매핑!$C$5:$C$504,MATCH($D1181&amp;"",부서매핑!$A$5:$A$504,0)),"미매핑"))</f>
        <v/>
      </c>
      <c r="K1181" s="63">
        <f>IF($A1181="","",IFERROR(INDEX(계정매핑!$C$5:$C$504,MATCH($F1181&amp;"",계정매핑!$A$5:$A$504,0)),"미매핑"))</f>
        <v/>
      </c>
      <c r="L1181" s="4">
        <f>IF($A1181="","",VALUE($A1181&amp;""))</f>
        <v/>
      </c>
      <c r="M1181" s="4">
        <f>IF($A1181="","",VALUE($B1181&amp;""))</f>
        <v/>
      </c>
      <c r="N1181" s="64">
        <f>IF($A1181="","",$H1181*설정!$C$15)</f>
        <v/>
      </c>
      <c r="O1181" s="4">
        <f>IF($A1181="","",J1181&amp;"|"&amp;K1181)</f>
        <v/>
      </c>
      <c r="P1181" s="63">
        <f>IF($A1181="","",IF(COUNTIFS(예산_원본!$T$5:$T$3004,O1181,예산_원본!$B$5:$B$3004,설정!$C$8,예산_원본!$U$5:$U$3004,L1181)&gt;0,"Y","N"))</f>
        <v/>
      </c>
      <c r="Q1181" s="63">
        <f>IF($A1181="","",IF(COUNTIF(집계!$E$7:$E$506,O1181)&gt;0,"Y","N"))</f>
        <v/>
      </c>
    </row>
    <row r="1182">
      <c r="A1182" s="60" t="n">
        <v>2026</v>
      </c>
      <c r="B1182" s="60" t="n">
        <v>4</v>
      </c>
      <c r="C1182" s="60" t="inlineStr">
        <is>
          <t>1000</t>
        </is>
      </c>
      <c r="D1182" s="60" t="n">
        <v>1101</v>
      </c>
      <c r="E1182" s="60" t="inlineStr">
        <is>
          <t>경영기획</t>
        </is>
      </c>
      <c r="F1182" s="60" t="n">
        <v>62901000</v>
      </c>
      <c r="G1182" s="60" t="inlineStr">
        <is>
          <t>지급수수료-컨설팅</t>
        </is>
      </c>
      <c r="H1182" s="61" t="n">
        <v>15077360</v>
      </c>
      <c r="J1182" s="63">
        <f>IF($A1182="","",IFERROR(INDEX(부서매핑!$C$5:$C$504,MATCH($D1182&amp;"",부서매핑!$A$5:$A$504,0)),"미매핑"))</f>
        <v/>
      </c>
      <c r="K1182" s="63">
        <f>IF($A1182="","",IFERROR(INDEX(계정매핑!$C$5:$C$504,MATCH($F1182&amp;"",계정매핑!$A$5:$A$504,0)),"미매핑"))</f>
        <v/>
      </c>
      <c r="L1182" s="4">
        <f>IF($A1182="","",VALUE($A1182&amp;""))</f>
        <v/>
      </c>
      <c r="M1182" s="4">
        <f>IF($A1182="","",VALUE($B1182&amp;""))</f>
        <v/>
      </c>
      <c r="N1182" s="64">
        <f>IF($A1182="","",$H1182*설정!$C$15)</f>
        <v/>
      </c>
      <c r="O1182" s="4">
        <f>IF($A1182="","",J1182&amp;"|"&amp;K1182)</f>
        <v/>
      </c>
      <c r="P1182" s="63">
        <f>IF($A1182="","",IF(COUNTIFS(예산_원본!$T$5:$T$3004,O1182,예산_원본!$B$5:$B$3004,설정!$C$8,예산_원본!$U$5:$U$3004,L1182)&gt;0,"Y","N"))</f>
        <v/>
      </c>
      <c r="Q1182" s="63">
        <f>IF($A1182="","",IF(COUNTIF(집계!$E$7:$E$506,O1182)&gt;0,"Y","N"))</f>
        <v/>
      </c>
    </row>
    <row r="1183">
      <c r="A1183" s="60" t="n">
        <v>2026</v>
      </c>
      <c r="B1183" s="60" t="n">
        <v>4</v>
      </c>
      <c r="C1183" s="60" t="inlineStr">
        <is>
          <t>1000</t>
        </is>
      </c>
      <c r="D1183" s="60" t="n">
        <v>1101</v>
      </c>
      <c r="E1183" s="60" t="inlineStr">
        <is>
          <t>경영기획</t>
        </is>
      </c>
      <c r="F1183" s="60" t="n">
        <v>62902000</v>
      </c>
      <c r="G1183" s="60" t="inlineStr">
        <is>
          <t>지급수수료-기타</t>
        </is>
      </c>
      <c r="H1183" s="61" t="n">
        <v>6339140</v>
      </c>
      <c r="J1183" s="63">
        <f>IF($A1183="","",IFERROR(INDEX(부서매핑!$C$5:$C$504,MATCH($D1183&amp;"",부서매핑!$A$5:$A$504,0)),"미매핑"))</f>
        <v/>
      </c>
      <c r="K1183" s="63">
        <f>IF($A1183="","",IFERROR(INDEX(계정매핑!$C$5:$C$504,MATCH($F1183&amp;"",계정매핑!$A$5:$A$504,0)),"미매핑"))</f>
        <v/>
      </c>
      <c r="L1183" s="4">
        <f>IF($A1183="","",VALUE($A1183&amp;""))</f>
        <v/>
      </c>
      <c r="M1183" s="4">
        <f>IF($A1183="","",VALUE($B1183&amp;""))</f>
        <v/>
      </c>
      <c r="N1183" s="64">
        <f>IF($A1183="","",$H1183*설정!$C$15)</f>
        <v/>
      </c>
      <c r="O1183" s="4">
        <f>IF($A1183="","",J1183&amp;"|"&amp;K1183)</f>
        <v/>
      </c>
      <c r="P1183" s="63">
        <f>IF($A1183="","",IF(COUNTIFS(예산_원본!$T$5:$T$3004,O1183,예산_원본!$B$5:$B$3004,설정!$C$8,예산_원본!$U$5:$U$3004,L1183)&gt;0,"Y","N"))</f>
        <v/>
      </c>
      <c r="Q1183" s="63">
        <f>IF($A1183="","",IF(COUNTIF(집계!$E$7:$E$506,O1183)&gt;0,"Y","N"))</f>
        <v/>
      </c>
    </row>
    <row r="1184">
      <c r="A1184" s="60" t="n">
        <v>2026</v>
      </c>
      <c r="B1184" s="60" t="n">
        <v>4</v>
      </c>
      <c r="C1184" s="60" t="inlineStr">
        <is>
          <t>1000</t>
        </is>
      </c>
      <c r="D1184" s="60" t="n">
        <v>1201</v>
      </c>
      <c r="E1184" s="60" t="inlineStr">
        <is>
          <t>재무회계</t>
        </is>
      </c>
      <c r="F1184" s="60" t="n">
        <v>62101000</v>
      </c>
      <c r="G1184" s="60" t="inlineStr">
        <is>
          <t>여비교통비-국내</t>
        </is>
      </c>
      <c r="H1184" s="61" t="n">
        <v>1227010</v>
      </c>
      <c r="J1184" s="63">
        <f>IF($A1184="","",IFERROR(INDEX(부서매핑!$C$5:$C$504,MATCH($D1184&amp;"",부서매핑!$A$5:$A$504,0)),"미매핑"))</f>
        <v/>
      </c>
      <c r="K1184" s="63">
        <f>IF($A1184="","",IFERROR(INDEX(계정매핑!$C$5:$C$504,MATCH($F1184&amp;"",계정매핑!$A$5:$A$504,0)),"미매핑"))</f>
        <v/>
      </c>
      <c r="L1184" s="4">
        <f>IF($A1184="","",VALUE($A1184&amp;""))</f>
        <v/>
      </c>
      <c r="M1184" s="4">
        <f>IF($A1184="","",VALUE($B1184&amp;""))</f>
        <v/>
      </c>
      <c r="N1184" s="64">
        <f>IF($A1184="","",$H1184*설정!$C$15)</f>
        <v/>
      </c>
      <c r="O1184" s="4">
        <f>IF($A1184="","",J1184&amp;"|"&amp;K1184)</f>
        <v/>
      </c>
      <c r="P1184" s="63">
        <f>IF($A1184="","",IF(COUNTIFS(예산_원본!$T$5:$T$3004,O1184,예산_원본!$B$5:$B$3004,설정!$C$8,예산_원본!$U$5:$U$3004,L1184)&gt;0,"Y","N"))</f>
        <v/>
      </c>
      <c r="Q1184" s="63">
        <f>IF($A1184="","",IF(COUNTIF(집계!$E$7:$E$506,O1184)&gt;0,"Y","N"))</f>
        <v/>
      </c>
    </row>
    <row r="1185">
      <c r="A1185" s="60" t="n">
        <v>2026</v>
      </c>
      <c r="B1185" s="60" t="n">
        <v>4</v>
      </c>
      <c r="C1185" s="60" t="inlineStr">
        <is>
          <t>1000</t>
        </is>
      </c>
      <c r="D1185" s="60" t="n">
        <v>1201</v>
      </c>
      <c r="E1185" s="60" t="inlineStr">
        <is>
          <t>재무회계</t>
        </is>
      </c>
      <c r="F1185" s="60" t="n">
        <v>62102000</v>
      </c>
      <c r="G1185" s="60" t="inlineStr">
        <is>
          <t>여비교통비-해외</t>
        </is>
      </c>
      <c r="H1185" s="61" t="n">
        <v>254280</v>
      </c>
      <c r="J1185" s="63">
        <f>IF($A1185="","",IFERROR(INDEX(부서매핑!$C$5:$C$504,MATCH($D1185&amp;"",부서매핑!$A$5:$A$504,0)),"미매핑"))</f>
        <v/>
      </c>
      <c r="K1185" s="63">
        <f>IF($A1185="","",IFERROR(INDEX(계정매핑!$C$5:$C$504,MATCH($F1185&amp;"",계정매핑!$A$5:$A$504,0)),"미매핑"))</f>
        <v/>
      </c>
      <c r="L1185" s="4">
        <f>IF($A1185="","",VALUE($A1185&amp;""))</f>
        <v/>
      </c>
      <c r="M1185" s="4">
        <f>IF($A1185="","",VALUE($B1185&amp;""))</f>
        <v/>
      </c>
      <c r="N1185" s="64">
        <f>IF($A1185="","",$H1185*설정!$C$15)</f>
        <v/>
      </c>
      <c r="O1185" s="4">
        <f>IF($A1185="","",J1185&amp;"|"&amp;K1185)</f>
        <v/>
      </c>
      <c r="P1185" s="63">
        <f>IF($A1185="","",IF(COUNTIFS(예산_원본!$T$5:$T$3004,O1185,예산_원본!$B$5:$B$3004,설정!$C$8,예산_원본!$U$5:$U$3004,L1185)&gt;0,"Y","N"))</f>
        <v/>
      </c>
      <c r="Q1185" s="63">
        <f>IF($A1185="","",IF(COUNTIF(집계!$E$7:$E$506,O1185)&gt;0,"Y","N"))</f>
        <v/>
      </c>
    </row>
    <row r="1186">
      <c r="A1186" s="60" t="n">
        <v>2026</v>
      </c>
      <c r="B1186" s="60" t="n">
        <v>4</v>
      </c>
      <c r="C1186" s="60" t="inlineStr">
        <is>
          <t>1000</t>
        </is>
      </c>
      <c r="D1186" s="60" t="n">
        <v>1201</v>
      </c>
      <c r="E1186" s="60" t="inlineStr">
        <is>
          <t>재무회계</t>
        </is>
      </c>
      <c r="F1186" s="60" t="n">
        <v>62201000</v>
      </c>
      <c r="G1186" s="60" t="inlineStr">
        <is>
          <t>통신비</t>
        </is>
      </c>
      <c r="H1186" s="61" t="n">
        <v>474280</v>
      </c>
      <c r="J1186" s="63">
        <f>IF($A1186="","",IFERROR(INDEX(부서매핑!$C$5:$C$504,MATCH($D1186&amp;"",부서매핑!$A$5:$A$504,0)),"미매핑"))</f>
        <v/>
      </c>
      <c r="K1186" s="63">
        <f>IF($A1186="","",IFERROR(INDEX(계정매핑!$C$5:$C$504,MATCH($F1186&amp;"",계정매핑!$A$5:$A$504,0)),"미매핑"))</f>
        <v/>
      </c>
      <c r="L1186" s="4">
        <f>IF($A1186="","",VALUE($A1186&amp;""))</f>
        <v/>
      </c>
      <c r="M1186" s="4">
        <f>IF($A1186="","",VALUE($B1186&amp;""))</f>
        <v/>
      </c>
      <c r="N1186" s="64">
        <f>IF($A1186="","",$H1186*설정!$C$15)</f>
        <v/>
      </c>
      <c r="O1186" s="4">
        <f>IF($A1186="","",J1186&amp;"|"&amp;K1186)</f>
        <v/>
      </c>
      <c r="P1186" s="63">
        <f>IF($A1186="","",IF(COUNTIFS(예산_원본!$T$5:$T$3004,O1186,예산_원본!$B$5:$B$3004,설정!$C$8,예산_원본!$U$5:$U$3004,L1186)&gt;0,"Y","N"))</f>
        <v/>
      </c>
      <c r="Q1186" s="63">
        <f>IF($A1186="","",IF(COUNTIF(집계!$E$7:$E$506,O1186)&gt;0,"Y","N"))</f>
        <v/>
      </c>
    </row>
    <row r="1187">
      <c r="A1187" s="60" t="n">
        <v>2026</v>
      </c>
      <c r="B1187" s="60" t="n">
        <v>4</v>
      </c>
      <c r="C1187" s="60" t="inlineStr">
        <is>
          <t>1000</t>
        </is>
      </c>
      <c r="D1187" s="60" t="n">
        <v>1201</v>
      </c>
      <c r="E1187" s="60" t="inlineStr">
        <is>
          <t>재무회계</t>
        </is>
      </c>
      <c r="F1187" s="60" t="n">
        <v>62301000</v>
      </c>
      <c r="G1187" s="60" t="inlineStr">
        <is>
          <t>소모품비</t>
        </is>
      </c>
      <c r="H1187" s="61" t="n">
        <v>583570</v>
      </c>
      <c r="J1187" s="63">
        <f>IF($A1187="","",IFERROR(INDEX(부서매핑!$C$5:$C$504,MATCH($D1187&amp;"",부서매핑!$A$5:$A$504,0)),"미매핑"))</f>
        <v/>
      </c>
      <c r="K1187" s="63">
        <f>IF($A1187="","",IFERROR(INDEX(계정매핑!$C$5:$C$504,MATCH($F1187&amp;"",계정매핑!$A$5:$A$504,0)),"미매핑"))</f>
        <v/>
      </c>
      <c r="L1187" s="4">
        <f>IF($A1187="","",VALUE($A1187&amp;""))</f>
        <v/>
      </c>
      <c r="M1187" s="4">
        <f>IF($A1187="","",VALUE($B1187&amp;""))</f>
        <v/>
      </c>
      <c r="N1187" s="64">
        <f>IF($A1187="","",$H1187*설정!$C$15)</f>
        <v/>
      </c>
      <c r="O1187" s="4">
        <f>IF($A1187="","",J1187&amp;"|"&amp;K1187)</f>
        <v/>
      </c>
      <c r="P1187" s="63">
        <f>IF($A1187="","",IF(COUNTIFS(예산_원본!$T$5:$T$3004,O1187,예산_원본!$B$5:$B$3004,설정!$C$8,예산_원본!$U$5:$U$3004,L1187)&gt;0,"Y","N"))</f>
        <v/>
      </c>
      <c r="Q1187" s="63">
        <f>IF($A1187="","",IF(COUNTIF(집계!$E$7:$E$506,O1187)&gt;0,"Y","N"))</f>
        <v/>
      </c>
    </row>
    <row r="1188">
      <c r="A1188" s="60" t="n">
        <v>2026</v>
      </c>
      <c r="B1188" s="60" t="n">
        <v>4</v>
      </c>
      <c r="C1188" s="60" t="inlineStr">
        <is>
          <t>1000</t>
        </is>
      </c>
      <c r="D1188" s="60" t="n">
        <v>1201</v>
      </c>
      <c r="E1188" s="60" t="inlineStr">
        <is>
          <t>재무회계</t>
        </is>
      </c>
      <c r="F1188" s="60" t="n">
        <v>62501000</v>
      </c>
      <c r="G1188" s="60" t="inlineStr">
        <is>
          <t>회의비</t>
        </is>
      </c>
      <c r="H1188" s="61" t="n">
        <v>486430</v>
      </c>
      <c r="J1188" s="63">
        <f>IF($A1188="","",IFERROR(INDEX(부서매핑!$C$5:$C$504,MATCH($D1188&amp;"",부서매핑!$A$5:$A$504,0)),"미매핑"))</f>
        <v/>
      </c>
      <c r="K1188" s="63">
        <f>IF($A1188="","",IFERROR(INDEX(계정매핑!$C$5:$C$504,MATCH($F1188&amp;"",계정매핑!$A$5:$A$504,0)),"미매핑"))</f>
        <v/>
      </c>
      <c r="L1188" s="4">
        <f>IF($A1188="","",VALUE($A1188&amp;""))</f>
        <v/>
      </c>
      <c r="M1188" s="4">
        <f>IF($A1188="","",VALUE($B1188&amp;""))</f>
        <v/>
      </c>
      <c r="N1188" s="64">
        <f>IF($A1188="","",$H1188*설정!$C$15)</f>
        <v/>
      </c>
      <c r="O1188" s="4">
        <f>IF($A1188="","",J1188&amp;"|"&amp;K1188)</f>
        <v/>
      </c>
      <c r="P1188" s="63">
        <f>IF($A1188="","",IF(COUNTIFS(예산_원본!$T$5:$T$3004,O1188,예산_원본!$B$5:$B$3004,설정!$C$8,예산_원본!$U$5:$U$3004,L1188)&gt;0,"Y","N"))</f>
        <v/>
      </c>
      <c r="Q1188" s="63">
        <f>IF($A1188="","",IF(COUNTIF(집계!$E$7:$E$506,O1188)&gt;0,"Y","N"))</f>
        <v/>
      </c>
    </row>
    <row r="1189">
      <c r="A1189" s="60" t="n">
        <v>2026</v>
      </c>
      <c r="B1189" s="60" t="n">
        <v>4</v>
      </c>
      <c r="C1189" s="60" t="inlineStr">
        <is>
          <t>1000</t>
        </is>
      </c>
      <c r="D1189" s="60" t="n">
        <v>1201</v>
      </c>
      <c r="E1189" s="60" t="inlineStr">
        <is>
          <t>재무회계</t>
        </is>
      </c>
      <c r="F1189" s="60" t="n">
        <v>62901000</v>
      </c>
      <c r="G1189" s="60" t="inlineStr">
        <is>
          <t>지급수수료-컨설팅</t>
        </is>
      </c>
      <c r="H1189" s="61" t="n">
        <v>23226470</v>
      </c>
      <c r="J1189" s="63">
        <f>IF($A1189="","",IFERROR(INDEX(부서매핑!$C$5:$C$504,MATCH($D1189&amp;"",부서매핑!$A$5:$A$504,0)),"미매핑"))</f>
        <v/>
      </c>
      <c r="K1189" s="63">
        <f>IF($A1189="","",IFERROR(INDEX(계정매핑!$C$5:$C$504,MATCH($F1189&amp;"",계정매핑!$A$5:$A$504,0)),"미매핑"))</f>
        <v/>
      </c>
      <c r="L1189" s="4">
        <f>IF($A1189="","",VALUE($A1189&amp;""))</f>
        <v/>
      </c>
      <c r="M1189" s="4">
        <f>IF($A1189="","",VALUE($B1189&amp;""))</f>
        <v/>
      </c>
      <c r="N1189" s="64">
        <f>IF($A1189="","",$H1189*설정!$C$15)</f>
        <v/>
      </c>
      <c r="O1189" s="4">
        <f>IF($A1189="","",J1189&amp;"|"&amp;K1189)</f>
        <v/>
      </c>
      <c r="P1189" s="63">
        <f>IF($A1189="","",IF(COUNTIFS(예산_원본!$T$5:$T$3004,O1189,예산_원본!$B$5:$B$3004,설정!$C$8,예산_원본!$U$5:$U$3004,L1189)&gt;0,"Y","N"))</f>
        <v/>
      </c>
      <c r="Q1189" s="63">
        <f>IF($A1189="","",IF(COUNTIF(집계!$E$7:$E$506,O1189)&gt;0,"Y","N"))</f>
        <v/>
      </c>
    </row>
    <row r="1190">
      <c r="A1190" s="60" t="n">
        <v>2026</v>
      </c>
      <c r="B1190" s="60" t="n">
        <v>4</v>
      </c>
      <c r="C1190" s="60" t="inlineStr">
        <is>
          <t>1000</t>
        </is>
      </c>
      <c r="D1190" s="60" t="n">
        <v>1201</v>
      </c>
      <c r="E1190" s="60" t="inlineStr">
        <is>
          <t>재무회계</t>
        </is>
      </c>
      <c r="F1190" s="60" t="n">
        <v>62902000</v>
      </c>
      <c r="G1190" s="60" t="inlineStr">
        <is>
          <t>지급수수료-기타</t>
        </is>
      </c>
      <c r="H1190" s="61" t="n">
        <v>11691560</v>
      </c>
      <c r="J1190" s="63">
        <f>IF($A1190="","",IFERROR(INDEX(부서매핑!$C$5:$C$504,MATCH($D1190&amp;"",부서매핑!$A$5:$A$504,0)),"미매핑"))</f>
        <v/>
      </c>
      <c r="K1190" s="63">
        <f>IF($A1190="","",IFERROR(INDEX(계정매핑!$C$5:$C$504,MATCH($F1190&amp;"",계정매핑!$A$5:$A$504,0)),"미매핑"))</f>
        <v/>
      </c>
      <c r="L1190" s="4">
        <f>IF($A1190="","",VALUE($A1190&amp;""))</f>
        <v/>
      </c>
      <c r="M1190" s="4">
        <f>IF($A1190="","",VALUE($B1190&amp;""))</f>
        <v/>
      </c>
      <c r="N1190" s="64">
        <f>IF($A1190="","",$H1190*설정!$C$15)</f>
        <v/>
      </c>
      <c r="O1190" s="4">
        <f>IF($A1190="","",J1190&amp;"|"&amp;K1190)</f>
        <v/>
      </c>
      <c r="P1190" s="63">
        <f>IF($A1190="","",IF(COUNTIFS(예산_원본!$T$5:$T$3004,O1190,예산_원본!$B$5:$B$3004,설정!$C$8,예산_원본!$U$5:$U$3004,L1190)&gt;0,"Y","N"))</f>
        <v/>
      </c>
      <c r="Q1190" s="63">
        <f>IF($A1190="","",IF(COUNTIF(집계!$E$7:$E$506,O1190)&gt;0,"Y","N"))</f>
        <v/>
      </c>
    </row>
    <row r="1191">
      <c r="A1191" s="60" t="n">
        <v>2026</v>
      </c>
      <c r="B1191" s="60" t="n">
        <v>4</v>
      </c>
      <c r="C1191" s="60" t="inlineStr">
        <is>
          <t>1000</t>
        </is>
      </c>
      <c r="D1191" s="60" t="n">
        <v>1301</v>
      </c>
      <c r="E1191" s="60" t="inlineStr">
        <is>
          <t>인사</t>
        </is>
      </c>
      <c r="F1191" s="60" t="n">
        <v>62101000</v>
      </c>
      <c r="G1191" s="60" t="inlineStr">
        <is>
          <t>여비교통비-국내</t>
        </is>
      </c>
      <c r="H1191" s="61" t="n">
        <v>1526670</v>
      </c>
      <c r="J1191" s="63">
        <f>IF($A1191="","",IFERROR(INDEX(부서매핑!$C$5:$C$504,MATCH($D1191&amp;"",부서매핑!$A$5:$A$504,0)),"미매핑"))</f>
        <v/>
      </c>
      <c r="K1191" s="63">
        <f>IF($A1191="","",IFERROR(INDEX(계정매핑!$C$5:$C$504,MATCH($F1191&amp;"",계정매핑!$A$5:$A$504,0)),"미매핑"))</f>
        <v/>
      </c>
      <c r="L1191" s="4">
        <f>IF($A1191="","",VALUE($A1191&amp;""))</f>
        <v/>
      </c>
      <c r="M1191" s="4">
        <f>IF($A1191="","",VALUE($B1191&amp;""))</f>
        <v/>
      </c>
      <c r="N1191" s="64">
        <f>IF($A1191="","",$H1191*설정!$C$15)</f>
        <v/>
      </c>
      <c r="O1191" s="4">
        <f>IF($A1191="","",J1191&amp;"|"&amp;K1191)</f>
        <v/>
      </c>
      <c r="P1191" s="63">
        <f>IF($A1191="","",IF(COUNTIFS(예산_원본!$T$5:$T$3004,O1191,예산_원본!$B$5:$B$3004,설정!$C$8,예산_원본!$U$5:$U$3004,L1191)&gt;0,"Y","N"))</f>
        <v/>
      </c>
      <c r="Q1191" s="63">
        <f>IF($A1191="","",IF(COUNTIF(집계!$E$7:$E$506,O1191)&gt;0,"Y","N"))</f>
        <v/>
      </c>
    </row>
    <row r="1192">
      <c r="A1192" s="60" t="n">
        <v>2026</v>
      </c>
      <c r="B1192" s="60" t="n">
        <v>4</v>
      </c>
      <c r="C1192" s="60" t="inlineStr">
        <is>
          <t>1000</t>
        </is>
      </c>
      <c r="D1192" s="60" t="n">
        <v>1301</v>
      </c>
      <c r="E1192" s="60" t="inlineStr">
        <is>
          <t>인사</t>
        </is>
      </c>
      <c r="F1192" s="60" t="n">
        <v>62102000</v>
      </c>
      <c r="G1192" s="60" t="inlineStr">
        <is>
          <t>여비교통비-해외</t>
        </is>
      </c>
      <c r="H1192" s="61" t="n">
        <v>286290</v>
      </c>
      <c r="J1192" s="63">
        <f>IF($A1192="","",IFERROR(INDEX(부서매핑!$C$5:$C$504,MATCH($D1192&amp;"",부서매핑!$A$5:$A$504,0)),"미매핑"))</f>
        <v/>
      </c>
      <c r="K1192" s="63">
        <f>IF($A1192="","",IFERROR(INDEX(계정매핑!$C$5:$C$504,MATCH($F1192&amp;"",계정매핑!$A$5:$A$504,0)),"미매핑"))</f>
        <v/>
      </c>
      <c r="L1192" s="4">
        <f>IF($A1192="","",VALUE($A1192&amp;""))</f>
        <v/>
      </c>
      <c r="M1192" s="4">
        <f>IF($A1192="","",VALUE($B1192&amp;""))</f>
        <v/>
      </c>
      <c r="N1192" s="64">
        <f>IF($A1192="","",$H1192*설정!$C$15)</f>
        <v/>
      </c>
      <c r="O1192" s="4">
        <f>IF($A1192="","",J1192&amp;"|"&amp;K1192)</f>
        <v/>
      </c>
      <c r="P1192" s="63">
        <f>IF($A1192="","",IF(COUNTIFS(예산_원본!$T$5:$T$3004,O1192,예산_원본!$B$5:$B$3004,설정!$C$8,예산_원본!$U$5:$U$3004,L1192)&gt;0,"Y","N"))</f>
        <v/>
      </c>
      <c r="Q1192" s="63">
        <f>IF($A1192="","",IF(COUNTIF(집계!$E$7:$E$506,O1192)&gt;0,"Y","N"))</f>
        <v/>
      </c>
    </row>
    <row r="1193">
      <c r="A1193" s="60" t="n">
        <v>2026</v>
      </c>
      <c r="B1193" s="60" t="n">
        <v>4</v>
      </c>
      <c r="C1193" s="60" t="inlineStr">
        <is>
          <t>1000</t>
        </is>
      </c>
      <c r="D1193" s="60" t="n">
        <v>1301</v>
      </c>
      <c r="E1193" s="60" t="inlineStr">
        <is>
          <t>인사</t>
        </is>
      </c>
      <c r="F1193" s="60" t="n">
        <v>62201000</v>
      </c>
      <c r="G1193" s="60" t="inlineStr">
        <is>
          <t>통신비</t>
        </is>
      </c>
      <c r="H1193" s="61" t="n">
        <v>774490</v>
      </c>
      <c r="J1193" s="63">
        <f>IF($A1193="","",IFERROR(INDEX(부서매핑!$C$5:$C$504,MATCH($D1193&amp;"",부서매핑!$A$5:$A$504,0)),"미매핑"))</f>
        <v/>
      </c>
      <c r="K1193" s="63">
        <f>IF($A1193="","",IFERROR(INDEX(계정매핑!$C$5:$C$504,MATCH($F1193&amp;"",계정매핑!$A$5:$A$504,0)),"미매핑"))</f>
        <v/>
      </c>
      <c r="L1193" s="4">
        <f>IF($A1193="","",VALUE($A1193&amp;""))</f>
        <v/>
      </c>
      <c r="M1193" s="4">
        <f>IF($A1193="","",VALUE($B1193&amp;""))</f>
        <v/>
      </c>
      <c r="N1193" s="64">
        <f>IF($A1193="","",$H1193*설정!$C$15)</f>
        <v/>
      </c>
      <c r="O1193" s="4">
        <f>IF($A1193="","",J1193&amp;"|"&amp;K1193)</f>
        <v/>
      </c>
      <c r="P1193" s="63">
        <f>IF($A1193="","",IF(COUNTIFS(예산_원본!$T$5:$T$3004,O1193,예산_원본!$B$5:$B$3004,설정!$C$8,예산_원본!$U$5:$U$3004,L1193)&gt;0,"Y","N"))</f>
        <v/>
      </c>
      <c r="Q1193" s="63">
        <f>IF($A1193="","",IF(COUNTIF(집계!$E$7:$E$506,O1193)&gt;0,"Y","N"))</f>
        <v/>
      </c>
    </row>
    <row r="1194">
      <c r="A1194" s="60" t="n">
        <v>2026</v>
      </c>
      <c r="B1194" s="60" t="n">
        <v>4</v>
      </c>
      <c r="C1194" s="60" t="inlineStr">
        <is>
          <t>1000</t>
        </is>
      </c>
      <c r="D1194" s="60" t="n">
        <v>1301</v>
      </c>
      <c r="E1194" s="60" t="inlineStr">
        <is>
          <t>인사</t>
        </is>
      </c>
      <c r="F1194" s="60" t="n">
        <v>62301000</v>
      </c>
      <c r="G1194" s="60" t="inlineStr">
        <is>
          <t>소모품비</t>
        </is>
      </c>
      <c r="H1194" s="61" t="n">
        <v>764860</v>
      </c>
      <c r="J1194" s="63">
        <f>IF($A1194="","",IFERROR(INDEX(부서매핑!$C$5:$C$504,MATCH($D1194&amp;"",부서매핑!$A$5:$A$504,0)),"미매핑"))</f>
        <v/>
      </c>
      <c r="K1194" s="63">
        <f>IF($A1194="","",IFERROR(INDEX(계정매핑!$C$5:$C$504,MATCH($F1194&amp;"",계정매핑!$A$5:$A$504,0)),"미매핑"))</f>
        <v/>
      </c>
      <c r="L1194" s="4">
        <f>IF($A1194="","",VALUE($A1194&amp;""))</f>
        <v/>
      </c>
      <c r="M1194" s="4">
        <f>IF($A1194="","",VALUE($B1194&amp;""))</f>
        <v/>
      </c>
      <c r="N1194" s="64">
        <f>IF($A1194="","",$H1194*설정!$C$15)</f>
        <v/>
      </c>
      <c r="O1194" s="4">
        <f>IF($A1194="","",J1194&amp;"|"&amp;K1194)</f>
        <v/>
      </c>
      <c r="P1194" s="63">
        <f>IF($A1194="","",IF(COUNTIFS(예산_원본!$T$5:$T$3004,O1194,예산_원본!$B$5:$B$3004,설정!$C$8,예산_원본!$U$5:$U$3004,L1194)&gt;0,"Y","N"))</f>
        <v/>
      </c>
      <c r="Q1194" s="63">
        <f>IF($A1194="","",IF(COUNTIF(집계!$E$7:$E$506,O1194)&gt;0,"Y","N"))</f>
        <v/>
      </c>
    </row>
    <row r="1195">
      <c r="A1195" s="60" t="n">
        <v>2026</v>
      </c>
      <c r="B1195" s="60" t="n">
        <v>4</v>
      </c>
      <c r="C1195" s="60" t="inlineStr">
        <is>
          <t>1000</t>
        </is>
      </c>
      <c r="D1195" s="60" t="n">
        <v>1301</v>
      </c>
      <c r="E1195" s="60" t="inlineStr">
        <is>
          <t>인사</t>
        </is>
      </c>
      <c r="F1195" s="60" t="n">
        <v>62501000</v>
      </c>
      <c r="G1195" s="60" t="inlineStr">
        <is>
          <t>회의비</t>
        </is>
      </c>
      <c r="H1195" s="61" t="n">
        <v>956900</v>
      </c>
      <c r="J1195" s="63">
        <f>IF($A1195="","",IFERROR(INDEX(부서매핑!$C$5:$C$504,MATCH($D1195&amp;"",부서매핑!$A$5:$A$504,0)),"미매핑"))</f>
        <v/>
      </c>
      <c r="K1195" s="63">
        <f>IF($A1195="","",IFERROR(INDEX(계정매핑!$C$5:$C$504,MATCH($F1195&amp;"",계정매핑!$A$5:$A$504,0)),"미매핑"))</f>
        <v/>
      </c>
      <c r="L1195" s="4">
        <f>IF($A1195="","",VALUE($A1195&amp;""))</f>
        <v/>
      </c>
      <c r="M1195" s="4">
        <f>IF($A1195="","",VALUE($B1195&amp;""))</f>
        <v/>
      </c>
      <c r="N1195" s="64">
        <f>IF($A1195="","",$H1195*설정!$C$15)</f>
        <v/>
      </c>
      <c r="O1195" s="4">
        <f>IF($A1195="","",J1195&amp;"|"&amp;K1195)</f>
        <v/>
      </c>
      <c r="P1195" s="63">
        <f>IF($A1195="","",IF(COUNTIFS(예산_원본!$T$5:$T$3004,O1195,예산_원본!$B$5:$B$3004,설정!$C$8,예산_원본!$U$5:$U$3004,L1195)&gt;0,"Y","N"))</f>
        <v/>
      </c>
      <c r="Q1195" s="63">
        <f>IF($A1195="","",IF(COUNTIF(집계!$E$7:$E$506,O1195)&gt;0,"Y","N"))</f>
        <v/>
      </c>
    </row>
    <row r="1196">
      <c r="A1196" s="60" t="n">
        <v>2026</v>
      </c>
      <c r="B1196" s="60" t="n">
        <v>4</v>
      </c>
      <c r="C1196" s="60" t="inlineStr">
        <is>
          <t>1000</t>
        </is>
      </c>
      <c r="D1196" s="60" t="n">
        <v>1301</v>
      </c>
      <c r="E1196" s="60" t="inlineStr">
        <is>
          <t>인사</t>
        </is>
      </c>
      <c r="F1196" s="60" t="n">
        <v>62601000</v>
      </c>
      <c r="G1196" s="60" t="inlineStr">
        <is>
          <t>업무추진비</t>
        </is>
      </c>
      <c r="H1196" s="61" t="n">
        <v>1940740</v>
      </c>
      <c r="J1196" s="63">
        <f>IF($A1196="","",IFERROR(INDEX(부서매핑!$C$5:$C$504,MATCH($D1196&amp;"",부서매핑!$A$5:$A$504,0)),"미매핑"))</f>
        <v/>
      </c>
      <c r="K1196" s="63">
        <f>IF($A1196="","",IFERROR(INDEX(계정매핑!$C$5:$C$504,MATCH($F1196&amp;"",계정매핑!$A$5:$A$504,0)),"미매핑"))</f>
        <v/>
      </c>
      <c r="L1196" s="4">
        <f>IF($A1196="","",VALUE($A1196&amp;""))</f>
        <v/>
      </c>
      <c r="M1196" s="4">
        <f>IF($A1196="","",VALUE($B1196&amp;""))</f>
        <v/>
      </c>
      <c r="N1196" s="64">
        <f>IF($A1196="","",$H1196*설정!$C$15)</f>
        <v/>
      </c>
      <c r="O1196" s="4">
        <f>IF($A1196="","",J1196&amp;"|"&amp;K1196)</f>
        <v/>
      </c>
      <c r="P1196" s="63">
        <f>IF($A1196="","",IF(COUNTIFS(예산_원본!$T$5:$T$3004,O1196,예산_원본!$B$5:$B$3004,설정!$C$8,예산_원본!$U$5:$U$3004,L1196)&gt;0,"Y","N"))</f>
        <v/>
      </c>
      <c r="Q1196" s="63">
        <f>IF($A1196="","",IF(COUNTIF(집계!$E$7:$E$506,O1196)&gt;0,"Y","N"))</f>
        <v/>
      </c>
    </row>
    <row r="1197">
      <c r="A1197" s="60" t="n">
        <v>2026</v>
      </c>
      <c r="B1197" s="60" t="n">
        <v>4</v>
      </c>
      <c r="C1197" s="60" t="inlineStr">
        <is>
          <t>1000</t>
        </is>
      </c>
      <c r="D1197" s="60" t="n">
        <v>1301</v>
      </c>
      <c r="E1197" s="60" t="inlineStr">
        <is>
          <t>인사</t>
        </is>
      </c>
      <c r="F1197" s="60" t="n">
        <v>62701000</v>
      </c>
      <c r="G1197" s="60" t="inlineStr">
        <is>
          <t>광고선전비</t>
        </is>
      </c>
      <c r="H1197" s="61" t="n">
        <v>3200000</v>
      </c>
      <c r="J1197" s="63">
        <f>IF($A1197="","",IFERROR(INDEX(부서매핑!$C$5:$C$504,MATCH($D1197&amp;"",부서매핑!$A$5:$A$504,0)),"미매핑"))</f>
        <v/>
      </c>
      <c r="K1197" s="63">
        <f>IF($A1197="","",IFERROR(INDEX(계정매핑!$C$5:$C$504,MATCH($F1197&amp;"",계정매핑!$A$5:$A$504,0)),"미매핑"))</f>
        <v/>
      </c>
      <c r="L1197" s="4">
        <f>IF($A1197="","",VALUE($A1197&amp;""))</f>
        <v/>
      </c>
      <c r="M1197" s="4">
        <f>IF($A1197="","",VALUE($B1197&amp;""))</f>
        <v/>
      </c>
      <c r="N1197" s="64">
        <f>IF($A1197="","",$H1197*설정!$C$15)</f>
        <v/>
      </c>
      <c r="O1197" s="4">
        <f>IF($A1197="","",J1197&amp;"|"&amp;K1197)</f>
        <v/>
      </c>
      <c r="P1197" s="63">
        <f>IF($A1197="","",IF(COUNTIFS(예산_원본!$T$5:$T$3004,O1197,예산_원본!$B$5:$B$3004,설정!$C$8,예산_원본!$U$5:$U$3004,L1197)&gt;0,"Y","N"))</f>
        <v/>
      </c>
      <c r="Q1197" s="63">
        <f>IF($A1197="","",IF(COUNTIF(집계!$E$7:$E$506,O1197)&gt;0,"Y","N"))</f>
        <v/>
      </c>
    </row>
    <row r="1198">
      <c r="A1198" s="60" t="n">
        <v>2026</v>
      </c>
      <c r="B1198" s="60" t="n">
        <v>4</v>
      </c>
      <c r="C1198" s="60" t="inlineStr">
        <is>
          <t>1000</t>
        </is>
      </c>
      <c r="D1198" s="60" t="n">
        <v>1301</v>
      </c>
      <c r="E1198" s="60" t="inlineStr">
        <is>
          <t>인사</t>
        </is>
      </c>
      <c r="F1198" s="60" t="n">
        <v>62801000</v>
      </c>
      <c r="G1198" s="60" t="inlineStr">
        <is>
          <t>교육훈련비-사내</t>
        </is>
      </c>
      <c r="H1198" s="61" t="n">
        <v>9839060</v>
      </c>
      <c r="J1198" s="63">
        <f>IF($A1198="","",IFERROR(INDEX(부서매핑!$C$5:$C$504,MATCH($D1198&amp;"",부서매핑!$A$5:$A$504,0)),"미매핑"))</f>
        <v/>
      </c>
      <c r="K1198" s="63">
        <f>IF($A1198="","",IFERROR(INDEX(계정매핑!$C$5:$C$504,MATCH($F1198&amp;"",계정매핑!$A$5:$A$504,0)),"미매핑"))</f>
        <v/>
      </c>
      <c r="L1198" s="4">
        <f>IF($A1198="","",VALUE($A1198&amp;""))</f>
        <v/>
      </c>
      <c r="M1198" s="4">
        <f>IF($A1198="","",VALUE($B1198&amp;""))</f>
        <v/>
      </c>
      <c r="N1198" s="64">
        <f>IF($A1198="","",$H1198*설정!$C$15)</f>
        <v/>
      </c>
      <c r="O1198" s="4">
        <f>IF($A1198="","",J1198&amp;"|"&amp;K1198)</f>
        <v/>
      </c>
      <c r="P1198" s="63">
        <f>IF($A1198="","",IF(COUNTIFS(예산_원본!$T$5:$T$3004,O1198,예산_원본!$B$5:$B$3004,설정!$C$8,예산_원본!$U$5:$U$3004,L1198)&gt;0,"Y","N"))</f>
        <v/>
      </c>
      <c r="Q1198" s="63">
        <f>IF($A1198="","",IF(COUNTIF(집계!$E$7:$E$506,O1198)&gt;0,"Y","N"))</f>
        <v/>
      </c>
    </row>
    <row r="1199">
      <c r="A1199" s="60" t="n">
        <v>2026</v>
      </c>
      <c r="B1199" s="60" t="n">
        <v>4</v>
      </c>
      <c r="C1199" s="60" t="inlineStr">
        <is>
          <t>1000</t>
        </is>
      </c>
      <c r="D1199" s="60" t="n">
        <v>1301</v>
      </c>
      <c r="E1199" s="60" t="inlineStr">
        <is>
          <t>인사</t>
        </is>
      </c>
      <c r="F1199" s="60" t="n">
        <v>62802000</v>
      </c>
      <c r="G1199" s="60" t="inlineStr">
        <is>
          <t>교육훈련비-외부위탁</t>
        </is>
      </c>
      <c r="H1199" s="61" t="n">
        <v>14221470</v>
      </c>
      <c r="J1199" s="63">
        <f>IF($A1199="","",IFERROR(INDEX(부서매핑!$C$5:$C$504,MATCH($D1199&amp;"",부서매핑!$A$5:$A$504,0)),"미매핑"))</f>
        <v/>
      </c>
      <c r="K1199" s="63">
        <f>IF($A1199="","",IFERROR(INDEX(계정매핑!$C$5:$C$504,MATCH($F1199&amp;"",계정매핑!$A$5:$A$504,0)),"미매핑"))</f>
        <v/>
      </c>
      <c r="L1199" s="4">
        <f>IF($A1199="","",VALUE($A1199&amp;""))</f>
        <v/>
      </c>
      <c r="M1199" s="4">
        <f>IF($A1199="","",VALUE($B1199&amp;""))</f>
        <v/>
      </c>
      <c r="N1199" s="64">
        <f>IF($A1199="","",$H1199*설정!$C$15)</f>
        <v/>
      </c>
      <c r="O1199" s="4">
        <f>IF($A1199="","",J1199&amp;"|"&amp;K1199)</f>
        <v/>
      </c>
      <c r="P1199" s="63">
        <f>IF($A1199="","",IF(COUNTIFS(예산_원본!$T$5:$T$3004,O1199,예산_원본!$B$5:$B$3004,설정!$C$8,예산_원본!$U$5:$U$3004,L1199)&gt;0,"Y","N"))</f>
        <v/>
      </c>
      <c r="Q1199" s="63">
        <f>IF($A1199="","",IF(COUNTIF(집계!$E$7:$E$506,O1199)&gt;0,"Y","N"))</f>
        <v/>
      </c>
    </row>
    <row r="1200">
      <c r="A1200" s="60" t="n">
        <v>2026</v>
      </c>
      <c r="B1200" s="60" t="n">
        <v>4</v>
      </c>
      <c r="C1200" s="60" t="inlineStr">
        <is>
          <t>1000</t>
        </is>
      </c>
      <c r="D1200" s="60" t="n">
        <v>1401</v>
      </c>
      <c r="E1200" s="60" t="inlineStr">
        <is>
          <t>상품개발</t>
        </is>
      </c>
      <c r="F1200" s="60" t="n">
        <v>62101000</v>
      </c>
      <c r="G1200" s="60" t="inlineStr">
        <is>
          <t>여비교통비-국내</t>
        </is>
      </c>
      <c r="H1200" s="61" t="n">
        <v>2067760</v>
      </c>
      <c r="J1200" s="63">
        <f>IF($A1200="","",IFERROR(INDEX(부서매핑!$C$5:$C$504,MATCH($D1200&amp;"",부서매핑!$A$5:$A$504,0)),"미매핑"))</f>
        <v/>
      </c>
      <c r="K1200" s="63">
        <f>IF($A1200="","",IFERROR(INDEX(계정매핑!$C$5:$C$504,MATCH($F1200&amp;"",계정매핑!$A$5:$A$504,0)),"미매핑"))</f>
        <v/>
      </c>
      <c r="L1200" s="4">
        <f>IF($A1200="","",VALUE($A1200&amp;""))</f>
        <v/>
      </c>
      <c r="M1200" s="4">
        <f>IF($A1200="","",VALUE($B1200&amp;""))</f>
        <v/>
      </c>
      <c r="N1200" s="64">
        <f>IF($A1200="","",$H1200*설정!$C$15)</f>
        <v/>
      </c>
      <c r="O1200" s="4">
        <f>IF($A1200="","",J1200&amp;"|"&amp;K1200)</f>
        <v/>
      </c>
      <c r="P1200" s="63">
        <f>IF($A1200="","",IF(COUNTIFS(예산_원본!$T$5:$T$3004,O1200,예산_원본!$B$5:$B$3004,설정!$C$8,예산_원본!$U$5:$U$3004,L1200)&gt;0,"Y","N"))</f>
        <v/>
      </c>
      <c r="Q1200" s="63">
        <f>IF($A1200="","",IF(COUNTIF(집계!$E$7:$E$506,O1200)&gt;0,"Y","N"))</f>
        <v/>
      </c>
    </row>
    <row r="1201">
      <c r="A1201" s="60" t="n">
        <v>2026</v>
      </c>
      <c r="B1201" s="60" t="n">
        <v>4</v>
      </c>
      <c r="C1201" s="60" t="inlineStr">
        <is>
          <t>1000</t>
        </is>
      </c>
      <c r="D1201" s="60" t="n">
        <v>1401</v>
      </c>
      <c r="E1201" s="60" t="inlineStr">
        <is>
          <t>상품개발</t>
        </is>
      </c>
      <c r="F1201" s="60" t="n">
        <v>62102000</v>
      </c>
      <c r="G1201" s="60" t="inlineStr">
        <is>
          <t>여비교통비-해외</t>
        </is>
      </c>
      <c r="H1201" s="61" t="n">
        <v>407290</v>
      </c>
      <c r="J1201" s="63">
        <f>IF($A1201="","",IFERROR(INDEX(부서매핑!$C$5:$C$504,MATCH($D1201&amp;"",부서매핑!$A$5:$A$504,0)),"미매핑"))</f>
        <v/>
      </c>
      <c r="K1201" s="63">
        <f>IF($A1201="","",IFERROR(INDEX(계정매핑!$C$5:$C$504,MATCH($F1201&amp;"",계정매핑!$A$5:$A$504,0)),"미매핑"))</f>
        <v/>
      </c>
      <c r="L1201" s="4">
        <f>IF($A1201="","",VALUE($A1201&amp;""))</f>
        <v/>
      </c>
      <c r="M1201" s="4">
        <f>IF($A1201="","",VALUE($B1201&amp;""))</f>
        <v/>
      </c>
      <c r="N1201" s="64">
        <f>IF($A1201="","",$H1201*설정!$C$15)</f>
        <v/>
      </c>
      <c r="O1201" s="4">
        <f>IF($A1201="","",J1201&amp;"|"&amp;K1201)</f>
        <v/>
      </c>
      <c r="P1201" s="63">
        <f>IF($A1201="","",IF(COUNTIFS(예산_원본!$T$5:$T$3004,O1201,예산_원본!$B$5:$B$3004,설정!$C$8,예산_원본!$U$5:$U$3004,L1201)&gt;0,"Y","N"))</f>
        <v/>
      </c>
      <c r="Q1201" s="63">
        <f>IF($A1201="","",IF(COUNTIF(집계!$E$7:$E$506,O1201)&gt;0,"Y","N"))</f>
        <v/>
      </c>
    </row>
    <row r="1202">
      <c r="A1202" s="60" t="n">
        <v>2026</v>
      </c>
      <c r="B1202" s="60" t="n">
        <v>4</v>
      </c>
      <c r="C1202" s="60" t="inlineStr">
        <is>
          <t>1000</t>
        </is>
      </c>
      <c r="D1202" s="60" t="n">
        <v>1401</v>
      </c>
      <c r="E1202" s="60" t="inlineStr">
        <is>
          <t>상품개발</t>
        </is>
      </c>
      <c r="F1202" s="60" t="n">
        <v>62201000</v>
      </c>
      <c r="G1202" s="60" t="inlineStr">
        <is>
          <t>통신비</t>
        </is>
      </c>
      <c r="H1202" s="61" t="n">
        <v>566570</v>
      </c>
      <c r="J1202" s="63">
        <f>IF($A1202="","",IFERROR(INDEX(부서매핑!$C$5:$C$504,MATCH($D1202&amp;"",부서매핑!$A$5:$A$504,0)),"미매핑"))</f>
        <v/>
      </c>
      <c r="K1202" s="63">
        <f>IF($A1202="","",IFERROR(INDEX(계정매핑!$C$5:$C$504,MATCH($F1202&amp;"",계정매핑!$A$5:$A$504,0)),"미매핑"))</f>
        <v/>
      </c>
      <c r="L1202" s="4">
        <f>IF($A1202="","",VALUE($A1202&amp;""))</f>
        <v/>
      </c>
      <c r="M1202" s="4">
        <f>IF($A1202="","",VALUE($B1202&amp;""))</f>
        <v/>
      </c>
      <c r="N1202" s="64">
        <f>IF($A1202="","",$H1202*설정!$C$15)</f>
        <v/>
      </c>
      <c r="O1202" s="4">
        <f>IF($A1202="","",J1202&amp;"|"&amp;K1202)</f>
        <v/>
      </c>
      <c r="P1202" s="63">
        <f>IF($A1202="","",IF(COUNTIFS(예산_원본!$T$5:$T$3004,O1202,예산_원본!$B$5:$B$3004,설정!$C$8,예산_원본!$U$5:$U$3004,L1202)&gt;0,"Y","N"))</f>
        <v/>
      </c>
      <c r="Q1202" s="63">
        <f>IF($A1202="","",IF(COUNTIF(집계!$E$7:$E$506,O1202)&gt;0,"Y","N"))</f>
        <v/>
      </c>
    </row>
    <row r="1203">
      <c r="A1203" s="60" t="n">
        <v>2026</v>
      </c>
      <c r="B1203" s="60" t="n">
        <v>4</v>
      </c>
      <c r="C1203" s="60" t="inlineStr">
        <is>
          <t>1000</t>
        </is>
      </c>
      <c r="D1203" s="60" t="n">
        <v>1401</v>
      </c>
      <c r="E1203" s="60" t="inlineStr">
        <is>
          <t>상품개발</t>
        </is>
      </c>
      <c r="F1203" s="60" t="n">
        <v>62301000</v>
      </c>
      <c r="G1203" s="60" t="inlineStr">
        <is>
          <t>소모품비</t>
        </is>
      </c>
      <c r="H1203" s="61" t="n">
        <v>380780</v>
      </c>
      <c r="J1203" s="63">
        <f>IF($A1203="","",IFERROR(INDEX(부서매핑!$C$5:$C$504,MATCH($D1203&amp;"",부서매핑!$A$5:$A$504,0)),"미매핑"))</f>
        <v/>
      </c>
      <c r="K1203" s="63">
        <f>IF($A1203="","",IFERROR(INDEX(계정매핑!$C$5:$C$504,MATCH($F1203&amp;"",계정매핑!$A$5:$A$504,0)),"미매핑"))</f>
        <v/>
      </c>
      <c r="L1203" s="4">
        <f>IF($A1203="","",VALUE($A1203&amp;""))</f>
        <v/>
      </c>
      <c r="M1203" s="4">
        <f>IF($A1203="","",VALUE($B1203&amp;""))</f>
        <v/>
      </c>
      <c r="N1203" s="64">
        <f>IF($A1203="","",$H1203*설정!$C$15)</f>
        <v/>
      </c>
      <c r="O1203" s="4">
        <f>IF($A1203="","",J1203&amp;"|"&amp;K1203)</f>
        <v/>
      </c>
      <c r="P1203" s="63">
        <f>IF($A1203="","",IF(COUNTIFS(예산_원본!$T$5:$T$3004,O1203,예산_원본!$B$5:$B$3004,설정!$C$8,예산_원본!$U$5:$U$3004,L1203)&gt;0,"Y","N"))</f>
        <v/>
      </c>
      <c r="Q1203" s="63">
        <f>IF($A1203="","",IF(COUNTIF(집계!$E$7:$E$506,O1203)&gt;0,"Y","N"))</f>
        <v/>
      </c>
    </row>
    <row r="1204">
      <c r="A1204" s="60" t="n">
        <v>2026</v>
      </c>
      <c r="B1204" s="60" t="n">
        <v>4</v>
      </c>
      <c r="C1204" s="60" t="inlineStr">
        <is>
          <t>1000</t>
        </is>
      </c>
      <c r="D1204" s="60" t="n">
        <v>1401</v>
      </c>
      <c r="E1204" s="60" t="inlineStr">
        <is>
          <t>상품개발</t>
        </is>
      </c>
      <c r="F1204" s="60" t="n">
        <v>62401000</v>
      </c>
      <c r="G1204" s="60" t="inlineStr">
        <is>
          <t>도서인쇄비</t>
        </is>
      </c>
      <c r="H1204" s="61" t="n">
        <v>915630</v>
      </c>
      <c r="J1204" s="63">
        <f>IF($A1204="","",IFERROR(INDEX(부서매핑!$C$5:$C$504,MATCH($D1204&amp;"",부서매핑!$A$5:$A$504,0)),"미매핑"))</f>
        <v/>
      </c>
      <c r="K1204" s="63">
        <f>IF($A1204="","",IFERROR(INDEX(계정매핑!$C$5:$C$504,MATCH($F1204&amp;"",계정매핑!$A$5:$A$504,0)),"미매핑"))</f>
        <v/>
      </c>
      <c r="L1204" s="4">
        <f>IF($A1204="","",VALUE($A1204&amp;""))</f>
        <v/>
      </c>
      <c r="M1204" s="4">
        <f>IF($A1204="","",VALUE($B1204&amp;""))</f>
        <v/>
      </c>
      <c r="N1204" s="64">
        <f>IF($A1204="","",$H1204*설정!$C$15)</f>
        <v/>
      </c>
      <c r="O1204" s="4">
        <f>IF($A1204="","",J1204&amp;"|"&amp;K1204)</f>
        <v/>
      </c>
      <c r="P1204" s="63">
        <f>IF($A1204="","",IF(COUNTIFS(예산_원본!$T$5:$T$3004,O1204,예산_원본!$B$5:$B$3004,설정!$C$8,예산_원본!$U$5:$U$3004,L1204)&gt;0,"Y","N"))</f>
        <v/>
      </c>
      <c r="Q1204" s="63">
        <f>IF($A1204="","",IF(COUNTIF(집계!$E$7:$E$506,O1204)&gt;0,"Y","N"))</f>
        <v/>
      </c>
    </row>
    <row r="1205">
      <c r="A1205" s="60" t="n">
        <v>2026</v>
      </c>
      <c r="B1205" s="60" t="n">
        <v>4</v>
      </c>
      <c r="C1205" s="60" t="inlineStr">
        <is>
          <t>1000</t>
        </is>
      </c>
      <c r="D1205" s="60" t="n">
        <v>1401</v>
      </c>
      <c r="E1205" s="60" t="inlineStr">
        <is>
          <t>상품개발</t>
        </is>
      </c>
      <c r="F1205" s="60" t="n">
        <v>62501000</v>
      </c>
      <c r="G1205" s="60" t="inlineStr">
        <is>
          <t>회의비</t>
        </is>
      </c>
      <c r="H1205" s="61" t="n">
        <v>621660</v>
      </c>
      <c r="J1205" s="63">
        <f>IF($A1205="","",IFERROR(INDEX(부서매핑!$C$5:$C$504,MATCH($D1205&amp;"",부서매핑!$A$5:$A$504,0)),"미매핑"))</f>
        <v/>
      </c>
      <c r="K1205" s="63">
        <f>IF($A1205="","",IFERROR(INDEX(계정매핑!$C$5:$C$504,MATCH($F1205&amp;"",계정매핑!$A$5:$A$504,0)),"미매핑"))</f>
        <v/>
      </c>
      <c r="L1205" s="4">
        <f>IF($A1205="","",VALUE($A1205&amp;""))</f>
        <v/>
      </c>
      <c r="M1205" s="4">
        <f>IF($A1205="","",VALUE($B1205&amp;""))</f>
        <v/>
      </c>
      <c r="N1205" s="64">
        <f>IF($A1205="","",$H1205*설정!$C$15)</f>
        <v/>
      </c>
      <c r="O1205" s="4">
        <f>IF($A1205="","",J1205&amp;"|"&amp;K1205)</f>
        <v/>
      </c>
      <c r="P1205" s="63">
        <f>IF($A1205="","",IF(COUNTIFS(예산_원본!$T$5:$T$3004,O1205,예산_원본!$B$5:$B$3004,설정!$C$8,예산_원본!$U$5:$U$3004,L1205)&gt;0,"Y","N"))</f>
        <v/>
      </c>
      <c r="Q1205" s="63">
        <f>IF($A1205="","",IF(COUNTIF(집계!$E$7:$E$506,O1205)&gt;0,"Y","N"))</f>
        <v/>
      </c>
    </row>
    <row r="1206">
      <c r="A1206" s="60" t="n">
        <v>2026</v>
      </c>
      <c r="B1206" s="60" t="n">
        <v>4</v>
      </c>
      <c r="C1206" s="60" t="inlineStr">
        <is>
          <t>1000</t>
        </is>
      </c>
      <c r="D1206" s="60" t="n">
        <v>1401</v>
      </c>
      <c r="E1206" s="60" t="inlineStr">
        <is>
          <t>상품개발</t>
        </is>
      </c>
      <c r="F1206" s="60" t="n">
        <v>62901000</v>
      </c>
      <c r="G1206" s="60" t="inlineStr">
        <is>
          <t>지급수수료-컨설팅</t>
        </is>
      </c>
      <c r="H1206" s="61" t="n">
        <v>10048610</v>
      </c>
      <c r="J1206" s="63">
        <f>IF($A1206="","",IFERROR(INDEX(부서매핑!$C$5:$C$504,MATCH($D1206&amp;"",부서매핑!$A$5:$A$504,0)),"미매핑"))</f>
        <v/>
      </c>
      <c r="K1206" s="63">
        <f>IF($A1206="","",IFERROR(INDEX(계정매핑!$C$5:$C$504,MATCH($F1206&amp;"",계정매핑!$A$5:$A$504,0)),"미매핑"))</f>
        <v/>
      </c>
      <c r="L1206" s="4">
        <f>IF($A1206="","",VALUE($A1206&amp;""))</f>
        <v/>
      </c>
      <c r="M1206" s="4">
        <f>IF($A1206="","",VALUE($B1206&amp;""))</f>
        <v/>
      </c>
      <c r="N1206" s="64">
        <f>IF($A1206="","",$H1206*설정!$C$15)</f>
        <v/>
      </c>
      <c r="O1206" s="4">
        <f>IF($A1206="","",J1206&amp;"|"&amp;K1206)</f>
        <v/>
      </c>
      <c r="P1206" s="63">
        <f>IF($A1206="","",IF(COUNTIFS(예산_원본!$T$5:$T$3004,O1206,예산_원본!$B$5:$B$3004,설정!$C$8,예산_원본!$U$5:$U$3004,L1206)&gt;0,"Y","N"))</f>
        <v/>
      </c>
      <c r="Q1206" s="63">
        <f>IF($A1206="","",IF(COUNTIF(집계!$E$7:$E$506,O1206)&gt;0,"Y","N"))</f>
        <v/>
      </c>
    </row>
    <row r="1207">
      <c r="A1207" s="60" t="n">
        <v>2026</v>
      </c>
      <c r="B1207" s="60" t="n">
        <v>4</v>
      </c>
      <c r="C1207" s="60" t="inlineStr">
        <is>
          <t>1000</t>
        </is>
      </c>
      <c r="D1207" s="60" t="n">
        <v>1401</v>
      </c>
      <c r="E1207" s="60" t="inlineStr">
        <is>
          <t>상품개발</t>
        </is>
      </c>
      <c r="F1207" s="60" t="n">
        <v>62902000</v>
      </c>
      <c r="G1207" s="60" t="inlineStr">
        <is>
          <t>지급수수료-기타</t>
        </is>
      </c>
      <c r="H1207" s="61" t="n">
        <v>4086050</v>
      </c>
      <c r="J1207" s="63">
        <f>IF($A1207="","",IFERROR(INDEX(부서매핑!$C$5:$C$504,MATCH($D1207&amp;"",부서매핑!$A$5:$A$504,0)),"미매핑"))</f>
        <v/>
      </c>
      <c r="K1207" s="63">
        <f>IF($A1207="","",IFERROR(INDEX(계정매핑!$C$5:$C$504,MATCH($F1207&amp;"",계정매핑!$A$5:$A$504,0)),"미매핑"))</f>
        <v/>
      </c>
      <c r="L1207" s="4">
        <f>IF($A1207="","",VALUE($A1207&amp;""))</f>
        <v/>
      </c>
      <c r="M1207" s="4">
        <f>IF($A1207="","",VALUE($B1207&amp;""))</f>
        <v/>
      </c>
      <c r="N1207" s="64">
        <f>IF($A1207="","",$H1207*설정!$C$15)</f>
        <v/>
      </c>
      <c r="O1207" s="4">
        <f>IF($A1207="","",J1207&amp;"|"&amp;K1207)</f>
        <v/>
      </c>
      <c r="P1207" s="63">
        <f>IF($A1207="","",IF(COUNTIFS(예산_원본!$T$5:$T$3004,O1207,예산_원본!$B$5:$B$3004,설정!$C$8,예산_원본!$U$5:$U$3004,L1207)&gt;0,"Y","N"))</f>
        <v/>
      </c>
      <c r="Q1207" s="63">
        <f>IF($A1207="","",IF(COUNTIF(집계!$E$7:$E$506,O1207)&gt;0,"Y","N"))</f>
        <v/>
      </c>
    </row>
    <row r="1208">
      <c r="A1208" s="60" t="n">
        <v>2026</v>
      </c>
      <c r="B1208" s="60" t="n">
        <v>4</v>
      </c>
      <c r="C1208" s="60" t="inlineStr">
        <is>
          <t>1000</t>
        </is>
      </c>
      <c r="D1208" s="60" t="n">
        <v>1501</v>
      </c>
      <c r="E1208" s="60" t="inlineStr">
        <is>
          <t>마케팅전략</t>
        </is>
      </c>
      <c r="F1208" s="60" t="n">
        <v>62101000</v>
      </c>
      <c r="G1208" s="60" t="inlineStr">
        <is>
          <t>여비교통비-국내</t>
        </is>
      </c>
      <c r="H1208" s="61" t="n">
        <v>1553550</v>
      </c>
      <c r="J1208" s="63">
        <f>IF($A1208="","",IFERROR(INDEX(부서매핑!$C$5:$C$504,MATCH($D1208&amp;"",부서매핑!$A$5:$A$504,0)),"미매핑"))</f>
        <v/>
      </c>
      <c r="K1208" s="63">
        <f>IF($A1208="","",IFERROR(INDEX(계정매핑!$C$5:$C$504,MATCH($F1208&amp;"",계정매핑!$A$5:$A$504,0)),"미매핑"))</f>
        <v/>
      </c>
      <c r="L1208" s="4">
        <f>IF($A1208="","",VALUE($A1208&amp;""))</f>
        <v/>
      </c>
      <c r="M1208" s="4">
        <f>IF($A1208="","",VALUE($B1208&amp;""))</f>
        <v/>
      </c>
      <c r="N1208" s="64">
        <f>IF($A1208="","",$H1208*설정!$C$15)</f>
        <v/>
      </c>
      <c r="O1208" s="4">
        <f>IF($A1208="","",J1208&amp;"|"&amp;K1208)</f>
        <v/>
      </c>
      <c r="P1208" s="63">
        <f>IF($A1208="","",IF(COUNTIFS(예산_원본!$T$5:$T$3004,O1208,예산_원본!$B$5:$B$3004,설정!$C$8,예산_원본!$U$5:$U$3004,L1208)&gt;0,"Y","N"))</f>
        <v/>
      </c>
      <c r="Q1208" s="63">
        <f>IF($A1208="","",IF(COUNTIF(집계!$E$7:$E$506,O1208)&gt;0,"Y","N"))</f>
        <v/>
      </c>
    </row>
    <row r="1209">
      <c r="A1209" s="60" t="n">
        <v>2026</v>
      </c>
      <c r="B1209" s="60" t="n">
        <v>4</v>
      </c>
      <c r="C1209" s="60" t="inlineStr">
        <is>
          <t>1000</t>
        </is>
      </c>
      <c r="D1209" s="60" t="n">
        <v>1501</v>
      </c>
      <c r="E1209" s="60" t="inlineStr">
        <is>
          <t>마케팅전략</t>
        </is>
      </c>
      <c r="F1209" s="60" t="n">
        <v>62102000</v>
      </c>
      <c r="G1209" s="60" t="inlineStr">
        <is>
          <t>여비교통비-해외</t>
        </is>
      </c>
      <c r="H1209" s="61" t="n">
        <v>305470</v>
      </c>
      <c r="J1209" s="63">
        <f>IF($A1209="","",IFERROR(INDEX(부서매핑!$C$5:$C$504,MATCH($D1209&amp;"",부서매핑!$A$5:$A$504,0)),"미매핑"))</f>
        <v/>
      </c>
      <c r="K1209" s="63">
        <f>IF($A1209="","",IFERROR(INDEX(계정매핑!$C$5:$C$504,MATCH($F1209&amp;"",계정매핑!$A$5:$A$504,0)),"미매핑"))</f>
        <v/>
      </c>
      <c r="L1209" s="4">
        <f>IF($A1209="","",VALUE($A1209&amp;""))</f>
        <v/>
      </c>
      <c r="M1209" s="4">
        <f>IF($A1209="","",VALUE($B1209&amp;""))</f>
        <v/>
      </c>
      <c r="N1209" s="64">
        <f>IF($A1209="","",$H1209*설정!$C$15)</f>
        <v/>
      </c>
      <c r="O1209" s="4">
        <f>IF($A1209="","",J1209&amp;"|"&amp;K1209)</f>
        <v/>
      </c>
      <c r="P1209" s="63">
        <f>IF($A1209="","",IF(COUNTIFS(예산_원본!$T$5:$T$3004,O1209,예산_원본!$B$5:$B$3004,설정!$C$8,예산_원본!$U$5:$U$3004,L1209)&gt;0,"Y","N"))</f>
        <v/>
      </c>
      <c r="Q1209" s="63">
        <f>IF($A1209="","",IF(COUNTIF(집계!$E$7:$E$506,O1209)&gt;0,"Y","N"))</f>
        <v/>
      </c>
    </row>
    <row r="1210">
      <c r="A1210" s="60" t="n">
        <v>2026</v>
      </c>
      <c r="B1210" s="60" t="n">
        <v>4</v>
      </c>
      <c r="C1210" s="60" t="inlineStr">
        <is>
          <t>1000</t>
        </is>
      </c>
      <c r="D1210" s="60" t="n">
        <v>1501</v>
      </c>
      <c r="E1210" s="60" t="inlineStr">
        <is>
          <t>마케팅전략</t>
        </is>
      </c>
      <c r="F1210" s="60" t="n">
        <v>62201000</v>
      </c>
      <c r="G1210" s="60" t="inlineStr">
        <is>
          <t>통신비</t>
        </is>
      </c>
      <c r="H1210" s="61" t="n">
        <v>619680</v>
      </c>
      <c r="J1210" s="63">
        <f>IF($A1210="","",IFERROR(INDEX(부서매핑!$C$5:$C$504,MATCH($D1210&amp;"",부서매핑!$A$5:$A$504,0)),"미매핑"))</f>
        <v/>
      </c>
      <c r="K1210" s="63">
        <f>IF($A1210="","",IFERROR(INDEX(계정매핑!$C$5:$C$504,MATCH($F1210&amp;"",계정매핑!$A$5:$A$504,0)),"미매핑"))</f>
        <v/>
      </c>
      <c r="L1210" s="4">
        <f>IF($A1210="","",VALUE($A1210&amp;""))</f>
        <v/>
      </c>
      <c r="M1210" s="4">
        <f>IF($A1210="","",VALUE($B1210&amp;""))</f>
        <v/>
      </c>
      <c r="N1210" s="64">
        <f>IF($A1210="","",$H1210*설정!$C$15)</f>
        <v/>
      </c>
      <c r="O1210" s="4">
        <f>IF($A1210="","",J1210&amp;"|"&amp;K1210)</f>
        <v/>
      </c>
      <c r="P1210" s="63">
        <f>IF($A1210="","",IF(COUNTIFS(예산_원본!$T$5:$T$3004,O1210,예산_원본!$B$5:$B$3004,설정!$C$8,예산_원본!$U$5:$U$3004,L1210)&gt;0,"Y","N"))</f>
        <v/>
      </c>
      <c r="Q1210" s="63">
        <f>IF($A1210="","",IF(COUNTIF(집계!$E$7:$E$506,O1210)&gt;0,"Y","N"))</f>
        <v/>
      </c>
    </row>
    <row r="1211">
      <c r="A1211" s="60" t="n">
        <v>2026</v>
      </c>
      <c r="B1211" s="60" t="n">
        <v>4</v>
      </c>
      <c r="C1211" s="60" t="inlineStr">
        <is>
          <t>1000</t>
        </is>
      </c>
      <c r="D1211" s="60" t="n">
        <v>1501</v>
      </c>
      <c r="E1211" s="60" t="inlineStr">
        <is>
          <t>마케팅전략</t>
        </is>
      </c>
      <c r="F1211" s="60" t="n">
        <v>62301000</v>
      </c>
      <c r="G1211" s="60" t="inlineStr">
        <is>
          <t>소모품비</t>
        </is>
      </c>
      <c r="H1211" s="61" t="n">
        <v>463790</v>
      </c>
      <c r="J1211" s="63">
        <f>IF($A1211="","",IFERROR(INDEX(부서매핑!$C$5:$C$504,MATCH($D1211&amp;"",부서매핑!$A$5:$A$504,0)),"미매핑"))</f>
        <v/>
      </c>
      <c r="K1211" s="63">
        <f>IF($A1211="","",IFERROR(INDEX(계정매핑!$C$5:$C$504,MATCH($F1211&amp;"",계정매핑!$A$5:$A$504,0)),"미매핑"))</f>
        <v/>
      </c>
      <c r="L1211" s="4">
        <f>IF($A1211="","",VALUE($A1211&amp;""))</f>
        <v/>
      </c>
      <c r="M1211" s="4">
        <f>IF($A1211="","",VALUE($B1211&amp;""))</f>
        <v/>
      </c>
      <c r="N1211" s="64">
        <f>IF($A1211="","",$H1211*설정!$C$15)</f>
        <v/>
      </c>
      <c r="O1211" s="4">
        <f>IF($A1211="","",J1211&amp;"|"&amp;K1211)</f>
        <v/>
      </c>
      <c r="P1211" s="63">
        <f>IF($A1211="","",IF(COUNTIFS(예산_원본!$T$5:$T$3004,O1211,예산_원본!$B$5:$B$3004,설정!$C$8,예산_원본!$U$5:$U$3004,L1211)&gt;0,"Y","N"))</f>
        <v/>
      </c>
      <c r="Q1211" s="63">
        <f>IF($A1211="","",IF(COUNTIF(집계!$E$7:$E$506,O1211)&gt;0,"Y","N"))</f>
        <v/>
      </c>
    </row>
    <row r="1212">
      <c r="A1212" s="60" t="n">
        <v>2026</v>
      </c>
      <c r="B1212" s="60" t="n">
        <v>4</v>
      </c>
      <c r="C1212" s="60" t="inlineStr">
        <is>
          <t>1000</t>
        </is>
      </c>
      <c r="D1212" s="60" t="n">
        <v>1501</v>
      </c>
      <c r="E1212" s="60" t="inlineStr">
        <is>
          <t>마케팅전략</t>
        </is>
      </c>
      <c r="F1212" s="60" t="n">
        <v>62401000</v>
      </c>
      <c r="G1212" s="60" t="inlineStr">
        <is>
          <t>도서인쇄비</t>
        </is>
      </c>
      <c r="H1212" s="61" t="n">
        <v>5115360</v>
      </c>
      <c r="J1212" s="63">
        <f>IF($A1212="","",IFERROR(INDEX(부서매핑!$C$5:$C$504,MATCH($D1212&amp;"",부서매핑!$A$5:$A$504,0)),"미매핑"))</f>
        <v/>
      </c>
      <c r="K1212" s="63">
        <f>IF($A1212="","",IFERROR(INDEX(계정매핑!$C$5:$C$504,MATCH($F1212&amp;"",계정매핑!$A$5:$A$504,0)),"미매핑"))</f>
        <v/>
      </c>
      <c r="L1212" s="4">
        <f>IF($A1212="","",VALUE($A1212&amp;""))</f>
        <v/>
      </c>
      <c r="M1212" s="4">
        <f>IF($A1212="","",VALUE($B1212&amp;""))</f>
        <v/>
      </c>
      <c r="N1212" s="64">
        <f>IF($A1212="","",$H1212*설정!$C$15)</f>
        <v/>
      </c>
      <c r="O1212" s="4">
        <f>IF($A1212="","",J1212&amp;"|"&amp;K1212)</f>
        <v/>
      </c>
      <c r="P1212" s="63">
        <f>IF($A1212="","",IF(COUNTIFS(예산_원본!$T$5:$T$3004,O1212,예산_원본!$B$5:$B$3004,설정!$C$8,예산_원본!$U$5:$U$3004,L1212)&gt;0,"Y","N"))</f>
        <v/>
      </c>
      <c r="Q1212" s="63">
        <f>IF($A1212="","",IF(COUNTIF(집계!$E$7:$E$506,O1212)&gt;0,"Y","N"))</f>
        <v/>
      </c>
    </row>
    <row r="1213">
      <c r="A1213" s="60" t="n">
        <v>2026</v>
      </c>
      <c r="B1213" s="60" t="n">
        <v>4</v>
      </c>
      <c r="C1213" s="60" t="inlineStr">
        <is>
          <t>1000</t>
        </is>
      </c>
      <c r="D1213" s="60" t="n">
        <v>1501</v>
      </c>
      <c r="E1213" s="60" t="inlineStr">
        <is>
          <t>마케팅전략</t>
        </is>
      </c>
      <c r="F1213" s="60" t="n">
        <v>62501000</v>
      </c>
      <c r="G1213" s="60" t="inlineStr">
        <is>
          <t>회의비</t>
        </is>
      </c>
      <c r="H1213" s="61" t="n">
        <v>667130</v>
      </c>
      <c r="J1213" s="63">
        <f>IF($A1213="","",IFERROR(INDEX(부서매핑!$C$5:$C$504,MATCH($D1213&amp;"",부서매핑!$A$5:$A$504,0)),"미매핑"))</f>
        <v/>
      </c>
      <c r="K1213" s="63">
        <f>IF($A1213="","",IFERROR(INDEX(계정매핑!$C$5:$C$504,MATCH($F1213&amp;"",계정매핑!$A$5:$A$504,0)),"미매핑"))</f>
        <v/>
      </c>
      <c r="L1213" s="4">
        <f>IF($A1213="","",VALUE($A1213&amp;""))</f>
        <v/>
      </c>
      <c r="M1213" s="4">
        <f>IF($A1213="","",VALUE($B1213&amp;""))</f>
        <v/>
      </c>
      <c r="N1213" s="64">
        <f>IF($A1213="","",$H1213*설정!$C$15)</f>
        <v/>
      </c>
      <c r="O1213" s="4">
        <f>IF($A1213="","",J1213&amp;"|"&amp;K1213)</f>
        <v/>
      </c>
      <c r="P1213" s="63">
        <f>IF($A1213="","",IF(COUNTIFS(예산_원본!$T$5:$T$3004,O1213,예산_원본!$B$5:$B$3004,설정!$C$8,예산_원본!$U$5:$U$3004,L1213)&gt;0,"Y","N"))</f>
        <v/>
      </c>
      <c r="Q1213" s="63">
        <f>IF($A1213="","",IF(COUNTIF(집계!$E$7:$E$506,O1213)&gt;0,"Y","N"))</f>
        <v/>
      </c>
    </row>
    <row r="1214">
      <c r="A1214" s="60" t="n">
        <v>2026</v>
      </c>
      <c r="B1214" s="60" t="n">
        <v>4</v>
      </c>
      <c r="C1214" s="60" t="inlineStr">
        <is>
          <t>1000</t>
        </is>
      </c>
      <c r="D1214" s="60" t="n">
        <v>1501</v>
      </c>
      <c r="E1214" s="60" t="inlineStr">
        <is>
          <t>마케팅전략</t>
        </is>
      </c>
      <c r="F1214" s="60" t="n">
        <v>62601000</v>
      </c>
      <c r="G1214" s="60" t="inlineStr">
        <is>
          <t>업무추진비</t>
        </is>
      </c>
      <c r="H1214" s="61" t="n">
        <v>1967610</v>
      </c>
      <c r="J1214" s="63">
        <f>IF($A1214="","",IFERROR(INDEX(부서매핑!$C$5:$C$504,MATCH($D1214&amp;"",부서매핑!$A$5:$A$504,0)),"미매핑"))</f>
        <v/>
      </c>
      <c r="K1214" s="63">
        <f>IF($A1214="","",IFERROR(INDEX(계정매핑!$C$5:$C$504,MATCH($F1214&amp;"",계정매핑!$A$5:$A$504,0)),"미매핑"))</f>
        <v/>
      </c>
      <c r="L1214" s="4">
        <f>IF($A1214="","",VALUE($A1214&amp;""))</f>
        <v/>
      </c>
      <c r="M1214" s="4">
        <f>IF($A1214="","",VALUE($B1214&amp;""))</f>
        <v/>
      </c>
      <c r="N1214" s="64">
        <f>IF($A1214="","",$H1214*설정!$C$15)</f>
        <v/>
      </c>
      <c r="O1214" s="4">
        <f>IF($A1214="","",J1214&amp;"|"&amp;K1214)</f>
        <v/>
      </c>
      <c r="P1214" s="63">
        <f>IF($A1214="","",IF(COUNTIFS(예산_원본!$T$5:$T$3004,O1214,예산_원본!$B$5:$B$3004,설정!$C$8,예산_원본!$U$5:$U$3004,L1214)&gt;0,"Y","N"))</f>
        <v/>
      </c>
      <c r="Q1214" s="63">
        <f>IF($A1214="","",IF(COUNTIF(집계!$E$7:$E$506,O1214)&gt;0,"Y","N"))</f>
        <v/>
      </c>
    </row>
    <row r="1215">
      <c r="A1215" s="60" t="n">
        <v>2026</v>
      </c>
      <c r="B1215" s="60" t="n">
        <v>4</v>
      </c>
      <c r="C1215" s="60" t="inlineStr">
        <is>
          <t>1000</t>
        </is>
      </c>
      <c r="D1215" s="60" t="n">
        <v>1501</v>
      </c>
      <c r="E1215" s="60" t="inlineStr">
        <is>
          <t>마케팅전략</t>
        </is>
      </c>
      <c r="F1215" s="60" t="n">
        <v>62701000</v>
      </c>
      <c r="G1215" s="60" t="inlineStr">
        <is>
          <t>광고선전비</t>
        </is>
      </c>
      <c r="H1215" s="61" t="n">
        <v>156248250</v>
      </c>
      <c r="J1215" s="63">
        <f>IF($A1215="","",IFERROR(INDEX(부서매핑!$C$5:$C$504,MATCH($D1215&amp;"",부서매핑!$A$5:$A$504,0)),"미매핑"))</f>
        <v/>
      </c>
      <c r="K1215" s="63">
        <f>IF($A1215="","",IFERROR(INDEX(계정매핑!$C$5:$C$504,MATCH($F1215&amp;"",계정매핑!$A$5:$A$504,0)),"미매핑"))</f>
        <v/>
      </c>
      <c r="L1215" s="4">
        <f>IF($A1215="","",VALUE($A1215&amp;""))</f>
        <v/>
      </c>
      <c r="M1215" s="4">
        <f>IF($A1215="","",VALUE($B1215&amp;""))</f>
        <v/>
      </c>
      <c r="N1215" s="64">
        <f>IF($A1215="","",$H1215*설정!$C$15)</f>
        <v/>
      </c>
      <c r="O1215" s="4">
        <f>IF($A1215="","",J1215&amp;"|"&amp;K1215)</f>
        <v/>
      </c>
      <c r="P1215" s="63">
        <f>IF($A1215="","",IF(COUNTIFS(예산_원본!$T$5:$T$3004,O1215,예산_원본!$B$5:$B$3004,설정!$C$8,예산_원본!$U$5:$U$3004,L1215)&gt;0,"Y","N"))</f>
        <v/>
      </c>
      <c r="Q1215" s="63">
        <f>IF($A1215="","",IF(COUNTIF(집계!$E$7:$E$506,O1215)&gt;0,"Y","N"))</f>
        <v/>
      </c>
    </row>
    <row r="1216">
      <c r="A1216" s="60" t="n">
        <v>2026</v>
      </c>
      <c r="B1216" s="60" t="n">
        <v>4</v>
      </c>
      <c r="C1216" s="60" t="inlineStr">
        <is>
          <t>1000</t>
        </is>
      </c>
      <c r="D1216" s="60" t="n">
        <v>1502</v>
      </c>
      <c r="E1216" s="60" t="inlineStr">
        <is>
          <t>디지털마케팅</t>
        </is>
      </c>
      <c r="F1216" s="60" t="n">
        <v>62101000</v>
      </c>
      <c r="G1216" s="60" t="inlineStr">
        <is>
          <t>여비교통비-국내</t>
        </is>
      </c>
      <c r="H1216" s="61" t="n">
        <v>1029180</v>
      </c>
      <c r="J1216" s="63">
        <f>IF($A1216="","",IFERROR(INDEX(부서매핑!$C$5:$C$504,MATCH($D1216&amp;"",부서매핑!$A$5:$A$504,0)),"미매핑"))</f>
        <v/>
      </c>
      <c r="K1216" s="63">
        <f>IF($A1216="","",IFERROR(INDEX(계정매핑!$C$5:$C$504,MATCH($F1216&amp;"",계정매핑!$A$5:$A$504,0)),"미매핑"))</f>
        <v/>
      </c>
      <c r="L1216" s="4">
        <f>IF($A1216="","",VALUE($A1216&amp;""))</f>
        <v/>
      </c>
      <c r="M1216" s="4">
        <f>IF($A1216="","",VALUE($B1216&amp;""))</f>
        <v/>
      </c>
      <c r="N1216" s="64">
        <f>IF($A1216="","",$H1216*설정!$C$15)</f>
        <v/>
      </c>
      <c r="O1216" s="4">
        <f>IF($A1216="","",J1216&amp;"|"&amp;K1216)</f>
        <v/>
      </c>
      <c r="P1216" s="63">
        <f>IF($A1216="","",IF(COUNTIFS(예산_원본!$T$5:$T$3004,O1216,예산_원본!$B$5:$B$3004,설정!$C$8,예산_원본!$U$5:$U$3004,L1216)&gt;0,"Y","N"))</f>
        <v/>
      </c>
      <c r="Q1216" s="63">
        <f>IF($A1216="","",IF(COUNTIF(집계!$E$7:$E$506,O1216)&gt;0,"Y","N"))</f>
        <v/>
      </c>
    </row>
    <row r="1217">
      <c r="A1217" s="60" t="n">
        <v>2026</v>
      </c>
      <c r="B1217" s="60" t="n">
        <v>4</v>
      </c>
      <c r="C1217" s="60" t="inlineStr">
        <is>
          <t>1000</t>
        </is>
      </c>
      <c r="D1217" s="60" t="n">
        <v>1502</v>
      </c>
      <c r="E1217" s="60" t="inlineStr">
        <is>
          <t>디지털마케팅</t>
        </is>
      </c>
      <c r="F1217" s="60" t="n">
        <v>62102000</v>
      </c>
      <c r="G1217" s="60" t="inlineStr">
        <is>
          <t>여비교통비-해외</t>
        </is>
      </c>
      <c r="H1217" s="61" t="n">
        <v>209650</v>
      </c>
      <c r="J1217" s="63">
        <f>IF($A1217="","",IFERROR(INDEX(부서매핑!$C$5:$C$504,MATCH($D1217&amp;"",부서매핑!$A$5:$A$504,0)),"미매핑"))</f>
        <v/>
      </c>
      <c r="K1217" s="63">
        <f>IF($A1217="","",IFERROR(INDEX(계정매핑!$C$5:$C$504,MATCH($F1217&amp;"",계정매핑!$A$5:$A$504,0)),"미매핑"))</f>
        <v/>
      </c>
      <c r="L1217" s="4">
        <f>IF($A1217="","",VALUE($A1217&amp;""))</f>
        <v/>
      </c>
      <c r="M1217" s="4">
        <f>IF($A1217="","",VALUE($B1217&amp;""))</f>
        <v/>
      </c>
      <c r="N1217" s="64">
        <f>IF($A1217="","",$H1217*설정!$C$15)</f>
        <v/>
      </c>
      <c r="O1217" s="4">
        <f>IF($A1217="","",J1217&amp;"|"&amp;K1217)</f>
        <v/>
      </c>
      <c r="P1217" s="63">
        <f>IF($A1217="","",IF(COUNTIFS(예산_원본!$T$5:$T$3004,O1217,예산_원본!$B$5:$B$3004,설정!$C$8,예산_원본!$U$5:$U$3004,L1217)&gt;0,"Y","N"))</f>
        <v/>
      </c>
      <c r="Q1217" s="63">
        <f>IF($A1217="","",IF(COUNTIF(집계!$E$7:$E$506,O1217)&gt;0,"Y","N"))</f>
        <v/>
      </c>
    </row>
    <row r="1218">
      <c r="A1218" s="60" t="n">
        <v>2026</v>
      </c>
      <c r="B1218" s="60" t="n">
        <v>4</v>
      </c>
      <c r="C1218" s="60" t="inlineStr">
        <is>
          <t>1000</t>
        </is>
      </c>
      <c r="D1218" s="60" t="n">
        <v>1502</v>
      </c>
      <c r="E1218" s="60" t="inlineStr">
        <is>
          <t>디지털마케팅</t>
        </is>
      </c>
      <c r="F1218" s="60" t="n">
        <v>62201000</v>
      </c>
      <c r="G1218" s="60" t="inlineStr">
        <is>
          <t>통신비</t>
        </is>
      </c>
      <c r="H1218" s="61" t="n">
        <v>426290</v>
      </c>
      <c r="J1218" s="63">
        <f>IF($A1218="","",IFERROR(INDEX(부서매핑!$C$5:$C$504,MATCH($D1218&amp;"",부서매핑!$A$5:$A$504,0)),"미매핑"))</f>
        <v/>
      </c>
      <c r="K1218" s="63">
        <f>IF($A1218="","",IFERROR(INDEX(계정매핑!$C$5:$C$504,MATCH($F1218&amp;"",계정매핑!$A$5:$A$504,0)),"미매핑"))</f>
        <v/>
      </c>
      <c r="L1218" s="4">
        <f>IF($A1218="","",VALUE($A1218&amp;""))</f>
        <v/>
      </c>
      <c r="M1218" s="4">
        <f>IF($A1218="","",VALUE($B1218&amp;""))</f>
        <v/>
      </c>
      <c r="N1218" s="64">
        <f>IF($A1218="","",$H1218*설정!$C$15)</f>
        <v/>
      </c>
      <c r="O1218" s="4">
        <f>IF($A1218="","",J1218&amp;"|"&amp;K1218)</f>
        <v/>
      </c>
      <c r="P1218" s="63">
        <f>IF($A1218="","",IF(COUNTIFS(예산_원본!$T$5:$T$3004,O1218,예산_원본!$B$5:$B$3004,설정!$C$8,예산_원본!$U$5:$U$3004,L1218)&gt;0,"Y","N"))</f>
        <v/>
      </c>
      <c r="Q1218" s="63">
        <f>IF($A1218="","",IF(COUNTIF(집계!$E$7:$E$506,O1218)&gt;0,"Y","N"))</f>
        <v/>
      </c>
    </row>
    <row r="1219">
      <c r="A1219" s="60" t="n">
        <v>2026</v>
      </c>
      <c r="B1219" s="60" t="n">
        <v>4</v>
      </c>
      <c r="C1219" s="60" t="inlineStr">
        <is>
          <t>1000</t>
        </is>
      </c>
      <c r="D1219" s="60" t="n">
        <v>1502</v>
      </c>
      <c r="E1219" s="60" t="inlineStr">
        <is>
          <t>디지털마케팅</t>
        </is>
      </c>
      <c r="F1219" s="60" t="n">
        <v>62301000</v>
      </c>
      <c r="G1219" s="60" t="inlineStr">
        <is>
          <t>소모품비</t>
        </is>
      </c>
      <c r="H1219" s="61" t="n">
        <v>303650</v>
      </c>
      <c r="J1219" s="63">
        <f>IF($A1219="","",IFERROR(INDEX(부서매핑!$C$5:$C$504,MATCH($D1219&amp;"",부서매핑!$A$5:$A$504,0)),"미매핑"))</f>
        <v/>
      </c>
      <c r="K1219" s="63">
        <f>IF($A1219="","",IFERROR(INDEX(계정매핑!$C$5:$C$504,MATCH($F1219&amp;"",계정매핑!$A$5:$A$504,0)),"미매핑"))</f>
        <v/>
      </c>
      <c r="L1219" s="4">
        <f>IF($A1219="","",VALUE($A1219&amp;""))</f>
        <v/>
      </c>
      <c r="M1219" s="4">
        <f>IF($A1219="","",VALUE($B1219&amp;""))</f>
        <v/>
      </c>
      <c r="N1219" s="64">
        <f>IF($A1219="","",$H1219*설정!$C$15)</f>
        <v/>
      </c>
      <c r="O1219" s="4">
        <f>IF($A1219="","",J1219&amp;"|"&amp;K1219)</f>
        <v/>
      </c>
      <c r="P1219" s="63">
        <f>IF($A1219="","",IF(COUNTIFS(예산_원본!$T$5:$T$3004,O1219,예산_원본!$B$5:$B$3004,설정!$C$8,예산_원본!$U$5:$U$3004,L1219)&gt;0,"Y","N"))</f>
        <v/>
      </c>
      <c r="Q1219" s="63">
        <f>IF($A1219="","",IF(COUNTIF(집계!$E$7:$E$506,O1219)&gt;0,"Y","N"))</f>
        <v/>
      </c>
    </row>
    <row r="1220">
      <c r="A1220" s="60" t="n">
        <v>2026</v>
      </c>
      <c r="B1220" s="60" t="n">
        <v>4</v>
      </c>
      <c r="C1220" s="60" t="inlineStr">
        <is>
          <t>1000</t>
        </is>
      </c>
      <c r="D1220" s="60" t="n">
        <v>1502</v>
      </c>
      <c r="E1220" s="60" t="inlineStr">
        <is>
          <t>디지털마케팅</t>
        </is>
      </c>
      <c r="F1220" s="60" t="n">
        <v>62401000</v>
      </c>
      <c r="G1220" s="60" t="inlineStr">
        <is>
          <t>도서인쇄비</t>
        </is>
      </c>
      <c r="H1220" s="61" t="n">
        <v>3008260</v>
      </c>
      <c r="J1220" s="63">
        <f>IF($A1220="","",IFERROR(INDEX(부서매핑!$C$5:$C$504,MATCH($D1220&amp;"",부서매핑!$A$5:$A$504,0)),"미매핑"))</f>
        <v/>
      </c>
      <c r="K1220" s="63">
        <f>IF($A1220="","",IFERROR(INDEX(계정매핑!$C$5:$C$504,MATCH($F1220&amp;"",계정매핑!$A$5:$A$504,0)),"미매핑"))</f>
        <v/>
      </c>
      <c r="L1220" s="4">
        <f>IF($A1220="","",VALUE($A1220&amp;""))</f>
        <v/>
      </c>
      <c r="M1220" s="4">
        <f>IF($A1220="","",VALUE($B1220&amp;""))</f>
        <v/>
      </c>
      <c r="N1220" s="64">
        <f>IF($A1220="","",$H1220*설정!$C$15)</f>
        <v/>
      </c>
      <c r="O1220" s="4">
        <f>IF($A1220="","",J1220&amp;"|"&amp;K1220)</f>
        <v/>
      </c>
      <c r="P1220" s="63">
        <f>IF($A1220="","",IF(COUNTIFS(예산_원본!$T$5:$T$3004,O1220,예산_원본!$B$5:$B$3004,설정!$C$8,예산_원본!$U$5:$U$3004,L1220)&gt;0,"Y","N"))</f>
        <v/>
      </c>
      <c r="Q1220" s="63">
        <f>IF($A1220="","",IF(COUNTIF(집계!$E$7:$E$506,O1220)&gt;0,"Y","N"))</f>
        <v/>
      </c>
    </row>
    <row r="1221">
      <c r="A1221" s="60" t="n">
        <v>2026</v>
      </c>
      <c r="B1221" s="60" t="n">
        <v>4</v>
      </c>
      <c r="C1221" s="60" t="inlineStr">
        <is>
          <t>1000</t>
        </is>
      </c>
      <c r="D1221" s="60" t="n">
        <v>1502</v>
      </c>
      <c r="E1221" s="60" t="inlineStr">
        <is>
          <t>디지털마케팅</t>
        </is>
      </c>
      <c r="F1221" s="60" t="n">
        <v>62501000</v>
      </c>
      <c r="G1221" s="60" t="inlineStr">
        <is>
          <t>회의비</t>
        </is>
      </c>
      <c r="H1221" s="61" t="n">
        <v>424130</v>
      </c>
      <c r="J1221" s="63">
        <f>IF($A1221="","",IFERROR(INDEX(부서매핑!$C$5:$C$504,MATCH($D1221&amp;"",부서매핑!$A$5:$A$504,0)),"미매핑"))</f>
        <v/>
      </c>
      <c r="K1221" s="63">
        <f>IF($A1221="","",IFERROR(INDEX(계정매핑!$C$5:$C$504,MATCH($F1221&amp;"",계정매핑!$A$5:$A$504,0)),"미매핑"))</f>
        <v/>
      </c>
      <c r="L1221" s="4">
        <f>IF($A1221="","",VALUE($A1221&amp;""))</f>
        <v/>
      </c>
      <c r="M1221" s="4">
        <f>IF($A1221="","",VALUE($B1221&amp;""))</f>
        <v/>
      </c>
      <c r="N1221" s="64">
        <f>IF($A1221="","",$H1221*설정!$C$15)</f>
        <v/>
      </c>
      <c r="O1221" s="4">
        <f>IF($A1221="","",J1221&amp;"|"&amp;K1221)</f>
        <v/>
      </c>
      <c r="P1221" s="63">
        <f>IF($A1221="","",IF(COUNTIFS(예산_원본!$T$5:$T$3004,O1221,예산_원본!$B$5:$B$3004,설정!$C$8,예산_원본!$U$5:$U$3004,L1221)&gt;0,"Y","N"))</f>
        <v/>
      </c>
      <c r="Q1221" s="63">
        <f>IF($A1221="","",IF(COUNTIF(집계!$E$7:$E$506,O1221)&gt;0,"Y","N"))</f>
        <v/>
      </c>
    </row>
    <row r="1222">
      <c r="A1222" s="60" t="n">
        <v>2026</v>
      </c>
      <c r="B1222" s="60" t="n">
        <v>4</v>
      </c>
      <c r="C1222" s="60" t="inlineStr">
        <is>
          <t>1000</t>
        </is>
      </c>
      <c r="D1222" s="60" t="n">
        <v>1502</v>
      </c>
      <c r="E1222" s="60" t="inlineStr">
        <is>
          <t>디지털마케팅</t>
        </is>
      </c>
      <c r="F1222" s="60" t="n">
        <v>62601000</v>
      </c>
      <c r="G1222" s="60" t="inlineStr">
        <is>
          <t>업무추진비</t>
        </is>
      </c>
      <c r="H1222" s="61" t="n">
        <v>1295120</v>
      </c>
      <c r="J1222" s="63">
        <f>IF($A1222="","",IFERROR(INDEX(부서매핑!$C$5:$C$504,MATCH($D1222&amp;"",부서매핑!$A$5:$A$504,0)),"미매핑"))</f>
        <v/>
      </c>
      <c r="K1222" s="63">
        <f>IF($A1222="","",IFERROR(INDEX(계정매핑!$C$5:$C$504,MATCH($F1222&amp;"",계정매핑!$A$5:$A$504,0)),"미매핑"))</f>
        <v/>
      </c>
      <c r="L1222" s="4">
        <f>IF($A1222="","",VALUE($A1222&amp;""))</f>
        <v/>
      </c>
      <c r="M1222" s="4">
        <f>IF($A1222="","",VALUE($B1222&amp;""))</f>
        <v/>
      </c>
      <c r="N1222" s="64">
        <f>IF($A1222="","",$H1222*설정!$C$15)</f>
        <v/>
      </c>
      <c r="O1222" s="4">
        <f>IF($A1222="","",J1222&amp;"|"&amp;K1222)</f>
        <v/>
      </c>
      <c r="P1222" s="63">
        <f>IF($A1222="","",IF(COUNTIFS(예산_원본!$T$5:$T$3004,O1222,예산_원본!$B$5:$B$3004,설정!$C$8,예산_원본!$U$5:$U$3004,L1222)&gt;0,"Y","N"))</f>
        <v/>
      </c>
      <c r="Q1222" s="63">
        <f>IF($A1222="","",IF(COUNTIF(집계!$E$7:$E$506,O1222)&gt;0,"Y","N"))</f>
        <v/>
      </c>
    </row>
    <row r="1223">
      <c r="A1223" s="60" t="n">
        <v>2026</v>
      </c>
      <c r="B1223" s="60" t="n">
        <v>4</v>
      </c>
      <c r="C1223" s="60" t="inlineStr">
        <is>
          <t>1000</t>
        </is>
      </c>
      <c r="D1223" s="60" t="n">
        <v>1502</v>
      </c>
      <c r="E1223" s="60" t="inlineStr">
        <is>
          <t>디지털마케팅</t>
        </is>
      </c>
      <c r="F1223" s="60" t="n">
        <v>62701000</v>
      </c>
      <c r="G1223" s="60" t="inlineStr">
        <is>
          <t>광고선전비</t>
        </is>
      </c>
      <c r="H1223" s="61" t="n">
        <v>101385960</v>
      </c>
      <c r="J1223" s="63">
        <f>IF($A1223="","",IFERROR(INDEX(부서매핑!$C$5:$C$504,MATCH($D1223&amp;"",부서매핑!$A$5:$A$504,0)),"미매핑"))</f>
        <v/>
      </c>
      <c r="K1223" s="63">
        <f>IF($A1223="","",IFERROR(INDEX(계정매핑!$C$5:$C$504,MATCH($F1223&amp;"",계정매핑!$A$5:$A$504,0)),"미매핑"))</f>
        <v/>
      </c>
      <c r="L1223" s="4">
        <f>IF($A1223="","",VALUE($A1223&amp;""))</f>
        <v/>
      </c>
      <c r="M1223" s="4">
        <f>IF($A1223="","",VALUE($B1223&amp;""))</f>
        <v/>
      </c>
      <c r="N1223" s="64">
        <f>IF($A1223="","",$H1223*설정!$C$15)</f>
        <v/>
      </c>
      <c r="O1223" s="4">
        <f>IF($A1223="","",J1223&amp;"|"&amp;K1223)</f>
        <v/>
      </c>
      <c r="P1223" s="63">
        <f>IF($A1223="","",IF(COUNTIFS(예산_원본!$T$5:$T$3004,O1223,예산_원본!$B$5:$B$3004,설정!$C$8,예산_원본!$U$5:$U$3004,L1223)&gt;0,"Y","N"))</f>
        <v/>
      </c>
      <c r="Q1223" s="63">
        <f>IF($A1223="","",IF(COUNTIF(집계!$E$7:$E$506,O1223)&gt;0,"Y","N"))</f>
        <v/>
      </c>
    </row>
    <row r="1224">
      <c r="A1224" s="60" t="n">
        <v>2026</v>
      </c>
      <c r="B1224" s="60" t="n">
        <v>4</v>
      </c>
      <c r="C1224" s="60" t="inlineStr">
        <is>
          <t>1000</t>
        </is>
      </c>
      <c r="D1224" s="60" t="n">
        <v>1601</v>
      </c>
      <c r="E1224" s="60" t="inlineStr">
        <is>
          <t>영업지원-본사</t>
        </is>
      </c>
      <c r="F1224" s="60" t="n">
        <v>62101000</v>
      </c>
      <c r="G1224" s="60" t="inlineStr">
        <is>
          <t>여비교통비-국내</t>
        </is>
      </c>
      <c r="H1224" s="61" t="n">
        <v>4098930</v>
      </c>
      <c r="J1224" s="63">
        <f>IF($A1224="","",IFERROR(INDEX(부서매핑!$C$5:$C$504,MATCH($D1224&amp;"",부서매핑!$A$5:$A$504,0)),"미매핑"))</f>
        <v/>
      </c>
      <c r="K1224" s="63">
        <f>IF($A1224="","",IFERROR(INDEX(계정매핑!$C$5:$C$504,MATCH($F1224&amp;"",계정매핑!$A$5:$A$504,0)),"미매핑"))</f>
        <v/>
      </c>
      <c r="L1224" s="4">
        <f>IF($A1224="","",VALUE($A1224&amp;""))</f>
        <v/>
      </c>
      <c r="M1224" s="4">
        <f>IF($A1224="","",VALUE($B1224&amp;""))</f>
        <v/>
      </c>
      <c r="N1224" s="64">
        <f>IF($A1224="","",$H1224*설정!$C$15)</f>
        <v/>
      </c>
      <c r="O1224" s="4">
        <f>IF($A1224="","",J1224&amp;"|"&amp;K1224)</f>
        <v/>
      </c>
      <c r="P1224" s="63">
        <f>IF($A1224="","",IF(COUNTIFS(예산_원본!$T$5:$T$3004,O1224,예산_원본!$B$5:$B$3004,설정!$C$8,예산_원본!$U$5:$U$3004,L1224)&gt;0,"Y","N"))</f>
        <v/>
      </c>
      <c r="Q1224" s="63">
        <f>IF($A1224="","",IF(COUNTIF(집계!$E$7:$E$506,O1224)&gt;0,"Y","N"))</f>
        <v/>
      </c>
    </row>
    <row r="1225">
      <c r="A1225" s="60" t="n">
        <v>2026</v>
      </c>
      <c r="B1225" s="60" t="n">
        <v>4</v>
      </c>
      <c r="C1225" s="60" t="inlineStr">
        <is>
          <t>1000</t>
        </is>
      </c>
      <c r="D1225" s="60" t="n">
        <v>1601</v>
      </c>
      <c r="E1225" s="60" t="inlineStr">
        <is>
          <t>영업지원-본사</t>
        </is>
      </c>
      <c r="F1225" s="60" t="n">
        <v>62102000</v>
      </c>
      <c r="G1225" s="60" t="inlineStr">
        <is>
          <t>여비교통비-해외</t>
        </is>
      </c>
      <c r="H1225" s="61" t="n">
        <v>718390</v>
      </c>
      <c r="J1225" s="63">
        <f>IF($A1225="","",IFERROR(INDEX(부서매핑!$C$5:$C$504,MATCH($D1225&amp;"",부서매핑!$A$5:$A$504,0)),"미매핑"))</f>
        <v/>
      </c>
      <c r="K1225" s="63">
        <f>IF($A1225="","",IFERROR(INDEX(계정매핑!$C$5:$C$504,MATCH($F1225&amp;"",계정매핑!$A$5:$A$504,0)),"미매핑"))</f>
        <v/>
      </c>
      <c r="L1225" s="4">
        <f>IF($A1225="","",VALUE($A1225&amp;""))</f>
        <v/>
      </c>
      <c r="M1225" s="4">
        <f>IF($A1225="","",VALUE($B1225&amp;""))</f>
        <v/>
      </c>
      <c r="N1225" s="64">
        <f>IF($A1225="","",$H1225*설정!$C$15)</f>
        <v/>
      </c>
      <c r="O1225" s="4">
        <f>IF($A1225="","",J1225&amp;"|"&amp;K1225)</f>
        <v/>
      </c>
      <c r="P1225" s="63">
        <f>IF($A1225="","",IF(COUNTIFS(예산_원본!$T$5:$T$3004,O1225,예산_원본!$B$5:$B$3004,설정!$C$8,예산_원본!$U$5:$U$3004,L1225)&gt;0,"Y","N"))</f>
        <v/>
      </c>
      <c r="Q1225" s="63">
        <f>IF($A1225="","",IF(COUNTIF(집계!$E$7:$E$506,O1225)&gt;0,"Y","N"))</f>
        <v/>
      </c>
    </row>
    <row r="1226">
      <c r="A1226" s="60" t="n">
        <v>2026</v>
      </c>
      <c r="B1226" s="60" t="n">
        <v>4</v>
      </c>
      <c r="C1226" s="60" t="inlineStr">
        <is>
          <t>1000</t>
        </is>
      </c>
      <c r="D1226" s="60" t="n">
        <v>1601</v>
      </c>
      <c r="E1226" s="60" t="inlineStr">
        <is>
          <t>영업지원-본사</t>
        </is>
      </c>
      <c r="F1226" s="60" t="n">
        <v>62201000</v>
      </c>
      <c r="G1226" s="60" t="inlineStr">
        <is>
          <t>통신비</t>
        </is>
      </c>
      <c r="H1226" s="61" t="n">
        <v>1125910</v>
      </c>
      <c r="J1226" s="63">
        <f>IF($A1226="","",IFERROR(INDEX(부서매핑!$C$5:$C$504,MATCH($D1226&amp;"",부서매핑!$A$5:$A$504,0)),"미매핑"))</f>
        <v/>
      </c>
      <c r="K1226" s="63">
        <f>IF($A1226="","",IFERROR(INDEX(계정매핑!$C$5:$C$504,MATCH($F1226&amp;"",계정매핑!$A$5:$A$504,0)),"미매핑"))</f>
        <v/>
      </c>
      <c r="L1226" s="4">
        <f>IF($A1226="","",VALUE($A1226&amp;""))</f>
        <v/>
      </c>
      <c r="M1226" s="4">
        <f>IF($A1226="","",VALUE($B1226&amp;""))</f>
        <v/>
      </c>
      <c r="N1226" s="64">
        <f>IF($A1226="","",$H1226*설정!$C$15)</f>
        <v/>
      </c>
      <c r="O1226" s="4">
        <f>IF($A1226="","",J1226&amp;"|"&amp;K1226)</f>
        <v/>
      </c>
      <c r="P1226" s="63">
        <f>IF($A1226="","",IF(COUNTIFS(예산_원본!$T$5:$T$3004,O1226,예산_원본!$B$5:$B$3004,설정!$C$8,예산_원본!$U$5:$U$3004,L1226)&gt;0,"Y","N"))</f>
        <v/>
      </c>
      <c r="Q1226" s="63">
        <f>IF($A1226="","",IF(COUNTIF(집계!$E$7:$E$506,O1226)&gt;0,"Y","N"))</f>
        <v/>
      </c>
    </row>
    <row r="1227">
      <c r="A1227" s="60" t="n">
        <v>2026</v>
      </c>
      <c r="B1227" s="60" t="n">
        <v>4</v>
      </c>
      <c r="C1227" s="60" t="inlineStr">
        <is>
          <t>1000</t>
        </is>
      </c>
      <c r="D1227" s="60" t="n">
        <v>1601</v>
      </c>
      <c r="E1227" s="60" t="inlineStr">
        <is>
          <t>영업지원-본사</t>
        </is>
      </c>
      <c r="F1227" s="60" t="n">
        <v>62301000</v>
      </c>
      <c r="G1227" s="60" t="inlineStr">
        <is>
          <t>소모품비</t>
        </is>
      </c>
      <c r="H1227" s="61" t="n">
        <v>612100</v>
      </c>
      <c r="J1227" s="63">
        <f>IF($A1227="","",IFERROR(INDEX(부서매핑!$C$5:$C$504,MATCH($D1227&amp;"",부서매핑!$A$5:$A$504,0)),"미매핑"))</f>
        <v/>
      </c>
      <c r="K1227" s="63">
        <f>IF($A1227="","",IFERROR(INDEX(계정매핑!$C$5:$C$504,MATCH($F1227&amp;"",계정매핑!$A$5:$A$504,0)),"미매핑"))</f>
        <v/>
      </c>
      <c r="L1227" s="4">
        <f>IF($A1227="","",VALUE($A1227&amp;""))</f>
        <v/>
      </c>
      <c r="M1227" s="4">
        <f>IF($A1227="","",VALUE($B1227&amp;""))</f>
        <v/>
      </c>
      <c r="N1227" s="64">
        <f>IF($A1227="","",$H1227*설정!$C$15)</f>
        <v/>
      </c>
      <c r="O1227" s="4">
        <f>IF($A1227="","",J1227&amp;"|"&amp;K1227)</f>
        <v/>
      </c>
      <c r="P1227" s="63">
        <f>IF($A1227="","",IF(COUNTIFS(예산_원본!$T$5:$T$3004,O1227,예산_원본!$B$5:$B$3004,설정!$C$8,예산_원본!$U$5:$U$3004,L1227)&gt;0,"Y","N"))</f>
        <v/>
      </c>
      <c r="Q1227" s="63">
        <f>IF($A1227="","",IF(COUNTIF(집계!$E$7:$E$506,O1227)&gt;0,"Y","N"))</f>
        <v/>
      </c>
    </row>
    <row r="1228">
      <c r="A1228" s="60" t="n">
        <v>2026</v>
      </c>
      <c r="B1228" s="60" t="n">
        <v>4</v>
      </c>
      <c r="C1228" s="60" t="inlineStr">
        <is>
          <t>1000</t>
        </is>
      </c>
      <c r="D1228" s="60" t="n">
        <v>1601</v>
      </c>
      <c r="E1228" s="60" t="inlineStr">
        <is>
          <t>영업지원-본사</t>
        </is>
      </c>
      <c r="F1228" s="60" t="n">
        <v>62501000</v>
      </c>
      <c r="G1228" s="60" t="inlineStr">
        <is>
          <t>회의비</t>
        </is>
      </c>
      <c r="H1228" s="61" t="n">
        <v>923170</v>
      </c>
      <c r="J1228" s="63">
        <f>IF($A1228="","",IFERROR(INDEX(부서매핑!$C$5:$C$504,MATCH($D1228&amp;"",부서매핑!$A$5:$A$504,0)),"미매핑"))</f>
        <v/>
      </c>
      <c r="K1228" s="63">
        <f>IF($A1228="","",IFERROR(INDEX(계정매핑!$C$5:$C$504,MATCH($F1228&amp;"",계정매핑!$A$5:$A$504,0)),"미매핑"))</f>
        <v/>
      </c>
      <c r="L1228" s="4">
        <f>IF($A1228="","",VALUE($A1228&amp;""))</f>
        <v/>
      </c>
      <c r="M1228" s="4">
        <f>IF($A1228="","",VALUE($B1228&amp;""))</f>
        <v/>
      </c>
      <c r="N1228" s="64">
        <f>IF($A1228="","",$H1228*설정!$C$15)</f>
        <v/>
      </c>
      <c r="O1228" s="4">
        <f>IF($A1228="","",J1228&amp;"|"&amp;K1228)</f>
        <v/>
      </c>
      <c r="P1228" s="63">
        <f>IF($A1228="","",IF(COUNTIFS(예산_원본!$T$5:$T$3004,O1228,예산_원본!$B$5:$B$3004,설정!$C$8,예산_원본!$U$5:$U$3004,L1228)&gt;0,"Y","N"))</f>
        <v/>
      </c>
      <c r="Q1228" s="63">
        <f>IF($A1228="","",IF(COUNTIF(집계!$E$7:$E$506,O1228)&gt;0,"Y","N"))</f>
        <v/>
      </c>
    </row>
    <row r="1229">
      <c r="A1229" s="60" t="n">
        <v>2026</v>
      </c>
      <c r="B1229" s="60" t="n">
        <v>4</v>
      </c>
      <c r="C1229" s="60" t="inlineStr">
        <is>
          <t>1000</t>
        </is>
      </c>
      <c r="D1229" s="60" t="n">
        <v>1601</v>
      </c>
      <c r="E1229" s="60" t="inlineStr">
        <is>
          <t>영업지원-본사</t>
        </is>
      </c>
      <c r="F1229" s="60" t="n">
        <v>62601000</v>
      </c>
      <c r="G1229" s="60" t="inlineStr">
        <is>
          <t>업무추진비</t>
        </is>
      </c>
      <c r="H1229" s="61" t="n">
        <v>1679000</v>
      </c>
      <c r="J1229" s="63">
        <f>IF($A1229="","",IFERROR(INDEX(부서매핑!$C$5:$C$504,MATCH($D1229&amp;"",부서매핑!$A$5:$A$504,0)),"미매핑"))</f>
        <v/>
      </c>
      <c r="K1229" s="63">
        <f>IF($A1229="","",IFERROR(INDEX(계정매핑!$C$5:$C$504,MATCH($F1229&amp;"",계정매핑!$A$5:$A$504,0)),"미매핑"))</f>
        <v/>
      </c>
      <c r="L1229" s="4">
        <f>IF($A1229="","",VALUE($A1229&amp;""))</f>
        <v/>
      </c>
      <c r="M1229" s="4">
        <f>IF($A1229="","",VALUE($B1229&amp;""))</f>
        <v/>
      </c>
      <c r="N1229" s="64">
        <f>IF($A1229="","",$H1229*설정!$C$15)</f>
        <v/>
      </c>
      <c r="O1229" s="4">
        <f>IF($A1229="","",J1229&amp;"|"&amp;K1229)</f>
        <v/>
      </c>
      <c r="P1229" s="63">
        <f>IF($A1229="","",IF(COUNTIFS(예산_원본!$T$5:$T$3004,O1229,예산_원본!$B$5:$B$3004,설정!$C$8,예산_원본!$U$5:$U$3004,L1229)&gt;0,"Y","N"))</f>
        <v/>
      </c>
      <c r="Q1229" s="63">
        <f>IF($A1229="","",IF(COUNTIF(집계!$E$7:$E$506,O1229)&gt;0,"Y","N"))</f>
        <v/>
      </c>
    </row>
    <row r="1230">
      <c r="A1230" s="60" t="n">
        <v>2026</v>
      </c>
      <c r="B1230" s="60" t="n">
        <v>4</v>
      </c>
      <c r="C1230" s="60" t="inlineStr">
        <is>
          <t>1000</t>
        </is>
      </c>
      <c r="D1230" s="60" t="n">
        <v>1601</v>
      </c>
      <c r="E1230" s="60" t="inlineStr">
        <is>
          <t>영업지원-본사</t>
        </is>
      </c>
      <c r="F1230" s="60" t="n">
        <v>63101000</v>
      </c>
      <c r="G1230" s="60" t="inlineStr">
        <is>
          <t>임차료</t>
        </is>
      </c>
      <c r="H1230" s="61" t="n">
        <v>9880770</v>
      </c>
      <c r="J1230" s="63">
        <f>IF($A1230="","",IFERROR(INDEX(부서매핑!$C$5:$C$504,MATCH($D1230&amp;"",부서매핑!$A$5:$A$504,0)),"미매핑"))</f>
        <v/>
      </c>
      <c r="K1230" s="63">
        <f>IF($A1230="","",IFERROR(INDEX(계정매핑!$C$5:$C$504,MATCH($F1230&amp;"",계정매핑!$A$5:$A$504,0)),"미매핑"))</f>
        <v/>
      </c>
      <c r="L1230" s="4">
        <f>IF($A1230="","",VALUE($A1230&amp;""))</f>
        <v/>
      </c>
      <c r="M1230" s="4">
        <f>IF($A1230="","",VALUE($B1230&amp;""))</f>
        <v/>
      </c>
      <c r="N1230" s="64">
        <f>IF($A1230="","",$H1230*설정!$C$15)</f>
        <v/>
      </c>
      <c r="O1230" s="4">
        <f>IF($A1230="","",J1230&amp;"|"&amp;K1230)</f>
        <v/>
      </c>
      <c r="P1230" s="63">
        <f>IF($A1230="","",IF(COUNTIFS(예산_원본!$T$5:$T$3004,O1230,예산_원본!$B$5:$B$3004,설정!$C$8,예산_원본!$U$5:$U$3004,L1230)&gt;0,"Y","N"))</f>
        <v/>
      </c>
      <c r="Q1230" s="63">
        <f>IF($A1230="","",IF(COUNTIF(집계!$E$7:$E$506,O1230)&gt;0,"Y","N"))</f>
        <v/>
      </c>
    </row>
    <row r="1231">
      <c r="A1231" s="60" t="n">
        <v>2026</v>
      </c>
      <c r="B1231" s="60" t="n">
        <v>4</v>
      </c>
      <c r="C1231" s="60" t="inlineStr">
        <is>
          <t>1000</t>
        </is>
      </c>
      <c r="D1231" s="60" t="n">
        <v>1601</v>
      </c>
      <c r="E1231" s="60" t="inlineStr">
        <is>
          <t>영업지원-본사</t>
        </is>
      </c>
      <c r="F1231" s="60" t="n">
        <v>63201000</v>
      </c>
      <c r="G1231" s="60" t="inlineStr">
        <is>
          <t>차량유지비</t>
        </is>
      </c>
      <c r="H1231" s="61" t="n">
        <v>6538720</v>
      </c>
      <c r="J1231" s="63">
        <f>IF($A1231="","",IFERROR(INDEX(부서매핑!$C$5:$C$504,MATCH($D1231&amp;"",부서매핑!$A$5:$A$504,0)),"미매핑"))</f>
        <v/>
      </c>
      <c r="K1231" s="63">
        <f>IF($A1231="","",IFERROR(INDEX(계정매핑!$C$5:$C$504,MATCH($F1231&amp;"",계정매핑!$A$5:$A$504,0)),"미매핑"))</f>
        <v/>
      </c>
      <c r="L1231" s="4">
        <f>IF($A1231="","",VALUE($A1231&amp;""))</f>
        <v/>
      </c>
      <c r="M1231" s="4">
        <f>IF($A1231="","",VALUE($B1231&amp;""))</f>
        <v/>
      </c>
      <c r="N1231" s="64">
        <f>IF($A1231="","",$H1231*설정!$C$15)</f>
        <v/>
      </c>
      <c r="O1231" s="4">
        <f>IF($A1231="","",J1231&amp;"|"&amp;K1231)</f>
        <v/>
      </c>
      <c r="P1231" s="63">
        <f>IF($A1231="","",IF(COUNTIFS(예산_원본!$T$5:$T$3004,O1231,예산_원본!$B$5:$B$3004,설정!$C$8,예산_원본!$U$5:$U$3004,L1231)&gt;0,"Y","N"))</f>
        <v/>
      </c>
      <c r="Q1231" s="63">
        <f>IF($A1231="","",IF(COUNTIF(집계!$E$7:$E$506,O1231)&gt;0,"Y","N"))</f>
        <v/>
      </c>
    </row>
    <row r="1232">
      <c r="A1232" s="60" t="n">
        <v>2026</v>
      </c>
      <c r="B1232" s="60" t="n">
        <v>4</v>
      </c>
      <c r="C1232" s="60" t="inlineStr">
        <is>
          <t>1000</t>
        </is>
      </c>
      <c r="D1232" s="60" t="n">
        <v>1602</v>
      </c>
      <c r="E1232" s="60" t="inlineStr">
        <is>
          <t>영업지원-지역본부</t>
        </is>
      </c>
      <c r="F1232" s="60" t="n">
        <v>62101000</v>
      </c>
      <c r="G1232" s="60" t="inlineStr">
        <is>
          <t>여비교통비-국내</t>
        </is>
      </c>
      <c r="H1232" s="61" t="n">
        <v>2810020</v>
      </c>
      <c r="J1232" s="63">
        <f>IF($A1232="","",IFERROR(INDEX(부서매핑!$C$5:$C$504,MATCH($D1232&amp;"",부서매핑!$A$5:$A$504,0)),"미매핑"))</f>
        <v/>
      </c>
      <c r="K1232" s="63">
        <f>IF($A1232="","",IFERROR(INDEX(계정매핑!$C$5:$C$504,MATCH($F1232&amp;"",계정매핑!$A$5:$A$504,0)),"미매핑"))</f>
        <v/>
      </c>
      <c r="L1232" s="4">
        <f>IF($A1232="","",VALUE($A1232&amp;""))</f>
        <v/>
      </c>
      <c r="M1232" s="4">
        <f>IF($A1232="","",VALUE($B1232&amp;""))</f>
        <v/>
      </c>
      <c r="N1232" s="64">
        <f>IF($A1232="","",$H1232*설정!$C$15)</f>
        <v/>
      </c>
      <c r="O1232" s="4">
        <f>IF($A1232="","",J1232&amp;"|"&amp;K1232)</f>
        <v/>
      </c>
      <c r="P1232" s="63">
        <f>IF($A1232="","",IF(COUNTIFS(예산_원본!$T$5:$T$3004,O1232,예산_원본!$B$5:$B$3004,설정!$C$8,예산_원본!$U$5:$U$3004,L1232)&gt;0,"Y","N"))</f>
        <v/>
      </c>
      <c r="Q1232" s="63">
        <f>IF($A1232="","",IF(COUNTIF(집계!$E$7:$E$506,O1232)&gt;0,"Y","N"))</f>
        <v/>
      </c>
    </row>
    <row r="1233">
      <c r="A1233" s="60" t="n">
        <v>2026</v>
      </c>
      <c r="B1233" s="60" t="n">
        <v>4</v>
      </c>
      <c r="C1233" s="60" t="inlineStr">
        <is>
          <t>1000</t>
        </is>
      </c>
      <c r="D1233" s="60" t="n">
        <v>1602</v>
      </c>
      <c r="E1233" s="60" t="inlineStr">
        <is>
          <t>영업지원-지역본부</t>
        </is>
      </c>
      <c r="F1233" s="60" t="n">
        <v>62102000</v>
      </c>
      <c r="G1233" s="60" t="inlineStr">
        <is>
          <t>여비교통비-해외</t>
        </is>
      </c>
      <c r="H1233" s="61" t="n">
        <v>553890</v>
      </c>
      <c r="J1233" s="63">
        <f>IF($A1233="","",IFERROR(INDEX(부서매핑!$C$5:$C$504,MATCH($D1233&amp;"",부서매핑!$A$5:$A$504,0)),"미매핑"))</f>
        <v/>
      </c>
      <c r="K1233" s="63">
        <f>IF($A1233="","",IFERROR(INDEX(계정매핑!$C$5:$C$504,MATCH($F1233&amp;"",계정매핑!$A$5:$A$504,0)),"미매핑"))</f>
        <v/>
      </c>
      <c r="L1233" s="4">
        <f>IF($A1233="","",VALUE($A1233&amp;""))</f>
        <v/>
      </c>
      <c r="M1233" s="4">
        <f>IF($A1233="","",VALUE($B1233&amp;""))</f>
        <v/>
      </c>
      <c r="N1233" s="64">
        <f>IF($A1233="","",$H1233*설정!$C$15)</f>
        <v/>
      </c>
      <c r="O1233" s="4">
        <f>IF($A1233="","",J1233&amp;"|"&amp;K1233)</f>
        <v/>
      </c>
      <c r="P1233" s="63">
        <f>IF($A1233="","",IF(COUNTIFS(예산_원본!$T$5:$T$3004,O1233,예산_원본!$B$5:$B$3004,설정!$C$8,예산_원본!$U$5:$U$3004,L1233)&gt;0,"Y","N"))</f>
        <v/>
      </c>
      <c r="Q1233" s="63">
        <f>IF($A1233="","",IF(COUNTIF(집계!$E$7:$E$506,O1233)&gt;0,"Y","N"))</f>
        <v/>
      </c>
    </row>
    <row r="1234">
      <c r="A1234" s="60" t="n">
        <v>2026</v>
      </c>
      <c r="B1234" s="60" t="n">
        <v>4</v>
      </c>
      <c r="C1234" s="60" t="inlineStr">
        <is>
          <t>1000</t>
        </is>
      </c>
      <c r="D1234" s="60" t="n">
        <v>1602</v>
      </c>
      <c r="E1234" s="60" t="inlineStr">
        <is>
          <t>영업지원-지역본부</t>
        </is>
      </c>
      <c r="F1234" s="60" t="n">
        <v>62201000</v>
      </c>
      <c r="G1234" s="60" t="inlineStr">
        <is>
          <t>통신비</t>
        </is>
      </c>
      <c r="H1234" s="61" t="n">
        <v>834070</v>
      </c>
      <c r="J1234" s="63">
        <f>IF($A1234="","",IFERROR(INDEX(부서매핑!$C$5:$C$504,MATCH($D1234&amp;"",부서매핑!$A$5:$A$504,0)),"미매핑"))</f>
        <v/>
      </c>
      <c r="K1234" s="63">
        <f>IF($A1234="","",IFERROR(INDEX(계정매핑!$C$5:$C$504,MATCH($F1234&amp;"",계정매핑!$A$5:$A$504,0)),"미매핑"))</f>
        <v/>
      </c>
      <c r="L1234" s="4">
        <f>IF($A1234="","",VALUE($A1234&amp;""))</f>
        <v/>
      </c>
      <c r="M1234" s="4">
        <f>IF($A1234="","",VALUE($B1234&amp;""))</f>
        <v/>
      </c>
      <c r="N1234" s="64">
        <f>IF($A1234="","",$H1234*설정!$C$15)</f>
        <v/>
      </c>
      <c r="O1234" s="4">
        <f>IF($A1234="","",J1234&amp;"|"&amp;K1234)</f>
        <v/>
      </c>
      <c r="P1234" s="63">
        <f>IF($A1234="","",IF(COUNTIFS(예산_원본!$T$5:$T$3004,O1234,예산_원본!$B$5:$B$3004,설정!$C$8,예산_원본!$U$5:$U$3004,L1234)&gt;0,"Y","N"))</f>
        <v/>
      </c>
      <c r="Q1234" s="63">
        <f>IF($A1234="","",IF(COUNTIF(집계!$E$7:$E$506,O1234)&gt;0,"Y","N"))</f>
        <v/>
      </c>
    </row>
    <row r="1235">
      <c r="A1235" s="60" t="n">
        <v>2026</v>
      </c>
      <c r="B1235" s="60" t="n">
        <v>4</v>
      </c>
      <c r="C1235" s="60" t="inlineStr">
        <is>
          <t>1000</t>
        </is>
      </c>
      <c r="D1235" s="60" t="n">
        <v>1602</v>
      </c>
      <c r="E1235" s="60" t="inlineStr">
        <is>
          <t>영업지원-지역본부</t>
        </is>
      </c>
      <c r="F1235" s="60" t="n">
        <v>62301000</v>
      </c>
      <c r="G1235" s="60" t="inlineStr">
        <is>
          <t>소모품비</t>
        </is>
      </c>
      <c r="H1235" s="61" t="n">
        <v>600050</v>
      </c>
      <c r="J1235" s="63">
        <f>IF($A1235="","",IFERROR(INDEX(부서매핑!$C$5:$C$504,MATCH($D1235&amp;"",부서매핑!$A$5:$A$504,0)),"미매핑"))</f>
        <v/>
      </c>
      <c r="K1235" s="63">
        <f>IF($A1235="","",IFERROR(INDEX(계정매핑!$C$5:$C$504,MATCH($F1235&amp;"",계정매핑!$A$5:$A$504,0)),"미매핑"))</f>
        <v/>
      </c>
      <c r="L1235" s="4">
        <f>IF($A1235="","",VALUE($A1235&amp;""))</f>
        <v/>
      </c>
      <c r="M1235" s="4">
        <f>IF($A1235="","",VALUE($B1235&amp;""))</f>
        <v/>
      </c>
      <c r="N1235" s="64">
        <f>IF($A1235="","",$H1235*설정!$C$15)</f>
        <v/>
      </c>
      <c r="O1235" s="4">
        <f>IF($A1235="","",J1235&amp;"|"&amp;K1235)</f>
        <v/>
      </c>
      <c r="P1235" s="63">
        <f>IF($A1235="","",IF(COUNTIFS(예산_원본!$T$5:$T$3004,O1235,예산_원본!$B$5:$B$3004,설정!$C$8,예산_원본!$U$5:$U$3004,L1235)&gt;0,"Y","N"))</f>
        <v/>
      </c>
      <c r="Q1235" s="63">
        <f>IF($A1235="","",IF(COUNTIF(집계!$E$7:$E$506,O1235)&gt;0,"Y","N"))</f>
        <v/>
      </c>
    </row>
    <row r="1236">
      <c r="A1236" s="60" t="n">
        <v>2026</v>
      </c>
      <c r="B1236" s="60" t="n">
        <v>4</v>
      </c>
      <c r="C1236" s="60" t="inlineStr">
        <is>
          <t>1000</t>
        </is>
      </c>
      <c r="D1236" s="60" t="n">
        <v>1602</v>
      </c>
      <c r="E1236" s="60" t="inlineStr">
        <is>
          <t>영업지원-지역본부</t>
        </is>
      </c>
      <c r="F1236" s="60" t="n">
        <v>62501000</v>
      </c>
      <c r="G1236" s="60" t="inlineStr">
        <is>
          <t>회의비</t>
        </is>
      </c>
      <c r="H1236" s="61" t="n">
        <v>760220</v>
      </c>
      <c r="J1236" s="63">
        <f>IF($A1236="","",IFERROR(INDEX(부서매핑!$C$5:$C$504,MATCH($D1236&amp;"",부서매핑!$A$5:$A$504,0)),"미매핑"))</f>
        <v/>
      </c>
      <c r="K1236" s="63">
        <f>IF($A1236="","",IFERROR(INDEX(계정매핑!$C$5:$C$504,MATCH($F1236&amp;"",계정매핑!$A$5:$A$504,0)),"미매핑"))</f>
        <v/>
      </c>
      <c r="L1236" s="4">
        <f>IF($A1236="","",VALUE($A1236&amp;""))</f>
        <v/>
      </c>
      <c r="M1236" s="4">
        <f>IF($A1236="","",VALUE($B1236&amp;""))</f>
        <v/>
      </c>
      <c r="N1236" s="64">
        <f>IF($A1236="","",$H1236*설정!$C$15)</f>
        <v/>
      </c>
      <c r="O1236" s="4">
        <f>IF($A1236="","",J1236&amp;"|"&amp;K1236)</f>
        <v/>
      </c>
      <c r="P1236" s="63">
        <f>IF($A1236="","",IF(COUNTIFS(예산_원본!$T$5:$T$3004,O1236,예산_원본!$B$5:$B$3004,설정!$C$8,예산_원본!$U$5:$U$3004,L1236)&gt;0,"Y","N"))</f>
        <v/>
      </c>
      <c r="Q1236" s="63">
        <f>IF($A1236="","",IF(COUNTIF(집계!$E$7:$E$506,O1236)&gt;0,"Y","N"))</f>
        <v/>
      </c>
    </row>
    <row r="1237">
      <c r="A1237" s="60" t="n">
        <v>2026</v>
      </c>
      <c r="B1237" s="60" t="n">
        <v>4</v>
      </c>
      <c r="C1237" s="60" t="inlineStr">
        <is>
          <t>1000</t>
        </is>
      </c>
      <c r="D1237" s="60" t="n">
        <v>1602</v>
      </c>
      <c r="E1237" s="60" t="inlineStr">
        <is>
          <t>영업지원-지역본부</t>
        </is>
      </c>
      <c r="F1237" s="60" t="n">
        <v>62601000</v>
      </c>
      <c r="G1237" s="60" t="inlineStr">
        <is>
          <t>업무추진비</t>
        </is>
      </c>
      <c r="H1237" s="61" t="n">
        <v>1328680</v>
      </c>
      <c r="J1237" s="63">
        <f>IF($A1237="","",IFERROR(INDEX(부서매핑!$C$5:$C$504,MATCH($D1237&amp;"",부서매핑!$A$5:$A$504,0)),"미매핑"))</f>
        <v/>
      </c>
      <c r="K1237" s="63">
        <f>IF($A1237="","",IFERROR(INDEX(계정매핑!$C$5:$C$504,MATCH($F1237&amp;"",계정매핑!$A$5:$A$504,0)),"미매핑"))</f>
        <v/>
      </c>
      <c r="L1237" s="4">
        <f>IF($A1237="","",VALUE($A1237&amp;""))</f>
        <v/>
      </c>
      <c r="M1237" s="4">
        <f>IF($A1237="","",VALUE($B1237&amp;""))</f>
        <v/>
      </c>
      <c r="N1237" s="64">
        <f>IF($A1237="","",$H1237*설정!$C$15)</f>
        <v/>
      </c>
      <c r="O1237" s="4">
        <f>IF($A1237="","",J1237&amp;"|"&amp;K1237)</f>
        <v/>
      </c>
      <c r="P1237" s="63">
        <f>IF($A1237="","",IF(COUNTIFS(예산_원본!$T$5:$T$3004,O1237,예산_원본!$B$5:$B$3004,설정!$C$8,예산_원본!$U$5:$U$3004,L1237)&gt;0,"Y","N"))</f>
        <v/>
      </c>
      <c r="Q1237" s="63">
        <f>IF($A1237="","",IF(COUNTIF(집계!$E$7:$E$506,O1237)&gt;0,"Y","N"))</f>
        <v/>
      </c>
    </row>
    <row r="1238">
      <c r="A1238" s="60" t="n">
        <v>2026</v>
      </c>
      <c r="B1238" s="60" t="n">
        <v>4</v>
      </c>
      <c r="C1238" s="60" t="inlineStr">
        <is>
          <t>1000</t>
        </is>
      </c>
      <c r="D1238" s="60" t="n">
        <v>1602</v>
      </c>
      <c r="E1238" s="60" t="inlineStr">
        <is>
          <t>영업지원-지역본부</t>
        </is>
      </c>
      <c r="F1238" s="60" t="n">
        <v>63101000</v>
      </c>
      <c r="G1238" s="60" t="inlineStr">
        <is>
          <t>임차료</t>
        </is>
      </c>
      <c r="H1238" s="61" t="n">
        <v>8220550</v>
      </c>
      <c r="J1238" s="63">
        <f>IF($A1238="","",IFERROR(INDEX(부서매핑!$C$5:$C$504,MATCH($D1238&amp;"",부서매핑!$A$5:$A$504,0)),"미매핑"))</f>
        <v/>
      </c>
      <c r="K1238" s="63">
        <f>IF($A1238="","",IFERROR(INDEX(계정매핑!$C$5:$C$504,MATCH($F1238&amp;"",계정매핑!$A$5:$A$504,0)),"미매핑"))</f>
        <v/>
      </c>
      <c r="L1238" s="4">
        <f>IF($A1238="","",VALUE($A1238&amp;""))</f>
        <v/>
      </c>
      <c r="M1238" s="4">
        <f>IF($A1238="","",VALUE($B1238&amp;""))</f>
        <v/>
      </c>
      <c r="N1238" s="64">
        <f>IF($A1238="","",$H1238*설정!$C$15)</f>
        <v/>
      </c>
      <c r="O1238" s="4">
        <f>IF($A1238="","",J1238&amp;"|"&amp;K1238)</f>
        <v/>
      </c>
      <c r="P1238" s="63">
        <f>IF($A1238="","",IF(COUNTIFS(예산_원본!$T$5:$T$3004,O1238,예산_원본!$B$5:$B$3004,설정!$C$8,예산_원본!$U$5:$U$3004,L1238)&gt;0,"Y","N"))</f>
        <v/>
      </c>
      <c r="Q1238" s="63">
        <f>IF($A1238="","",IF(COUNTIF(집계!$E$7:$E$506,O1238)&gt;0,"Y","N"))</f>
        <v/>
      </c>
    </row>
    <row r="1239">
      <c r="A1239" s="60" t="n">
        <v>2026</v>
      </c>
      <c r="B1239" s="60" t="n">
        <v>4</v>
      </c>
      <c r="C1239" s="60" t="inlineStr">
        <is>
          <t>1000</t>
        </is>
      </c>
      <c r="D1239" s="60" t="n">
        <v>1602</v>
      </c>
      <c r="E1239" s="60" t="inlineStr">
        <is>
          <t>영업지원-지역본부</t>
        </is>
      </c>
      <c r="F1239" s="60" t="n">
        <v>63201000</v>
      </c>
      <c r="G1239" s="60" t="inlineStr">
        <is>
          <t>차량유지비</t>
        </is>
      </c>
      <c r="H1239" s="61" t="n">
        <v>5035030</v>
      </c>
      <c r="J1239" s="63">
        <f>IF($A1239="","",IFERROR(INDEX(부서매핑!$C$5:$C$504,MATCH($D1239&amp;"",부서매핑!$A$5:$A$504,0)),"미매핑"))</f>
        <v/>
      </c>
      <c r="K1239" s="63">
        <f>IF($A1239="","",IFERROR(INDEX(계정매핑!$C$5:$C$504,MATCH($F1239&amp;"",계정매핑!$A$5:$A$504,0)),"미매핑"))</f>
        <v/>
      </c>
      <c r="L1239" s="4">
        <f>IF($A1239="","",VALUE($A1239&amp;""))</f>
        <v/>
      </c>
      <c r="M1239" s="4">
        <f>IF($A1239="","",VALUE($B1239&amp;""))</f>
        <v/>
      </c>
      <c r="N1239" s="64">
        <f>IF($A1239="","",$H1239*설정!$C$15)</f>
        <v/>
      </c>
      <c r="O1239" s="4">
        <f>IF($A1239="","",J1239&amp;"|"&amp;K1239)</f>
        <v/>
      </c>
      <c r="P1239" s="63">
        <f>IF($A1239="","",IF(COUNTIFS(예산_원본!$T$5:$T$3004,O1239,예산_원본!$B$5:$B$3004,설정!$C$8,예산_원본!$U$5:$U$3004,L1239)&gt;0,"Y","N"))</f>
        <v/>
      </c>
      <c r="Q1239" s="63">
        <f>IF($A1239="","",IF(COUNTIF(집계!$E$7:$E$506,O1239)&gt;0,"Y","N"))</f>
        <v/>
      </c>
    </row>
    <row r="1240">
      <c r="A1240" s="60" t="n">
        <v>2026</v>
      </c>
      <c r="B1240" s="60" t="n">
        <v>4</v>
      </c>
      <c r="C1240" s="60" t="inlineStr">
        <is>
          <t>1000</t>
        </is>
      </c>
      <c r="D1240" s="60" t="n">
        <v>1701</v>
      </c>
      <c r="E1240" s="60" t="inlineStr">
        <is>
          <t>IT운영</t>
        </is>
      </c>
      <c r="F1240" s="60" t="n">
        <v>62101000</v>
      </c>
      <c r="G1240" s="60" t="inlineStr">
        <is>
          <t>여비교통비-국내</t>
        </is>
      </c>
      <c r="H1240" s="61" t="n">
        <v>1118170</v>
      </c>
      <c r="J1240" s="63">
        <f>IF($A1240="","",IFERROR(INDEX(부서매핑!$C$5:$C$504,MATCH($D1240&amp;"",부서매핑!$A$5:$A$504,0)),"미매핑"))</f>
        <v/>
      </c>
      <c r="K1240" s="63">
        <f>IF($A1240="","",IFERROR(INDEX(계정매핑!$C$5:$C$504,MATCH($F1240&amp;"",계정매핑!$A$5:$A$504,0)),"미매핑"))</f>
        <v/>
      </c>
      <c r="L1240" s="4">
        <f>IF($A1240="","",VALUE($A1240&amp;""))</f>
        <v/>
      </c>
      <c r="M1240" s="4">
        <f>IF($A1240="","",VALUE($B1240&amp;""))</f>
        <v/>
      </c>
      <c r="N1240" s="64">
        <f>IF($A1240="","",$H1240*설정!$C$15)</f>
        <v/>
      </c>
      <c r="O1240" s="4">
        <f>IF($A1240="","",J1240&amp;"|"&amp;K1240)</f>
        <v/>
      </c>
      <c r="P1240" s="63">
        <f>IF($A1240="","",IF(COUNTIFS(예산_원본!$T$5:$T$3004,O1240,예산_원본!$B$5:$B$3004,설정!$C$8,예산_원본!$U$5:$U$3004,L1240)&gt;0,"Y","N"))</f>
        <v/>
      </c>
      <c r="Q1240" s="63">
        <f>IF($A1240="","",IF(COUNTIF(집계!$E$7:$E$506,O1240)&gt;0,"Y","N"))</f>
        <v/>
      </c>
    </row>
    <row r="1241">
      <c r="A1241" s="60" t="n">
        <v>2026</v>
      </c>
      <c r="B1241" s="60" t="n">
        <v>4</v>
      </c>
      <c r="C1241" s="60" t="inlineStr">
        <is>
          <t>1000</t>
        </is>
      </c>
      <c r="D1241" s="60" t="n">
        <v>1701</v>
      </c>
      <c r="E1241" s="60" t="inlineStr">
        <is>
          <t>IT운영</t>
        </is>
      </c>
      <c r="F1241" s="60" t="n">
        <v>62102000</v>
      </c>
      <c r="G1241" s="60" t="inlineStr">
        <is>
          <t>여비교통비-해외</t>
        </is>
      </c>
      <c r="H1241" s="61" t="n">
        <v>211960</v>
      </c>
      <c r="J1241" s="63">
        <f>IF($A1241="","",IFERROR(INDEX(부서매핑!$C$5:$C$504,MATCH($D1241&amp;"",부서매핑!$A$5:$A$504,0)),"미매핑"))</f>
        <v/>
      </c>
      <c r="K1241" s="63">
        <f>IF($A1241="","",IFERROR(INDEX(계정매핑!$C$5:$C$504,MATCH($F1241&amp;"",계정매핑!$A$5:$A$504,0)),"미매핑"))</f>
        <v/>
      </c>
      <c r="L1241" s="4">
        <f>IF($A1241="","",VALUE($A1241&amp;""))</f>
        <v/>
      </c>
      <c r="M1241" s="4">
        <f>IF($A1241="","",VALUE($B1241&amp;""))</f>
        <v/>
      </c>
      <c r="N1241" s="64">
        <f>IF($A1241="","",$H1241*설정!$C$15)</f>
        <v/>
      </c>
      <c r="O1241" s="4">
        <f>IF($A1241="","",J1241&amp;"|"&amp;K1241)</f>
        <v/>
      </c>
      <c r="P1241" s="63">
        <f>IF($A1241="","",IF(COUNTIFS(예산_원본!$T$5:$T$3004,O1241,예산_원본!$B$5:$B$3004,설정!$C$8,예산_원본!$U$5:$U$3004,L1241)&gt;0,"Y","N"))</f>
        <v/>
      </c>
      <c r="Q1241" s="63">
        <f>IF($A1241="","",IF(COUNTIF(집계!$E$7:$E$506,O1241)&gt;0,"Y","N"))</f>
        <v/>
      </c>
    </row>
    <row r="1242">
      <c r="A1242" s="60" t="n">
        <v>2026</v>
      </c>
      <c r="B1242" s="60" t="n">
        <v>4</v>
      </c>
      <c r="C1242" s="60" t="inlineStr">
        <is>
          <t>1000</t>
        </is>
      </c>
      <c r="D1242" s="60" t="n">
        <v>1701</v>
      </c>
      <c r="E1242" s="60" t="inlineStr">
        <is>
          <t>IT운영</t>
        </is>
      </c>
      <c r="F1242" s="60" t="n">
        <v>62201000</v>
      </c>
      <c r="G1242" s="60" t="inlineStr">
        <is>
          <t>통신비</t>
        </is>
      </c>
      <c r="H1242" s="61" t="n">
        <v>14436910</v>
      </c>
      <c r="J1242" s="63">
        <f>IF($A1242="","",IFERROR(INDEX(부서매핑!$C$5:$C$504,MATCH($D1242&amp;"",부서매핑!$A$5:$A$504,0)),"미매핑"))</f>
        <v/>
      </c>
      <c r="K1242" s="63">
        <f>IF($A1242="","",IFERROR(INDEX(계정매핑!$C$5:$C$504,MATCH($F1242&amp;"",계정매핑!$A$5:$A$504,0)),"미매핑"))</f>
        <v/>
      </c>
      <c r="L1242" s="4">
        <f>IF($A1242="","",VALUE($A1242&amp;""))</f>
        <v/>
      </c>
      <c r="M1242" s="4">
        <f>IF($A1242="","",VALUE($B1242&amp;""))</f>
        <v/>
      </c>
      <c r="N1242" s="64">
        <f>IF($A1242="","",$H1242*설정!$C$15)</f>
        <v/>
      </c>
      <c r="O1242" s="4">
        <f>IF($A1242="","",J1242&amp;"|"&amp;K1242)</f>
        <v/>
      </c>
      <c r="P1242" s="63">
        <f>IF($A1242="","",IF(COUNTIFS(예산_원본!$T$5:$T$3004,O1242,예산_원본!$B$5:$B$3004,설정!$C$8,예산_원본!$U$5:$U$3004,L1242)&gt;0,"Y","N"))</f>
        <v/>
      </c>
      <c r="Q1242" s="63">
        <f>IF($A1242="","",IF(COUNTIF(집계!$E$7:$E$506,O1242)&gt;0,"Y","N"))</f>
        <v/>
      </c>
    </row>
    <row r="1243">
      <c r="A1243" s="60" t="n">
        <v>2026</v>
      </c>
      <c r="B1243" s="60" t="n">
        <v>4</v>
      </c>
      <c r="C1243" s="60" t="inlineStr">
        <is>
          <t>1000</t>
        </is>
      </c>
      <c r="D1243" s="60" t="n">
        <v>1701</v>
      </c>
      <c r="E1243" s="60" t="inlineStr">
        <is>
          <t>IT운영</t>
        </is>
      </c>
      <c r="F1243" s="60" t="n">
        <v>62301000</v>
      </c>
      <c r="G1243" s="60" t="inlineStr">
        <is>
          <t>소모품비</t>
        </is>
      </c>
      <c r="H1243" s="61" t="n">
        <v>983570</v>
      </c>
      <c r="J1243" s="63">
        <f>IF($A1243="","",IFERROR(INDEX(부서매핑!$C$5:$C$504,MATCH($D1243&amp;"",부서매핑!$A$5:$A$504,0)),"미매핑"))</f>
        <v/>
      </c>
      <c r="K1243" s="63">
        <f>IF($A1243="","",IFERROR(INDEX(계정매핑!$C$5:$C$504,MATCH($F1243&amp;"",계정매핑!$A$5:$A$504,0)),"미매핑"))</f>
        <v/>
      </c>
      <c r="L1243" s="4">
        <f>IF($A1243="","",VALUE($A1243&amp;""))</f>
        <v/>
      </c>
      <c r="M1243" s="4">
        <f>IF($A1243="","",VALUE($B1243&amp;""))</f>
        <v/>
      </c>
      <c r="N1243" s="64">
        <f>IF($A1243="","",$H1243*설정!$C$15)</f>
        <v/>
      </c>
      <c r="O1243" s="4">
        <f>IF($A1243="","",J1243&amp;"|"&amp;K1243)</f>
        <v/>
      </c>
      <c r="P1243" s="63">
        <f>IF($A1243="","",IF(COUNTIFS(예산_원본!$T$5:$T$3004,O1243,예산_원본!$B$5:$B$3004,설정!$C$8,예산_원본!$U$5:$U$3004,L1243)&gt;0,"Y","N"))</f>
        <v/>
      </c>
      <c r="Q1243" s="63">
        <f>IF($A1243="","",IF(COUNTIF(집계!$E$7:$E$506,O1243)&gt;0,"Y","N"))</f>
        <v/>
      </c>
    </row>
    <row r="1244">
      <c r="A1244" s="60" t="n">
        <v>2026</v>
      </c>
      <c r="B1244" s="60" t="n">
        <v>4</v>
      </c>
      <c r="C1244" s="60" t="inlineStr">
        <is>
          <t>1000</t>
        </is>
      </c>
      <c r="D1244" s="60" t="n">
        <v>1701</v>
      </c>
      <c r="E1244" s="60" t="inlineStr">
        <is>
          <t>IT운영</t>
        </is>
      </c>
      <c r="F1244" s="60" t="n">
        <v>62501000</v>
      </c>
      <c r="G1244" s="60" t="inlineStr">
        <is>
          <t>회의비</t>
        </is>
      </c>
      <c r="H1244" s="61" t="n">
        <v>371640</v>
      </c>
      <c r="J1244" s="63">
        <f>IF($A1244="","",IFERROR(INDEX(부서매핑!$C$5:$C$504,MATCH($D1244&amp;"",부서매핑!$A$5:$A$504,0)),"미매핑"))</f>
        <v/>
      </c>
      <c r="K1244" s="63">
        <f>IF($A1244="","",IFERROR(INDEX(계정매핑!$C$5:$C$504,MATCH($F1244&amp;"",계정매핑!$A$5:$A$504,0)),"미매핑"))</f>
        <v/>
      </c>
      <c r="L1244" s="4">
        <f>IF($A1244="","",VALUE($A1244&amp;""))</f>
        <v/>
      </c>
      <c r="M1244" s="4">
        <f>IF($A1244="","",VALUE($B1244&amp;""))</f>
        <v/>
      </c>
      <c r="N1244" s="64">
        <f>IF($A1244="","",$H1244*설정!$C$15)</f>
        <v/>
      </c>
      <c r="O1244" s="4">
        <f>IF($A1244="","",J1244&amp;"|"&amp;K1244)</f>
        <v/>
      </c>
      <c r="P1244" s="63">
        <f>IF($A1244="","",IF(COUNTIFS(예산_원본!$T$5:$T$3004,O1244,예산_원본!$B$5:$B$3004,설정!$C$8,예산_원본!$U$5:$U$3004,L1244)&gt;0,"Y","N"))</f>
        <v/>
      </c>
      <c r="Q1244" s="63">
        <f>IF($A1244="","",IF(COUNTIF(집계!$E$7:$E$506,O1244)&gt;0,"Y","N"))</f>
        <v/>
      </c>
    </row>
    <row r="1245">
      <c r="A1245" s="60" t="n">
        <v>2026</v>
      </c>
      <c r="B1245" s="60" t="n">
        <v>4</v>
      </c>
      <c r="C1245" s="60" t="inlineStr">
        <is>
          <t>1000</t>
        </is>
      </c>
      <c r="D1245" s="60" t="n">
        <v>1701</v>
      </c>
      <c r="E1245" s="60" t="inlineStr">
        <is>
          <t>IT운영</t>
        </is>
      </c>
      <c r="F1245" s="60" t="n">
        <v>63001000</v>
      </c>
      <c r="G1245" s="60" t="inlineStr">
        <is>
          <t>전산운영비-SW유지보수</t>
        </is>
      </c>
      <c r="H1245" s="61" t="n">
        <v>127872450</v>
      </c>
      <c r="J1245" s="63">
        <f>IF($A1245="","",IFERROR(INDEX(부서매핑!$C$5:$C$504,MATCH($D1245&amp;"",부서매핑!$A$5:$A$504,0)),"미매핑"))</f>
        <v/>
      </c>
      <c r="K1245" s="63">
        <f>IF($A1245="","",IFERROR(INDEX(계정매핑!$C$5:$C$504,MATCH($F1245&amp;"",계정매핑!$A$5:$A$504,0)),"미매핑"))</f>
        <v/>
      </c>
      <c r="L1245" s="4">
        <f>IF($A1245="","",VALUE($A1245&amp;""))</f>
        <v/>
      </c>
      <c r="M1245" s="4">
        <f>IF($A1245="","",VALUE($B1245&amp;""))</f>
        <v/>
      </c>
      <c r="N1245" s="64">
        <f>IF($A1245="","",$H1245*설정!$C$15)</f>
        <v/>
      </c>
      <c r="O1245" s="4">
        <f>IF($A1245="","",J1245&amp;"|"&amp;K1245)</f>
        <v/>
      </c>
      <c r="P1245" s="63">
        <f>IF($A1245="","",IF(COUNTIFS(예산_원본!$T$5:$T$3004,O1245,예산_원본!$B$5:$B$3004,설정!$C$8,예산_원본!$U$5:$U$3004,L1245)&gt;0,"Y","N"))</f>
        <v/>
      </c>
      <c r="Q1245" s="63">
        <f>IF($A1245="","",IF(COUNTIF(집계!$E$7:$E$506,O1245)&gt;0,"Y","N"))</f>
        <v/>
      </c>
    </row>
    <row r="1246">
      <c r="A1246" s="60" t="n">
        <v>2026</v>
      </c>
      <c r="B1246" s="60" t="n">
        <v>4</v>
      </c>
      <c r="C1246" s="60" t="inlineStr">
        <is>
          <t>1000</t>
        </is>
      </c>
      <c r="D1246" s="60" t="n">
        <v>1701</v>
      </c>
      <c r="E1246" s="60" t="inlineStr">
        <is>
          <t>IT운영</t>
        </is>
      </c>
      <c r="F1246" s="60" t="n">
        <v>63002000</v>
      </c>
      <c r="G1246" s="60" t="inlineStr">
        <is>
          <t>전산운영비-클라우드</t>
        </is>
      </c>
      <c r="H1246" s="61" t="n">
        <v>115007120</v>
      </c>
      <c r="J1246" s="63">
        <f>IF($A1246="","",IFERROR(INDEX(부서매핑!$C$5:$C$504,MATCH($D1246&amp;"",부서매핑!$A$5:$A$504,0)),"미매핑"))</f>
        <v/>
      </c>
      <c r="K1246" s="63">
        <f>IF($A1246="","",IFERROR(INDEX(계정매핑!$C$5:$C$504,MATCH($F1246&amp;"",계정매핑!$A$5:$A$504,0)),"미매핑"))</f>
        <v/>
      </c>
      <c r="L1246" s="4">
        <f>IF($A1246="","",VALUE($A1246&amp;""))</f>
        <v/>
      </c>
      <c r="M1246" s="4">
        <f>IF($A1246="","",VALUE($B1246&amp;""))</f>
        <v/>
      </c>
      <c r="N1246" s="64">
        <f>IF($A1246="","",$H1246*설정!$C$15)</f>
        <v/>
      </c>
      <c r="O1246" s="4">
        <f>IF($A1246="","",J1246&amp;"|"&amp;K1246)</f>
        <v/>
      </c>
      <c r="P1246" s="63">
        <f>IF($A1246="","",IF(COUNTIFS(예산_원본!$T$5:$T$3004,O1246,예산_원본!$B$5:$B$3004,설정!$C$8,예산_원본!$U$5:$U$3004,L1246)&gt;0,"Y","N"))</f>
        <v/>
      </c>
      <c r="Q1246" s="63">
        <f>IF($A1246="","",IF(COUNTIF(집계!$E$7:$E$506,O1246)&gt;0,"Y","N"))</f>
        <v/>
      </c>
    </row>
    <row r="1247">
      <c r="A1247" s="60" t="n">
        <v>2026</v>
      </c>
      <c r="B1247" s="60" t="n">
        <v>4</v>
      </c>
      <c r="C1247" s="60" t="inlineStr">
        <is>
          <t>1000</t>
        </is>
      </c>
      <c r="D1247" s="60" t="n">
        <v>1801</v>
      </c>
      <c r="E1247" s="60" t="inlineStr">
        <is>
          <t>고객서비스</t>
        </is>
      </c>
      <c r="F1247" s="60" t="n">
        <v>62101000</v>
      </c>
      <c r="G1247" s="60" t="inlineStr">
        <is>
          <t>여비교통비-국내</t>
        </is>
      </c>
      <c r="H1247" s="61" t="n">
        <v>828650</v>
      </c>
      <c r="J1247" s="63">
        <f>IF($A1247="","",IFERROR(INDEX(부서매핑!$C$5:$C$504,MATCH($D1247&amp;"",부서매핑!$A$5:$A$504,0)),"미매핑"))</f>
        <v/>
      </c>
      <c r="K1247" s="63">
        <f>IF($A1247="","",IFERROR(INDEX(계정매핑!$C$5:$C$504,MATCH($F1247&amp;"",계정매핑!$A$5:$A$504,0)),"미매핑"))</f>
        <v/>
      </c>
      <c r="L1247" s="4">
        <f>IF($A1247="","",VALUE($A1247&amp;""))</f>
        <v/>
      </c>
      <c r="M1247" s="4">
        <f>IF($A1247="","",VALUE($B1247&amp;""))</f>
        <v/>
      </c>
      <c r="N1247" s="64">
        <f>IF($A1247="","",$H1247*설정!$C$15)</f>
        <v/>
      </c>
      <c r="O1247" s="4">
        <f>IF($A1247="","",J1247&amp;"|"&amp;K1247)</f>
        <v/>
      </c>
      <c r="P1247" s="63">
        <f>IF($A1247="","",IF(COUNTIFS(예산_원본!$T$5:$T$3004,O1247,예산_원본!$B$5:$B$3004,설정!$C$8,예산_원본!$U$5:$U$3004,L1247)&gt;0,"Y","N"))</f>
        <v/>
      </c>
      <c r="Q1247" s="63">
        <f>IF($A1247="","",IF(COUNTIF(집계!$E$7:$E$506,O1247)&gt;0,"Y","N"))</f>
        <v/>
      </c>
    </row>
    <row r="1248">
      <c r="A1248" s="60" t="n">
        <v>2026</v>
      </c>
      <c r="B1248" s="60" t="n">
        <v>4</v>
      </c>
      <c r="C1248" s="60" t="inlineStr">
        <is>
          <t>1000</t>
        </is>
      </c>
      <c r="D1248" s="60" t="n">
        <v>1801</v>
      </c>
      <c r="E1248" s="60" t="inlineStr">
        <is>
          <t>고객서비스</t>
        </is>
      </c>
      <c r="F1248" s="60" t="n">
        <v>62102000</v>
      </c>
      <c r="G1248" s="60" t="inlineStr">
        <is>
          <t>여비교통비-해외</t>
        </is>
      </c>
      <c r="H1248" s="61" t="n">
        <v>141930</v>
      </c>
      <c r="J1248" s="63">
        <f>IF($A1248="","",IFERROR(INDEX(부서매핑!$C$5:$C$504,MATCH($D1248&amp;"",부서매핑!$A$5:$A$504,0)),"미매핑"))</f>
        <v/>
      </c>
      <c r="K1248" s="63">
        <f>IF($A1248="","",IFERROR(INDEX(계정매핑!$C$5:$C$504,MATCH($F1248&amp;"",계정매핑!$A$5:$A$504,0)),"미매핑"))</f>
        <v/>
      </c>
      <c r="L1248" s="4">
        <f>IF($A1248="","",VALUE($A1248&amp;""))</f>
        <v/>
      </c>
      <c r="M1248" s="4">
        <f>IF($A1248="","",VALUE($B1248&amp;""))</f>
        <v/>
      </c>
      <c r="N1248" s="64">
        <f>IF($A1248="","",$H1248*설정!$C$15)</f>
        <v/>
      </c>
      <c r="O1248" s="4">
        <f>IF($A1248="","",J1248&amp;"|"&amp;K1248)</f>
        <v/>
      </c>
      <c r="P1248" s="63">
        <f>IF($A1248="","",IF(COUNTIFS(예산_원본!$T$5:$T$3004,O1248,예산_원본!$B$5:$B$3004,설정!$C$8,예산_원본!$U$5:$U$3004,L1248)&gt;0,"Y","N"))</f>
        <v/>
      </c>
      <c r="Q1248" s="63">
        <f>IF($A1248="","",IF(COUNTIF(집계!$E$7:$E$506,O1248)&gt;0,"Y","N"))</f>
        <v/>
      </c>
    </row>
    <row r="1249">
      <c r="A1249" s="60" t="n">
        <v>2026</v>
      </c>
      <c r="B1249" s="60" t="n">
        <v>4</v>
      </c>
      <c r="C1249" s="60" t="inlineStr">
        <is>
          <t>1000</t>
        </is>
      </c>
      <c r="D1249" s="60" t="n">
        <v>1801</v>
      </c>
      <c r="E1249" s="60" t="inlineStr">
        <is>
          <t>고객서비스</t>
        </is>
      </c>
      <c r="F1249" s="60" t="n">
        <v>62201000</v>
      </c>
      <c r="G1249" s="60" t="inlineStr">
        <is>
          <t>통신비</t>
        </is>
      </c>
      <c r="H1249" s="61" t="n">
        <v>17566440</v>
      </c>
      <c r="J1249" s="63">
        <f>IF($A1249="","",IFERROR(INDEX(부서매핑!$C$5:$C$504,MATCH($D1249&amp;"",부서매핑!$A$5:$A$504,0)),"미매핑"))</f>
        <v/>
      </c>
      <c r="K1249" s="63">
        <f>IF($A1249="","",IFERROR(INDEX(계정매핑!$C$5:$C$504,MATCH($F1249&amp;"",계정매핑!$A$5:$A$504,0)),"미매핑"))</f>
        <v/>
      </c>
      <c r="L1249" s="4">
        <f>IF($A1249="","",VALUE($A1249&amp;""))</f>
        <v/>
      </c>
      <c r="M1249" s="4">
        <f>IF($A1249="","",VALUE($B1249&amp;""))</f>
        <v/>
      </c>
      <c r="N1249" s="64">
        <f>IF($A1249="","",$H1249*설정!$C$15)</f>
        <v/>
      </c>
      <c r="O1249" s="4">
        <f>IF($A1249="","",J1249&amp;"|"&amp;K1249)</f>
        <v/>
      </c>
      <c r="P1249" s="63">
        <f>IF($A1249="","",IF(COUNTIFS(예산_원본!$T$5:$T$3004,O1249,예산_원본!$B$5:$B$3004,설정!$C$8,예산_원본!$U$5:$U$3004,L1249)&gt;0,"Y","N"))</f>
        <v/>
      </c>
      <c r="Q1249" s="63">
        <f>IF($A1249="","",IF(COUNTIF(집계!$E$7:$E$506,O1249)&gt;0,"Y","N"))</f>
        <v/>
      </c>
    </row>
    <row r="1250">
      <c r="A1250" s="60" t="n">
        <v>2026</v>
      </c>
      <c r="B1250" s="60" t="n">
        <v>4</v>
      </c>
      <c r="C1250" s="60" t="inlineStr">
        <is>
          <t>1000</t>
        </is>
      </c>
      <c r="D1250" s="60" t="n">
        <v>1801</v>
      </c>
      <c r="E1250" s="60" t="inlineStr">
        <is>
          <t>고객서비스</t>
        </is>
      </c>
      <c r="F1250" s="60" t="n">
        <v>62301000</v>
      </c>
      <c r="G1250" s="60" t="inlineStr">
        <is>
          <t>소모품비</t>
        </is>
      </c>
      <c r="H1250" s="61" t="n">
        <v>1296560</v>
      </c>
      <c r="J1250" s="63">
        <f>IF($A1250="","",IFERROR(INDEX(부서매핑!$C$5:$C$504,MATCH($D1250&amp;"",부서매핑!$A$5:$A$504,0)),"미매핑"))</f>
        <v/>
      </c>
      <c r="K1250" s="63">
        <f>IF($A1250="","",IFERROR(INDEX(계정매핑!$C$5:$C$504,MATCH($F1250&amp;"",계정매핑!$A$5:$A$504,0)),"미매핑"))</f>
        <v/>
      </c>
      <c r="L1250" s="4">
        <f>IF($A1250="","",VALUE($A1250&amp;""))</f>
        <v/>
      </c>
      <c r="M1250" s="4">
        <f>IF($A1250="","",VALUE($B1250&amp;""))</f>
        <v/>
      </c>
      <c r="N1250" s="64">
        <f>IF($A1250="","",$H1250*설정!$C$15)</f>
        <v/>
      </c>
      <c r="O1250" s="4">
        <f>IF($A1250="","",J1250&amp;"|"&amp;K1250)</f>
        <v/>
      </c>
      <c r="P1250" s="63">
        <f>IF($A1250="","",IF(COUNTIFS(예산_원본!$T$5:$T$3004,O1250,예산_원본!$B$5:$B$3004,설정!$C$8,예산_원본!$U$5:$U$3004,L1250)&gt;0,"Y","N"))</f>
        <v/>
      </c>
      <c r="Q1250" s="63">
        <f>IF($A1250="","",IF(COUNTIF(집계!$E$7:$E$506,O1250)&gt;0,"Y","N"))</f>
        <v/>
      </c>
    </row>
    <row r="1251">
      <c r="A1251" s="60" t="n">
        <v>2026</v>
      </c>
      <c r="B1251" s="60" t="n">
        <v>4</v>
      </c>
      <c r="C1251" s="60" t="inlineStr">
        <is>
          <t>1000</t>
        </is>
      </c>
      <c r="D1251" s="60" t="n">
        <v>1801</v>
      </c>
      <c r="E1251" s="60" t="inlineStr">
        <is>
          <t>고객서비스</t>
        </is>
      </c>
      <c r="F1251" s="60" t="n">
        <v>62401000</v>
      </c>
      <c r="G1251" s="60" t="inlineStr">
        <is>
          <t>도서인쇄비</t>
        </is>
      </c>
      <c r="H1251" s="61" t="n">
        <v>8452550</v>
      </c>
      <c r="J1251" s="63">
        <f>IF($A1251="","",IFERROR(INDEX(부서매핑!$C$5:$C$504,MATCH($D1251&amp;"",부서매핑!$A$5:$A$504,0)),"미매핑"))</f>
        <v/>
      </c>
      <c r="K1251" s="63">
        <f>IF($A1251="","",IFERROR(INDEX(계정매핑!$C$5:$C$504,MATCH($F1251&amp;"",계정매핑!$A$5:$A$504,0)),"미매핑"))</f>
        <v/>
      </c>
      <c r="L1251" s="4">
        <f>IF($A1251="","",VALUE($A1251&amp;""))</f>
        <v/>
      </c>
      <c r="M1251" s="4">
        <f>IF($A1251="","",VALUE($B1251&amp;""))</f>
        <v/>
      </c>
      <c r="N1251" s="64">
        <f>IF($A1251="","",$H1251*설정!$C$15)</f>
        <v/>
      </c>
      <c r="O1251" s="4">
        <f>IF($A1251="","",J1251&amp;"|"&amp;K1251)</f>
        <v/>
      </c>
      <c r="P1251" s="63">
        <f>IF($A1251="","",IF(COUNTIFS(예산_원본!$T$5:$T$3004,O1251,예산_원본!$B$5:$B$3004,설정!$C$8,예산_원본!$U$5:$U$3004,L1251)&gt;0,"Y","N"))</f>
        <v/>
      </c>
      <c r="Q1251" s="63">
        <f>IF($A1251="","",IF(COUNTIF(집계!$E$7:$E$506,O1251)&gt;0,"Y","N"))</f>
        <v/>
      </c>
    </row>
    <row r="1252">
      <c r="A1252" s="60" t="n">
        <v>2026</v>
      </c>
      <c r="B1252" s="60" t="n">
        <v>4</v>
      </c>
      <c r="C1252" s="60" t="inlineStr">
        <is>
          <t>1000</t>
        </is>
      </c>
      <c r="D1252" s="60" t="n">
        <v>1801</v>
      </c>
      <c r="E1252" s="60" t="inlineStr">
        <is>
          <t>고객서비스</t>
        </is>
      </c>
      <c r="F1252" s="60" t="n">
        <v>62501000</v>
      </c>
      <c r="G1252" s="60" t="inlineStr">
        <is>
          <t>회의비</t>
        </is>
      </c>
      <c r="H1252" s="61" t="n">
        <v>378780</v>
      </c>
      <c r="J1252" s="63">
        <f>IF($A1252="","",IFERROR(INDEX(부서매핑!$C$5:$C$504,MATCH($D1252&amp;"",부서매핑!$A$5:$A$504,0)),"미매핑"))</f>
        <v/>
      </c>
      <c r="K1252" s="63">
        <f>IF($A1252="","",IFERROR(INDEX(계정매핑!$C$5:$C$504,MATCH($F1252&amp;"",계정매핑!$A$5:$A$504,0)),"미매핑"))</f>
        <v/>
      </c>
      <c r="L1252" s="4">
        <f>IF($A1252="","",VALUE($A1252&amp;""))</f>
        <v/>
      </c>
      <c r="M1252" s="4">
        <f>IF($A1252="","",VALUE($B1252&amp;""))</f>
        <v/>
      </c>
      <c r="N1252" s="64">
        <f>IF($A1252="","",$H1252*설정!$C$15)</f>
        <v/>
      </c>
      <c r="O1252" s="4">
        <f>IF($A1252="","",J1252&amp;"|"&amp;K1252)</f>
        <v/>
      </c>
      <c r="P1252" s="63">
        <f>IF($A1252="","",IF(COUNTIFS(예산_원본!$T$5:$T$3004,O1252,예산_원본!$B$5:$B$3004,설정!$C$8,예산_원본!$U$5:$U$3004,L1252)&gt;0,"Y","N"))</f>
        <v/>
      </c>
      <c r="Q1252" s="63">
        <f>IF($A1252="","",IF(COUNTIF(집계!$E$7:$E$506,O1252)&gt;0,"Y","N"))</f>
        <v/>
      </c>
    </row>
    <row r="1253">
      <c r="A1253" s="60" t="n">
        <v>2026</v>
      </c>
      <c r="B1253" s="60" t="n">
        <v>4</v>
      </c>
      <c r="C1253" s="60" t="inlineStr">
        <is>
          <t>1000</t>
        </is>
      </c>
      <c r="D1253" s="60" t="n">
        <v>1801</v>
      </c>
      <c r="E1253" s="60" t="inlineStr">
        <is>
          <t>고객서비스</t>
        </is>
      </c>
      <c r="F1253" s="60" t="n">
        <v>62901000</v>
      </c>
      <c r="G1253" s="60" t="inlineStr">
        <is>
          <t>지급수수료-컨설팅</t>
        </is>
      </c>
      <c r="H1253" s="61" t="n">
        <v>33571970</v>
      </c>
      <c r="J1253" s="63">
        <f>IF($A1253="","",IFERROR(INDEX(부서매핑!$C$5:$C$504,MATCH($D1253&amp;"",부서매핑!$A$5:$A$504,0)),"미매핑"))</f>
        <v/>
      </c>
      <c r="K1253" s="63">
        <f>IF($A1253="","",IFERROR(INDEX(계정매핑!$C$5:$C$504,MATCH($F1253&amp;"",계정매핑!$A$5:$A$504,0)),"미매핑"))</f>
        <v/>
      </c>
      <c r="L1253" s="4">
        <f>IF($A1253="","",VALUE($A1253&amp;""))</f>
        <v/>
      </c>
      <c r="M1253" s="4">
        <f>IF($A1253="","",VALUE($B1253&amp;""))</f>
        <v/>
      </c>
      <c r="N1253" s="64">
        <f>IF($A1253="","",$H1253*설정!$C$15)</f>
        <v/>
      </c>
      <c r="O1253" s="4">
        <f>IF($A1253="","",J1253&amp;"|"&amp;K1253)</f>
        <v/>
      </c>
      <c r="P1253" s="63">
        <f>IF($A1253="","",IF(COUNTIFS(예산_원본!$T$5:$T$3004,O1253,예산_원본!$B$5:$B$3004,설정!$C$8,예산_원본!$U$5:$U$3004,L1253)&gt;0,"Y","N"))</f>
        <v/>
      </c>
      <c r="Q1253" s="63">
        <f>IF($A1253="","",IF(COUNTIF(집계!$E$7:$E$506,O1253)&gt;0,"Y","N"))</f>
        <v/>
      </c>
    </row>
    <row r="1254">
      <c r="A1254" s="60" t="n">
        <v>2026</v>
      </c>
      <c r="B1254" s="60" t="n">
        <v>4</v>
      </c>
      <c r="C1254" s="60" t="inlineStr">
        <is>
          <t>1000</t>
        </is>
      </c>
      <c r="D1254" s="60" t="n">
        <v>1801</v>
      </c>
      <c r="E1254" s="60" t="inlineStr">
        <is>
          <t>고객서비스</t>
        </is>
      </c>
      <c r="F1254" s="60" t="n">
        <v>62902000</v>
      </c>
      <c r="G1254" s="60" t="inlineStr">
        <is>
          <t>지급수수료-기타</t>
        </is>
      </c>
      <c r="H1254" s="61" t="n">
        <v>13374680</v>
      </c>
      <c r="J1254" s="63">
        <f>IF($A1254="","",IFERROR(INDEX(부서매핑!$C$5:$C$504,MATCH($D1254&amp;"",부서매핑!$A$5:$A$504,0)),"미매핑"))</f>
        <v/>
      </c>
      <c r="K1254" s="63">
        <f>IF($A1254="","",IFERROR(INDEX(계정매핑!$C$5:$C$504,MATCH($F1254&amp;"",계정매핑!$A$5:$A$504,0)),"미매핑"))</f>
        <v/>
      </c>
      <c r="L1254" s="4">
        <f>IF($A1254="","",VALUE($A1254&amp;""))</f>
        <v/>
      </c>
      <c r="M1254" s="4">
        <f>IF($A1254="","",VALUE($B1254&amp;""))</f>
        <v/>
      </c>
      <c r="N1254" s="64">
        <f>IF($A1254="","",$H1254*설정!$C$15)</f>
        <v/>
      </c>
      <c r="O1254" s="4">
        <f>IF($A1254="","",J1254&amp;"|"&amp;K1254)</f>
        <v/>
      </c>
      <c r="P1254" s="63">
        <f>IF($A1254="","",IF(COUNTIFS(예산_원본!$T$5:$T$3004,O1254,예산_원본!$B$5:$B$3004,설정!$C$8,예산_원본!$U$5:$U$3004,L1254)&gt;0,"Y","N"))</f>
        <v/>
      </c>
      <c r="Q1254" s="63">
        <f>IF($A1254="","",IF(COUNTIF(집계!$E$7:$E$506,O1254)&gt;0,"Y","N"))</f>
        <v/>
      </c>
    </row>
    <row r="1255">
      <c r="A1255" s="60" t="n">
        <v>2026</v>
      </c>
      <c r="B1255" s="60" t="n">
        <v>5</v>
      </c>
      <c r="C1255" s="60" t="inlineStr">
        <is>
          <t>1000</t>
        </is>
      </c>
      <c r="D1255" s="60" t="n">
        <v>1101</v>
      </c>
      <c r="E1255" s="60" t="inlineStr">
        <is>
          <t>경영기획</t>
        </is>
      </c>
      <c r="F1255" s="60" t="n">
        <v>62101000</v>
      </c>
      <c r="G1255" s="60" t="inlineStr">
        <is>
          <t>여비교통비-국내</t>
        </is>
      </c>
      <c r="H1255" s="61" t="n">
        <v>2593130</v>
      </c>
      <c r="J1255" s="63">
        <f>IF($A1255="","",IFERROR(INDEX(부서매핑!$C$5:$C$504,MATCH($D1255&amp;"",부서매핑!$A$5:$A$504,0)),"미매핑"))</f>
        <v/>
      </c>
      <c r="K1255" s="63">
        <f>IF($A1255="","",IFERROR(INDEX(계정매핑!$C$5:$C$504,MATCH($F1255&amp;"",계정매핑!$A$5:$A$504,0)),"미매핑"))</f>
        <v/>
      </c>
      <c r="L1255" s="4">
        <f>IF($A1255="","",VALUE($A1255&amp;""))</f>
        <v/>
      </c>
      <c r="M1255" s="4">
        <f>IF($A1255="","",VALUE($B1255&amp;""))</f>
        <v/>
      </c>
      <c r="N1255" s="64">
        <f>IF($A1255="","",$H1255*설정!$C$15)</f>
        <v/>
      </c>
      <c r="O1255" s="4">
        <f>IF($A1255="","",J1255&amp;"|"&amp;K1255)</f>
        <v/>
      </c>
      <c r="P1255" s="63">
        <f>IF($A1255="","",IF(COUNTIFS(예산_원본!$T$5:$T$3004,O1255,예산_원본!$B$5:$B$3004,설정!$C$8,예산_원본!$U$5:$U$3004,L1255)&gt;0,"Y","N"))</f>
        <v/>
      </c>
      <c r="Q1255" s="63">
        <f>IF($A1255="","",IF(COUNTIF(집계!$E$7:$E$506,O1255)&gt;0,"Y","N"))</f>
        <v/>
      </c>
    </row>
    <row r="1256">
      <c r="A1256" s="60" t="n">
        <v>2026</v>
      </c>
      <c r="B1256" s="60" t="n">
        <v>5</v>
      </c>
      <c r="C1256" s="60" t="inlineStr">
        <is>
          <t>1000</t>
        </is>
      </c>
      <c r="D1256" s="60" t="n">
        <v>1101</v>
      </c>
      <c r="E1256" s="60" t="inlineStr">
        <is>
          <t>경영기획</t>
        </is>
      </c>
      <c r="F1256" s="60" t="n">
        <v>62102000</v>
      </c>
      <c r="G1256" s="60" t="inlineStr">
        <is>
          <t>여비교통비-해외</t>
        </is>
      </c>
      <c r="H1256" s="61" t="n">
        <v>487340</v>
      </c>
      <c r="J1256" s="63">
        <f>IF($A1256="","",IFERROR(INDEX(부서매핑!$C$5:$C$504,MATCH($D1256&amp;"",부서매핑!$A$5:$A$504,0)),"미매핑"))</f>
        <v/>
      </c>
      <c r="K1256" s="63">
        <f>IF($A1256="","",IFERROR(INDEX(계정매핑!$C$5:$C$504,MATCH($F1256&amp;"",계정매핑!$A$5:$A$504,0)),"미매핑"))</f>
        <v/>
      </c>
      <c r="L1256" s="4">
        <f>IF($A1256="","",VALUE($A1256&amp;""))</f>
        <v/>
      </c>
      <c r="M1256" s="4">
        <f>IF($A1256="","",VALUE($B1256&amp;""))</f>
        <v/>
      </c>
      <c r="N1256" s="64">
        <f>IF($A1256="","",$H1256*설정!$C$15)</f>
        <v/>
      </c>
      <c r="O1256" s="4">
        <f>IF($A1256="","",J1256&amp;"|"&amp;K1256)</f>
        <v/>
      </c>
      <c r="P1256" s="63">
        <f>IF($A1256="","",IF(COUNTIFS(예산_원본!$T$5:$T$3004,O1256,예산_원본!$B$5:$B$3004,설정!$C$8,예산_원본!$U$5:$U$3004,L1256)&gt;0,"Y","N"))</f>
        <v/>
      </c>
      <c r="Q1256" s="63">
        <f>IF($A1256="","",IF(COUNTIF(집계!$E$7:$E$506,O1256)&gt;0,"Y","N"))</f>
        <v/>
      </c>
    </row>
    <row r="1257">
      <c r="A1257" s="60" t="n">
        <v>2026</v>
      </c>
      <c r="B1257" s="60" t="n">
        <v>5</v>
      </c>
      <c r="C1257" s="60" t="inlineStr">
        <is>
          <t>1000</t>
        </is>
      </c>
      <c r="D1257" s="60" t="n">
        <v>1101</v>
      </c>
      <c r="E1257" s="60" t="inlineStr">
        <is>
          <t>경영기획</t>
        </is>
      </c>
      <c r="F1257" s="60" t="n">
        <v>62201000</v>
      </c>
      <c r="G1257" s="60" t="inlineStr">
        <is>
          <t>통신비</t>
        </is>
      </c>
      <c r="H1257" s="61" t="n">
        <v>653510</v>
      </c>
      <c r="J1257" s="63">
        <f>IF($A1257="","",IFERROR(INDEX(부서매핑!$C$5:$C$504,MATCH($D1257&amp;"",부서매핑!$A$5:$A$504,0)),"미매핑"))</f>
        <v/>
      </c>
      <c r="K1257" s="63">
        <f>IF($A1257="","",IFERROR(INDEX(계정매핑!$C$5:$C$504,MATCH($F1257&amp;"",계정매핑!$A$5:$A$504,0)),"미매핑"))</f>
        <v/>
      </c>
      <c r="L1257" s="4">
        <f>IF($A1257="","",VALUE($A1257&amp;""))</f>
        <v/>
      </c>
      <c r="M1257" s="4">
        <f>IF($A1257="","",VALUE($B1257&amp;""))</f>
        <v/>
      </c>
      <c r="N1257" s="64">
        <f>IF($A1257="","",$H1257*설정!$C$15)</f>
        <v/>
      </c>
      <c r="O1257" s="4">
        <f>IF($A1257="","",J1257&amp;"|"&amp;K1257)</f>
        <v/>
      </c>
      <c r="P1257" s="63">
        <f>IF($A1257="","",IF(COUNTIFS(예산_원본!$T$5:$T$3004,O1257,예산_원본!$B$5:$B$3004,설정!$C$8,예산_원본!$U$5:$U$3004,L1257)&gt;0,"Y","N"))</f>
        <v/>
      </c>
      <c r="Q1257" s="63">
        <f>IF($A1257="","",IF(COUNTIF(집계!$E$7:$E$506,O1257)&gt;0,"Y","N"))</f>
        <v/>
      </c>
    </row>
    <row r="1258">
      <c r="A1258" s="60" t="n">
        <v>2026</v>
      </c>
      <c r="B1258" s="60" t="n">
        <v>5</v>
      </c>
      <c r="C1258" s="60" t="inlineStr">
        <is>
          <t>1000</t>
        </is>
      </c>
      <c r="D1258" s="60" t="n">
        <v>1101</v>
      </c>
      <c r="E1258" s="60" t="inlineStr">
        <is>
          <t>경영기획</t>
        </is>
      </c>
      <c r="F1258" s="60" t="n">
        <v>62301000</v>
      </c>
      <c r="G1258" s="60" t="inlineStr">
        <is>
          <t>소모품비</t>
        </is>
      </c>
      <c r="H1258" s="61" t="n">
        <v>562440</v>
      </c>
      <c r="J1258" s="63">
        <f>IF($A1258="","",IFERROR(INDEX(부서매핑!$C$5:$C$504,MATCH($D1258&amp;"",부서매핑!$A$5:$A$504,0)),"미매핑"))</f>
        <v/>
      </c>
      <c r="K1258" s="63">
        <f>IF($A1258="","",IFERROR(INDEX(계정매핑!$C$5:$C$504,MATCH($F1258&amp;"",계정매핑!$A$5:$A$504,0)),"미매핑"))</f>
        <v/>
      </c>
      <c r="L1258" s="4">
        <f>IF($A1258="","",VALUE($A1258&amp;""))</f>
        <v/>
      </c>
      <c r="M1258" s="4">
        <f>IF($A1258="","",VALUE($B1258&amp;""))</f>
        <v/>
      </c>
      <c r="N1258" s="64">
        <f>IF($A1258="","",$H1258*설정!$C$15)</f>
        <v/>
      </c>
      <c r="O1258" s="4">
        <f>IF($A1258="","",J1258&amp;"|"&amp;K1258)</f>
        <v/>
      </c>
      <c r="P1258" s="63">
        <f>IF($A1258="","",IF(COUNTIFS(예산_원본!$T$5:$T$3004,O1258,예산_원본!$B$5:$B$3004,설정!$C$8,예산_원본!$U$5:$U$3004,L1258)&gt;0,"Y","N"))</f>
        <v/>
      </c>
      <c r="Q1258" s="63">
        <f>IF($A1258="","",IF(COUNTIF(집계!$E$7:$E$506,O1258)&gt;0,"Y","N"))</f>
        <v/>
      </c>
    </row>
    <row r="1259">
      <c r="A1259" s="60" t="n">
        <v>2026</v>
      </c>
      <c r="B1259" s="60" t="n">
        <v>5</v>
      </c>
      <c r="C1259" s="60" t="inlineStr">
        <is>
          <t>1000</t>
        </is>
      </c>
      <c r="D1259" s="60" t="n">
        <v>1101</v>
      </c>
      <c r="E1259" s="60" t="inlineStr">
        <is>
          <t>경영기획</t>
        </is>
      </c>
      <c r="F1259" s="60" t="n">
        <v>62501000</v>
      </c>
      <c r="G1259" s="60" t="inlineStr">
        <is>
          <t>회의비</t>
        </is>
      </c>
      <c r="H1259" s="61" t="n">
        <v>1282130</v>
      </c>
      <c r="J1259" s="63">
        <f>IF($A1259="","",IFERROR(INDEX(부서매핑!$C$5:$C$504,MATCH($D1259&amp;"",부서매핑!$A$5:$A$504,0)),"미매핑"))</f>
        <v/>
      </c>
      <c r="K1259" s="63">
        <f>IF($A1259="","",IFERROR(INDEX(계정매핑!$C$5:$C$504,MATCH($F1259&amp;"",계정매핑!$A$5:$A$504,0)),"미매핑"))</f>
        <v/>
      </c>
      <c r="L1259" s="4">
        <f>IF($A1259="","",VALUE($A1259&amp;""))</f>
        <v/>
      </c>
      <c r="M1259" s="4">
        <f>IF($A1259="","",VALUE($B1259&amp;""))</f>
        <v/>
      </c>
      <c r="N1259" s="64">
        <f>IF($A1259="","",$H1259*설정!$C$15)</f>
        <v/>
      </c>
      <c r="O1259" s="4">
        <f>IF($A1259="","",J1259&amp;"|"&amp;K1259)</f>
        <v/>
      </c>
      <c r="P1259" s="63">
        <f>IF($A1259="","",IF(COUNTIFS(예산_원본!$T$5:$T$3004,O1259,예산_원본!$B$5:$B$3004,설정!$C$8,예산_원본!$U$5:$U$3004,L1259)&gt;0,"Y","N"))</f>
        <v/>
      </c>
      <c r="Q1259" s="63">
        <f>IF($A1259="","",IF(COUNTIF(집계!$E$7:$E$506,O1259)&gt;0,"Y","N"))</f>
        <v/>
      </c>
    </row>
    <row r="1260">
      <c r="A1260" s="60" t="n">
        <v>2026</v>
      </c>
      <c r="B1260" s="60" t="n">
        <v>5</v>
      </c>
      <c r="C1260" s="60" t="inlineStr">
        <is>
          <t>1000</t>
        </is>
      </c>
      <c r="D1260" s="60" t="n">
        <v>1101</v>
      </c>
      <c r="E1260" s="60" t="inlineStr">
        <is>
          <t>경영기획</t>
        </is>
      </c>
      <c r="F1260" s="60" t="n">
        <v>62601000</v>
      </c>
      <c r="G1260" s="60" t="inlineStr">
        <is>
          <t>업무추진비</t>
        </is>
      </c>
      <c r="H1260" s="61" t="n">
        <v>4362140</v>
      </c>
      <c r="J1260" s="63">
        <f>IF($A1260="","",IFERROR(INDEX(부서매핑!$C$5:$C$504,MATCH($D1260&amp;"",부서매핑!$A$5:$A$504,0)),"미매핑"))</f>
        <v/>
      </c>
      <c r="K1260" s="63">
        <f>IF($A1260="","",IFERROR(INDEX(계정매핑!$C$5:$C$504,MATCH($F1260&amp;"",계정매핑!$A$5:$A$504,0)),"미매핑"))</f>
        <v/>
      </c>
      <c r="L1260" s="4">
        <f>IF($A1260="","",VALUE($A1260&amp;""))</f>
        <v/>
      </c>
      <c r="M1260" s="4">
        <f>IF($A1260="","",VALUE($B1260&amp;""))</f>
        <v/>
      </c>
      <c r="N1260" s="64">
        <f>IF($A1260="","",$H1260*설정!$C$15)</f>
        <v/>
      </c>
      <c r="O1260" s="4">
        <f>IF($A1260="","",J1260&amp;"|"&amp;K1260)</f>
        <v/>
      </c>
      <c r="P1260" s="63">
        <f>IF($A1260="","",IF(COUNTIFS(예산_원본!$T$5:$T$3004,O1260,예산_원본!$B$5:$B$3004,설정!$C$8,예산_원본!$U$5:$U$3004,L1260)&gt;0,"Y","N"))</f>
        <v/>
      </c>
      <c r="Q1260" s="63">
        <f>IF($A1260="","",IF(COUNTIF(집계!$E$7:$E$506,O1260)&gt;0,"Y","N"))</f>
        <v/>
      </c>
    </row>
    <row r="1261">
      <c r="A1261" s="60" t="n">
        <v>2026</v>
      </c>
      <c r="B1261" s="60" t="n">
        <v>5</v>
      </c>
      <c r="C1261" s="60" t="inlineStr">
        <is>
          <t>1000</t>
        </is>
      </c>
      <c r="D1261" s="60" t="n">
        <v>1101</v>
      </c>
      <c r="E1261" s="60" t="inlineStr">
        <is>
          <t>경영기획</t>
        </is>
      </c>
      <c r="F1261" s="60" t="n">
        <v>62901000</v>
      </c>
      <c r="G1261" s="60" t="inlineStr">
        <is>
          <t>지급수수료-컨설팅</t>
        </is>
      </c>
      <c r="H1261" s="61" t="n">
        <v>11207810</v>
      </c>
      <c r="J1261" s="63">
        <f>IF($A1261="","",IFERROR(INDEX(부서매핑!$C$5:$C$504,MATCH($D1261&amp;"",부서매핑!$A$5:$A$504,0)),"미매핑"))</f>
        <v/>
      </c>
      <c r="K1261" s="63">
        <f>IF($A1261="","",IFERROR(INDEX(계정매핑!$C$5:$C$504,MATCH($F1261&amp;"",계정매핑!$A$5:$A$504,0)),"미매핑"))</f>
        <v/>
      </c>
      <c r="L1261" s="4">
        <f>IF($A1261="","",VALUE($A1261&amp;""))</f>
        <v/>
      </c>
      <c r="M1261" s="4">
        <f>IF($A1261="","",VALUE($B1261&amp;""))</f>
        <v/>
      </c>
      <c r="N1261" s="64">
        <f>IF($A1261="","",$H1261*설정!$C$15)</f>
        <v/>
      </c>
      <c r="O1261" s="4">
        <f>IF($A1261="","",J1261&amp;"|"&amp;K1261)</f>
        <v/>
      </c>
      <c r="P1261" s="63">
        <f>IF($A1261="","",IF(COUNTIFS(예산_원본!$T$5:$T$3004,O1261,예산_원본!$B$5:$B$3004,설정!$C$8,예산_원본!$U$5:$U$3004,L1261)&gt;0,"Y","N"))</f>
        <v/>
      </c>
      <c r="Q1261" s="63">
        <f>IF($A1261="","",IF(COUNTIF(집계!$E$7:$E$506,O1261)&gt;0,"Y","N"))</f>
        <v/>
      </c>
    </row>
    <row r="1262">
      <c r="A1262" s="60" t="n">
        <v>2026</v>
      </c>
      <c r="B1262" s="60" t="n">
        <v>5</v>
      </c>
      <c r="C1262" s="60" t="inlineStr">
        <is>
          <t>1000</t>
        </is>
      </c>
      <c r="D1262" s="60" t="n">
        <v>1101</v>
      </c>
      <c r="E1262" s="60" t="inlineStr">
        <is>
          <t>경영기획</t>
        </is>
      </c>
      <c r="F1262" s="60" t="n">
        <v>62902000</v>
      </c>
      <c r="G1262" s="60" t="inlineStr">
        <is>
          <t>지급수수료-기타</t>
        </is>
      </c>
      <c r="H1262" s="61" t="n">
        <v>5136440</v>
      </c>
      <c r="J1262" s="63">
        <f>IF($A1262="","",IFERROR(INDEX(부서매핑!$C$5:$C$504,MATCH($D1262&amp;"",부서매핑!$A$5:$A$504,0)),"미매핑"))</f>
        <v/>
      </c>
      <c r="K1262" s="63">
        <f>IF($A1262="","",IFERROR(INDEX(계정매핑!$C$5:$C$504,MATCH($F1262&amp;"",계정매핑!$A$5:$A$504,0)),"미매핑"))</f>
        <v/>
      </c>
      <c r="L1262" s="4">
        <f>IF($A1262="","",VALUE($A1262&amp;""))</f>
        <v/>
      </c>
      <c r="M1262" s="4">
        <f>IF($A1262="","",VALUE($B1262&amp;""))</f>
        <v/>
      </c>
      <c r="N1262" s="64">
        <f>IF($A1262="","",$H1262*설정!$C$15)</f>
        <v/>
      </c>
      <c r="O1262" s="4">
        <f>IF($A1262="","",J1262&amp;"|"&amp;K1262)</f>
        <v/>
      </c>
      <c r="P1262" s="63">
        <f>IF($A1262="","",IF(COUNTIFS(예산_원본!$T$5:$T$3004,O1262,예산_원본!$B$5:$B$3004,설정!$C$8,예산_원본!$U$5:$U$3004,L1262)&gt;0,"Y","N"))</f>
        <v/>
      </c>
      <c r="Q1262" s="63">
        <f>IF($A1262="","",IF(COUNTIF(집계!$E$7:$E$506,O1262)&gt;0,"Y","N"))</f>
        <v/>
      </c>
    </row>
    <row r="1263">
      <c r="A1263" s="60" t="n">
        <v>2026</v>
      </c>
      <c r="B1263" s="60" t="n">
        <v>5</v>
      </c>
      <c r="C1263" s="60" t="inlineStr">
        <is>
          <t>1000</t>
        </is>
      </c>
      <c r="D1263" s="60" t="n">
        <v>1201</v>
      </c>
      <c r="E1263" s="60" t="inlineStr">
        <is>
          <t>재무회계</t>
        </is>
      </c>
      <c r="F1263" s="60" t="n">
        <v>62101000</v>
      </c>
      <c r="G1263" s="60" t="inlineStr">
        <is>
          <t>여비교통비-국내</t>
        </is>
      </c>
      <c r="H1263" s="61" t="n">
        <v>1158410</v>
      </c>
      <c r="J1263" s="63">
        <f>IF($A1263="","",IFERROR(INDEX(부서매핑!$C$5:$C$504,MATCH($D1263&amp;"",부서매핑!$A$5:$A$504,0)),"미매핑"))</f>
        <v/>
      </c>
      <c r="K1263" s="63">
        <f>IF($A1263="","",IFERROR(INDEX(계정매핑!$C$5:$C$504,MATCH($F1263&amp;"",계정매핑!$A$5:$A$504,0)),"미매핑"))</f>
        <v/>
      </c>
      <c r="L1263" s="4">
        <f>IF($A1263="","",VALUE($A1263&amp;""))</f>
        <v/>
      </c>
      <c r="M1263" s="4">
        <f>IF($A1263="","",VALUE($B1263&amp;""))</f>
        <v/>
      </c>
      <c r="N1263" s="64">
        <f>IF($A1263="","",$H1263*설정!$C$15)</f>
        <v/>
      </c>
      <c r="O1263" s="4">
        <f>IF($A1263="","",J1263&amp;"|"&amp;K1263)</f>
        <v/>
      </c>
      <c r="P1263" s="63">
        <f>IF($A1263="","",IF(COUNTIFS(예산_원본!$T$5:$T$3004,O1263,예산_원본!$B$5:$B$3004,설정!$C$8,예산_원본!$U$5:$U$3004,L1263)&gt;0,"Y","N"))</f>
        <v/>
      </c>
      <c r="Q1263" s="63">
        <f>IF($A1263="","",IF(COUNTIF(집계!$E$7:$E$506,O1263)&gt;0,"Y","N"))</f>
        <v/>
      </c>
    </row>
    <row r="1264">
      <c r="A1264" s="60" t="n">
        <v>2026</v>
      </c>
      <c r="B1264" s="60" t="n">
        <v>5</v>
      </c>
      <c r="C1264" s="60" t="inlineStr">
        <is>
          <t>1000</t>
        </is>
      </c>
      <c r="D1264" s="60" t="n">
        <v>1201</v>
      </c>
      <c r="E1264" s="60" t="inlineStr">
        <is>
          <t>재무회계</t>
        </is>
      </c>
      <c r="F1264" s="60" t="n">
        <v>62102000</v>
      </c>
      <c r="G1264" s="60" t="inlineStr">
        <is>
          <t>여비교통비-해외</t>
        </is>
      </c>
      <c r="H1264" s="61" t="n">
        <v>213460</v>
      </c>
      <c r="J1264" s="63">
        <f>IF($A1264="","",IFERROR(INDEX(부서매핑!$C$5:$C$504,MATCH($D1264&amp;"",부서매핑!$A$5:$A$504,0)),"미매핑"))</f>
        <v/>
      </c>
      <c r="K1264" s="63">
        <f>IF($A1264="","",IFERROR(INDEX(계정매핑!$C$5:$C$504,MATCH($F1264&amp;"",계정매핑!$A$5:$A$504,0)),"미매핑"))</f>
        <v/>
      </c>
      <c r="L1264" s="4">
        <f>IF($A1264="","",VALUE($A1264&amp;""))</f>
        <v/>
      </c>
      <c r="M1264" s="4">
        <f>IF($A1264="","",VALUE($B1264&amp;""))</f>
        <v/>
      </c>
      <c r="N1264" s="64">
        <f>IF($A1264="","",$H1264*설정!$C$15)</f>
        <v/>
      </c>
      <c r="O1264" s="4">
        <f>IF($A1264="","",J1264&amp;"|"&amp;K1264)</f>
        <v/>
      </c>
      <c r="P1264" s="63">
        <f>IF($A1264="","",IF(COUNTIFS(예산_원본!$T$5:$T$3004,O1264,예산_원본!$B$5:$B$3004,설정!$C$8,예산_원본!$U$5:$U$3004,L1264)&gt;0,"Y","N"))</f>
        <v/>
      </c>
      <c r="Q1264" s="63">
        <f>IF($A1264="","",IF(COUNTIF(집계!$E$7:$E$506,O1264)&gt;0,"Y","N"))</f>
        <v/>
      </c>
    </row>
    <row r="1265">
      <c r="A1265" s="60" t="n">
        <v>2026</v>
      </c>
      <c r="B1265" s="60" t="n">
        <v>5</v>
      </c>
      <c r="C1265" s="60" t="inlineStr">
        <is>
          <t>1000</t>
        </is>
      </c>
      <c r="D1265" s="60" t="n">
        <v>1201</v>
      </c>
      <c r="E1265" s="60" t="inlineStr">
        <is>
          <t>재무회계</t>
        </is>
      </c>
      <c r="F1265" s="60" t="n">
        <v>62201000</v>
      </c>
      <c r="G1265" s="60" t="inlineStr">
        <is>
          <t>통신비</t>
        </is>
      </c>
      <c r="H1265" s="61" t="n">
        <v>681310</v>
      </c>
      <c r="J1265" s="63">
        <f>IF($A1265="","",IFERROR(INDEX(부서매핑!$C$5:$C$504,MATCH($D1265&amp;"",부서매핑!$A$5:$A$504,0)),"미매핑"))</f>
        <v/>
      </c>
      <c r="K1265" s="63">
        <f>IF($A1265="","",IFERROR(INDEX(계정매핑!$C$5:$C$504,MATCH($F1265&amp;"",계정매핑!$A$5:$A$504,0)),"미매핑"))</f>
        <v/>
      </c>
      <c r="L1265" s="4">
        <f>IF($A1265="","",VALUE($A1265&amp;""))</f>
        <v/>
      </c>
      <c r="M1265" s="4">
        <f>IF($A1265="","",VALUE($B1265&amp;""))</f>
        <v/>
      </c>
      <c r="N1265" s="64">
        <f>IF($A1265="","",$H1265*설정!$C$15)</f>
        <v/>
      </c>
      <c r="O1265" s="4">
        <f>IF($A1265="","",J1265&amp;"|"&amp;K1265)</f>
        <v/>
      </c>
      <c r="P1265" s="63">
        <f>IF($A1265="","",IF(COUNTIFS(예산_원본!$T$5:$T$3004,O1265,예산_원본!$B$5:$B$3004,설정!$C$8,예산_원본!$U$5:$U$3004,L1265)&gt;0,"Y","N"))</f>
        <v/>
      </c>
      <c r="Q1265" s="63">
        <f>IF($A1265="","",IF(COUNTIF(집계!$E$7:$E$506,O1265)&gt;0,"Y","N"))</f>
        <v/>
      </c>
    </row>
    <row r="1266">
      <c r="A1266" s="60" t="n">
        <v>2026</v>
      </c>
      <c r="B1266" s="60" t="n">
        <v>5</v>
      </c>
      <c r="C1266" s="60" t="inlineStr">
        <is>
          <t>1000</t>
        </is>
      </c>
      <c r="D1266" s="60" t="n">
        <v>1201</v>
      </c>
      <c r="E1266" s="60" t="inlineStr">
        <is>
          <t>재무회계</t>
        </is>
      </c>
      <c r="F1266" s="60" t="n">
        <v>62301000</v>
      </c>
      <c r="G1266" s="60" t="inlineStr">
        <is>
          <t>소모품비</t>
        </is>
      </c>
      <c r="H1266" s="61" t="n">
        <v>730760</v>
      </c>
      <c r="J1266" s="63">
        <f>IF($A1266="","",IFERROR(INDEX(부서매핑!$C$5:$C$504,MATCH($D1266&amp;"",부서매핑!$A$5:$A$504,0)),"미매핑"))</f>
        <v/>
      </c>
      <c r="K1266" s="63">
        <f>IF($A1266="","",IFERROR(INDEX(계정매핑!$C$5:$C$504,MATCH($F1266&amp;"",계정매핑!$A$5:$A$504,0)),"미매핑"))</f>
        <v/>
      </c>
      <c r="L1266" s="4">
        <f>IF($A1266="","",VALUE($A1266&amp;""))</f>
        <v/>
      </c>
      <c r="M1266" s="4">
        <f>IF($A1266="","",VALUE($B1266&amp;""))</f>
        <v/>
      </c>
      <c r="N1266" s="64">
        <f>IF($A1266="","",$H1266*설정!$C$15)</f>
        <v/>
      </c>
      <c r="O1266" s="4">
        <f>IF($A1266="","",J1266&amp;"|"&amp;K1266)</f>
        <v/>
      </c>
      <c r="P1266" s="63">
        <f>IF($A1266="","",IF(COUNTIFS(예산_원본!$T$5:$T$3004,O1266,예산_원본!$B$5:$B$3004,설정!$C$8,예산_원본!$U$5:$U$3004,L1266)&gt;0,"Y","N"))</f>
        <v/>
      </c>
      <c r="Q1266" s="63">
        <f>IF($A1266="","",IF(COUNTIF(집계!$E$7:$E$506,O1266)&gt;0,"Y","N"))</f>
        <v/>
      </c>
    </row>
    <row r="1267">
      <c r="A1267" s="60" t="n">
        <v>2026</v>
      </c>
      <c r="B1267" s="60" t="n">
        <v>5</v>
      </c>
      <c r="C1267" s="60" t="inlineStr">
        <is>
          <t>1000</t>
        </is>
      </c>
      <c r="D1267" s="60" t="n">
        <v>1201</v>
      </c>
      <c r="E1267" s="60" t="inlineStr">
        <is>
          <t>재무회계</t>
        </is>
      </c>
      <c r="F1267" s="60" t="n">
        <v>62501000</v>
      </c>
      <c r="G1267" s="60" t="inlineStr">
        <is>
          <t>회의비</t>
        </is>
      </c>
      <c r="H1267" s="61" t="n">
        <v>562750</v>
      </c>
      <c r="J1267" s="63">
        <f>IF($A1267="","",IFERROR(INDEX(부서매핑!$C$5:$C$504,MATCH($D1267&amp;"",부서매핑!$A$5:$A$504,0)),"미매핑"))</f>
        <v/>
      </c>
      <c r="K1267" s="63">
        <f>IF($A1267="","",IFERROR(INDEX(계정매핑!$C$5:$C$504,MATCH($F1267&amp;"",계정매핑!$A$5:$A$504,0)),"미매핑"))</f>
        <v/>
      </c>
      <c r="L1267" s="4">
        <f>IF($A1267="","",VALUE($A1267&amp;""))</f>
        <v/>
      </c>
      <c r="M1267" s="4">
        <f>IF($A1267="","",VALUE($B1267&amp;""))</f>
        <v/>
      </c>
      <c r="N1267" s="64">
        <f>IF($A1267="","",$H1267*설정!$C$15)</f>
        <v/>
      </c>
      <c r="O1267" s="4">
        <f>IF($A1267="","",J1267&amp;"|"&amp;K1267)</f>
        <v/>
      </c>
      <c r="P1267" s="63">
        <f>IF($A1267="","",IF(COUNTIFS(예산_원본!$T$5:$T$3004,O1267,예산_원본!$B$5:$B$3004,설정!$C$8,예산_원본!$U$5:$U$3004,L1267)&gt;0,"Y","N"))</f>
        <v/>
      </c>
      <c r="Q1267" s="63">
        <f>IF($A1267="","",IF(COUNTIF(집계!$E$7:$E$506,O1267)&gt;0,"Y","N"))</f>
        <v/>
      </c>
    </row>
    <row r="1268">
      <c r="A1268" s="60" t="n">
        <v>2026</v>
      </c>
      <c r="B1268" s="60" t="n">
        <v>5</v>
      </c>
      <c r="C1268" s="60" t="inlineStr">
        <is>
          <t>1000</t>
        </is>
      </c>
      <c r="D1268" s="60" t="n">
        <v>1201</v>
      </c>
      <c r="E1268" s="60" t="inlineStr">
        <is>
          <t>재무회계</t>
        </is>
      </c>
      <c r="F1268" s="60" t="n">
        <v>62901000</v>
      </c>
      <c r="G1268" s="60" t="inlineStr">
        <is>
          <t>지급수수료-컨설팅</t>
        </is>
      </c>
      <c r="H1268" s="61" t="n">
        <v>26223120</v>
      </c>
      <c r="J1268" s="63">
        <f>IF($A1268="","",IFERROR(INDEX(부서매핑!$C$5:$C$504,MATCH($D1268&amp;"",부서매핑!$A$5:$A$504,0)),"미매핑"))</f>
        <v/>
      </c>
      <c r="K1268" s="63">
        <f>IF($A1268="","",IFERROR(INDEX(계정매핑!$C$5:$C$504,MATCH($F1268&amp;"",계정매핑!$A$5:$A$504,0)),"미매핑"))</f>
        <v/>
      </c>
      <c r="L1268" s="4">
        <f>IF($A1268="","",VALUE($A1268&amp;""))</f>
        <v/>
      </c>
      <c r="M1268" s="4">
        <f>IF($A1268="","",VALUE($B1268&amp;""))</f>
        <v/>
      </c>
      <c r="N1268" s="64">
        <f>IF($A1268="","",$H1268*설정!$C$15)</f>
        <v/>
      </c>
      <c r="O1268" s="4">
        <f>IF($A1268="","",J1268&amp;"|"&amp;K1268)</f>
        <v/>
      </c>
      <c r="P1268" s="63">
        <f>IF($A1268="","",IF(COUNTIFS(예산_원본!$T$5:$T$3004,O1268,예산_원본!$B$5:$B$3004,설정!$C$8,예산_원본!$U$5:$U$3004,L1268)&gt;0,"Y","N"))</f>
        <v/>
      </c>
      <c r="Q1268" s="63">
        <f>IF($A1268="","",IF(COUNTIF(집계!$E$7:$E$506,O1268)&gt;0,"Y","N"))</f>
        <v/>
      </c>
    </row>
    <row r="1269">
      <c r="A1269" s="60" t="n">
        <v>2026</v>
      </c>
      <c r="B1269" s="60" t="n">
        <v>5</v>
      </c>
      <c r="C1269" s="60" t="inlineStr">
        <is>
          <t>1000</t>
        </is>
      </c>
      <c r="D1269" s="60" t="n">
        <v>1201</v>
      </c>
      <c r="E1269" s="60" t="inlineStr">
        <is>
          <t>재무회계</t>
        </is>
      </c>
      <c r="F1269" s="60" t="n">
        <v>62902000</v>
      </c>
      <c r="G1269" s="60" t="inlineStr">
        <is>
          <t>지급수수료-기타</t>
        </is>
      </c>
      <c r="H1269" s="61" t="n">
        <v>9965710</v>
      </c>
      <c r="J1269" s="63">
        <f>IF($A1269="","",IFERROR(INDEX(부서매핑!$C$5:$C$504,MATCH($D1269&amp;"",부서매핑!$A$5:$A$504,0)),"미매핑"))</f>
        <v/>
      </c>
      <c r="K1269" s="63">
        <f>IF($A1269="","",IFERROR(INDEX(계정매핑!$C$5:$C$504,MATCH($F1269&amp;"",계정매핑!$A$5:$A$504,0)),"미매핑"))</f>
        <v/>
      </c>
      <c r="L1269" s="4">
        <f>IF($A1269="","",VALUE($A1269&amp;""))</f>
        <v/>
      </c>
      <c r="M1269" s="4">
        <f>IF($A1269="","",VALUE($B1269&amp;""))</f>
        <v/>
      </c>
      <c r="N1269" s="64">
        <f>IF($A1269="","",$H1269*설정!$C$15)</f>
        <v/>
      </c>
      <c r="O1269" s="4">
        <f>IF($A1269="","",J1269&amp;"|"&amp;K1269)</f>
        <v/>
      </c>
      <c r="P1269" s="63">
        <f>IF($A1269="","",IF(COUNTIFS(예산_원본!$T$5:$T$3004,O1269,예산_원본!$B$5:$B$3004,설정!$C$8,예산_원본!$U$5:$U$3004,L1269)&gt;0,"Y","N"))</f>
        <v/>
      </c>
      <c r="Q1269" s="63">
        <f>IF($A1269="","",IF(COUNTIF(집계!$E$7:$E$506,O1269)&gt;0,"Y","N"))</f>
        <v/>
      </c>
    </row>
    <row r="1270">
      <c r="A1270" s="60" t="n">
        <v>2026</v>
      </c>
      <c r="B1270" s="60" t="n">
        <v>5</v>
      </c>
      <c r="C1270" s="60" t="inlineStr">
        <is>
          <t>1000</t>
        </is>
      </c>
      <c r="D1270" s="60" t="n">
        <v>1301</v>
      </c>
      <c r="E1270" s="60" t="inlineStr">
        <is>
          <t>인사</t>
        </is>
      </c>
      <c r="F1270" s="60" t="n">
        <v>62101000</v>
      </c>
      <c r="G1270" s="60" t="inlineStr">
        <is>
          <t>여비교통비-국내</t>
        </is>
      </c>
      <c r="H1270" s="61" t="n">
        <v>1714530</v>
      </c>
      <c r="J1270" s="63">
        <f>IF($A1270="","",IFERROR(INDEX(부서매핑!$C$5:$C$504,MATCH($D1270&amp;"",부서매핑!$A$5:$A$504,0)),"미매핑"))</f>
        <v/>
      </c>
      <c r="K1270" s="63">
        <f>IF($A1270="","",IFERROR(INDEX(계정매핑!$C$5:$C$504,MATCH($F1270&amp;"",계정매핑!$A$5:$A$504,0)),"미매핑"))</f>
        <v/>
      </c>
      <c r="L1270" s="4">
        <f>IF($A1270="","",VALUE($A1270&amp;""))</f>
        <v/>
      </c>
      <c r="M1270" s="4">
        <f>IF($A1270="","",VALUE($B1270&amp;""))</f>
        <v/>
      </c>
      <c r="N1270" s="64">
        <f>IF($A1270="","",$H1270*설정!$C$15)</f>
        <v/>
      </c>
      <c r="O1270" s="4">
        <f>IF($A1270="","",J1270&amp;"|"&amp;K1270)</f>
        <v/>
      </c>
      <c r="P1270" s="63">
        <f>IF($A1270="","",IF(COUNTIFS(예산_원본!$T$5:$T$3004,O1270,예산_원본!$B$5:$B$3004,설정!$C$8,예산_원본!$U$5:$U$3004,L1270)&gt;0,"Y","N"))</f>
        <v/>
      </c>
      <c r="Q1270" s="63">
        <f>IF($A1270="","",IF(COUNTIF(집계!$E$7:$E$506,O1270)&gt;0,"Y","N"))</f>
        <v/>
      </c>
    </row>
    <row r="1271">
      <c r="A1271" s="60" t="n">
        <v>2026</v>
      </c>
      <c r="B1271" s="60" t="n">
        <v>5</v>
      </c>
      <c r="C1271" s="60" t="inlineStr">
        <is>
          <t>1000</t>
        </is>
      </c>
      <c r="D1271" s="60" t="n">
        <v>1301</v>
      </c>
      <c r="E1271" s="60" t="inlineStr">
        <is>
          <t>인사</t>
        </is>
      </c>
      <c r="F1271" s="60" t="n">
        <v>62102000</v>
      </c>
      <c r="G1271" s="60" t="inlineStr">
        <is>
          <t>여비교통비-해외</t>
        </is>
      </c>
      <c r="H1271" s="61" t="n">
        <v>302630</v>
      </c>
      <c r="J1271" s="63">
        <f>IF($A1271="","",IFERROR(INDEX(부서매핑!$C$5:$C$504,MATCH($D1271&amp;"",부서매핑!$A$5:$A$504,0)),"미매핑"))</f>
        <v/>
      </c>
      <c r="K1271" s="63">
        <f>IF($A1271="","",IFERROR(INDEX(계정매핑!$C$5:$C$504,MATCH($F1271&amp;"",계정매핑!$A$5:$A$504,0)),"미매핑"))</f>
        <v/>
      </c>
      <c r="L1271" s="4">
        <f>IF($A1271="","",VALUE($A1271&amp;""))</f>
        <v/>
      </c>
      <c r="M1271" s="4">
        <f>IF($A1271="","",VALUE($B1271&amp;""))</f>
        <v/>
      </c>
      <c r="N1271" s="64">
        <f>IF($A1271="","",$H1271*설정!$C$15)</f>
        <v/>
      </c>
      <c r="O1271" s="4">
        <f>IF($A1271="","",J1271&amp;"|"&amp;K1271)</f>
        <v/>
      </c>
      <c r="P1271" s="63">
        <f>IF($A1271="","",IF(COUNTIFS(예산_원본!$T$5:$T$3004,O1271,예산_원본!$B$5:$B$3004,설정!$C$8,예산_원본!$U$5:$U$3004,L1271)&gt;0,"Y","N"))</f>
        <v/>
      </c>
      <c r="Q1271" s="63">
        <f>IF($A1271="","",IF(COUNTIF(집계!$E$7:$E$506,O1271)&gt;0,"Y","N"))</f>
        <v/>
      </c>
    </row>
    <row r="1272">
      <c r="A1272" s="60" t="n">
        <v>2026</v>
      </c>
      <c r="B1272" s="60" t="n">
        <v>5</v>
      </c>
      <c r="C1272" s="60" t="inlineStr">
        <is>
          <t>1000</t>
        </is>
      </c>
      <c r="D1272" s="60" t="n">
        <v>1301</v>
      </c>
      <c r="E1272" s="60" t="inlineStr">
        <is>
          <t>인사</t>
        </is>
      </c>
      <c r="F1272" s="60" t="n">
        <v>62201000</v>
      </c>
      <c r="G1272" s="60" t="inlineStr">
        <is>
          <t>통신비</t>
        </is>
      </c>
      <c r="H1272" s="61" t="n">
        <v>582240</v>
      </c>
      <c r="J1272" s="63">
        <f>IF($A1272="","",IFERROR(INDEX(부서매핑!$C$5:$C$504,MATCH($D1272&amp;"",부서매핑!$A$5:$A$504,0)),"미매핑"))</f>
        <v/>
      </c>
      <c r="K1272" s="63">
        <f>IF($A1272="","",IFERROR(INDEX(계정매핑!$C$5:$C$504,MATCH($F1272&amp;"",계정매핑!$A$5:$A$504,0)),"미매핑"))</f>
        <v/>
      </c>
      <c r="L1272" s="4">
        <f>IF($A1272="","",VALUE($A1272&amp;""))</f>
        <v/>
      </c>
      <c r="M1272" s="4">
        <f>IF($A1272="","",VALUE($B1272&amp;""))</f>
        <v/>
      </c>
      <c r="N1272" s="64">
        <f>IF($A1272="","",$H1272*설정!$C$15)</f>
        <v/>
      </c>
      <c r="O1272" s="4">
        <f>IF($A1272="","",J1272&amp;"|"&amp;K1272)</f>
        <v/>
      </c>
      <c r="P1272" s="63">
        <f>IF($A1272="","",IF(COUNTIFS(예산_원본!$T$5:$T$3004,O1272,예산_원본!$B$5:$B$3004,설정!$C$8,예산_원본!$U$5:$U$3004,L1272)&gt;0,"Y","N"))</f>
        <v/>
      </c>
      <c r="Q1272" s="63">
        <f>IF($A1272="","",IF(COUNTIF(집계!$E$7:$E$506,O1272)&gt;0,"Y","N"))</f>
        <v/>
      </c>
    </row>
    <row r="1273">
      <c r="A1273" s="60" t="n">
        <v>2026</v>
      </c>
      <c r="B1273" s="60" t="n">
        <v>5</v>
      </c>
      <c r="C1273" s="60" t="inlineStr">
        <is>
          <t>1000</t>
        </is>
      </c>
      <c r="D1273" s="60" t="n">
        <v>1301</v>
      </c>
      <c r="E1273" s="60" t="inlineStr">
        <is>
          <t>인사</t>
        </is>
      </c>
      <c r="F1273" s="60" t="n">
        <v>62301000</v>
      </c>
      <c r="G1273" s="60" t="inlineStr">
        <is>
          <t>소모품비</t>
        </is>
      </c>
      <c r="H1273" s="61" t="n">
        <v>661340</v>
      </c>
      <c r="J1273" s="63">
        <f>IF($A1273="","",IFERROR(INDEX(부서매핑!$C$5:$C$504,MATCH($D1273&amp;"",부서매핑!$A$5:$A$504,0)),"미매핑"))</f>
        <v/>
      </c>
      <c r="K1273" s="63">
        <f>IF($A1273="","",IFERROR(INDEX(계정매핑!$C$5:$C$504,MATCH($F1273&amp;"",계정매핑!$A$5:$A$504,0)),"미매핑"))</f>
        <v/>
      </c>
      <c r="L1273" s="4">
        <f>IF($A1273="","",VALUE($A1273&amp;""))</f>
        <v/>
      </c>
      <c r="M1273" s="4">
        <f>IF($A1273="","",VALUE($B1273&amp;""))</f>
        <v/>
      </c>
      <c r="N1273" s="64">
        <f>IF($A1273="","",$H1273*설정!$C$15)</f>
        <v/>
      </c>
      <c r="O1273" s="4">
        <f>IF($A1273="","",J1273&amp;"|"&amp;K1273)</f>
        <v/>
      </c>
      <c r="P1273" s="63">
        <f>IF($A1273="","",IF(COUNTIFS(예산_원본!$T$5:$T$3004,O1273,예산_원본!$B$5:$B$3004,설정!$C$8,예산_원본!$U$5:$U$3004,L1273)&gt;0,"Y","N"))</f>
        <v/>
      </c>
      <c r="Q1273" s="63">
        <f>IF($A1273="","",IF(COUNTIF(집계!$E$7:$E$506,O1273)&gt;0,"Y","N"))</f>
        <v/>
      </c>
    </row>
    <row r="1274">
      <c r="A1274" s="60" t="n">
        <v>2026</v>
      </c>
      <c r="B1274" s="60" t="n">
        <v>5</v>
      </c>
      <c r="C1274" s="60" t="inlineStr">
        <is>
          <t>1000</t>
        </is>
      </c>
      <c r="D1274" s="60" t="n">
        <v>1301</v>
      </c>
      <c r="E1274" s="60" t="inlineStr">
        <is>
          <t>인사</t>
        </is>
      </c>
      <c r="F1274" s="60" t="n">
        <v>62501000</v>
      </c>
      <c r="G1274" s="60" t="inlineStr">
        <is>
          <t>회의비</t>
        </is>
      </c>
      <c r="H1274" s="61" t="n">
        <v>730870</v>
      </c>
      <c r="J1274" s="63">
        <f>IF($A1274="","",IFERROR(INDEX(부서매핑!$C$5:$C$504,MATCH($D1274&amp;"",부서매핑!$A$5:$A$504,0)),"미매핑"))</f>
        <v/>
      </c>
      <c r="K1274" s="63">
        <f>IF($A1274="","",IFERROR(INDEX(계정매핑!$C$5:$C$504,MATCH($F1274&amp;"",계정매핑!$A$5:$A$504,0)),"미매핑"))</f>
        <v/>
      </c>
      <c r="L1274" s="4">
        <f>IF($A1274="","",VALUE($A1274&amp;""))</f>
        <v/>
      </c>
      <c r="M1274" s="4">
        <f>IF($A1274="","",VALUE($B1274&amp;""))</f>
        <v/>
      </c>
      <c r="N1274" s="64">
        <f>IF($A1274="","",$H1274*설정!$C$15)</f>
        <v/>
      </c>
      <c r="O1274" s="4">
        <f>IF($A1274="","",J1274&amp;"|"&amp;K1274)</f>
        <v/>
      </c>
      <c r="P1274" s="63">
        <f>IF($A1274="","",IF(COUNTIFS(예산_원본!$T$5:$T$3004,O1274,예산_원본!$B$5:$B$3004,설정!$C$8,예산_원본!$U$5:$U$3004,L1274)&gt;0,"Y","N"))</f>
        <v/>
      </c>
      <c r="Q1274" s="63">
        <f>IF($A1274="","",IF(COUNTIF(집계!$E$7:$E$506,O1274)&gt;0,"Y","N"))</f>
        <v/>
      </c>
    </row>
    <row r="1275">
      <c r="A1275" s="60" t="n">
        <v>2026</v>
      </c>
      <c r="B1275" s="60" t="n">
        <v>5</v>
      </c>
      <c r="C1275" s="60" t="inlineStr">
        <is>
          <t>1000</t>
        </is>
      </c>
      <c r="D1275" s="60" t="n">
        <v>1301</v>
      </c>
      <c r="E1275" s="60" t="inlineStr">
        <is>
          <t>인사</t>
        </is>
      </c>
      <c r="F1275" s="60" t="n">
        <v>62601000</v>
      </c>
      <c r="G1275" s="60" t="inlineStr">
        <is>
          <t>업무추진비</t>
        </is>
      </c>
      <c r="H1275" s="61" t="n">
        <v>2306940</v>
      </c>
      <c r="J1275" s="63">
        <f>IF($A1275="","",IFERROR(INDEX(부서매핑!$C$5:$C$504,MATCH($D1275&amp;"",부서매핑!$A$5:$A$504,0)),"미매핑"))</f>
        <v/>
      </c>
      <c r="K1275" s="63">
        <f>IF($A1275="","",IFERROR(INDEX(계정매핑!$C$5:$C$504,MATCH($F1275&amp;"",계정매핑!$A$5:$A$504,0)),"미매핑"))</f>
        <v/>
      </c>
      <c r="L1275" s="4">
        <f>IF($A1275="","",VALUE($A1275&amp;""))</f>
        <v/>
      </c>
      <c r="M1275" s="4">
        <f>IF($A1275="","",VALUE($B1275&amp;""))</f>
        <v/>
      </c>
      <c r="N1275" s="64">
        <f>IF($A1275="","",$H1275*설정!$C$15)</f>
        <v/>
      </c>
      <c r="O1275" s="4">
        <f>IF($A1275="","",J1275&amp;"|"&amp;K1275)</f>
        <v/>
      </c>
      <c r="P1275" s="63">
        <f>IF($A1275="","",IF(COUNTIFS(예산_원본!$T$5:$T$3004,O1275,예산_원본!$B$5:$B$3004,설정!$C$8,예산_원본!$U$5:$U$3004,L1275)&gt;0,"Y","N"))</f>
        <v/>
      </c>
      <c r="Q1275" s="63">
        <f>IF($A1275="","",IF(COUNTIF(집계!$E$7:$E$506,O1275)&gt;0,"Y","N"))</f>
        <v/>
      </c>
    </row>
    <row r="1276">
      <c r="A1276" s="60" t="n">
        <v>2026</v>
      </c>
      <c r="B1276" s="60" t="n">
        <v>5</v>
      </c>
      <c r="C1276" s="60" t="inlineStr">
        <is>
          <t>1000</t>
        </is>
      </c>
      <c r="D1276" s="60" t="n">
        <v>1301</v>
      </c>
      <c r="E1276" s="60" t="inlineStr">
        <is>
          <t>인사</t>
        </is>
      </c>
      <c r="F1276" s="60" t="n">
        <v>62801000</v>
      </c>
      <c r="G1276" s="60" t="inlineStr">
        <is>
          <t>교육훈련비-사내</t>
        </is>
      </c>
      <c r="H1276" s="61" t="n">
        <v>9847140</v>
      </c>
      <c r="J1276" s="63">
        <f>IF($A1276="","",IFERROR(INDEX(부서매핑!$C$5:$C$504,MATCH($D1276&amp;"",부서매핑!$A$5:$A$504,0)),"미매핑"))</f>
        <v/>
      </c>
      <c r="K1276" s="63">
        <f>IF($A1276="","",IFERROR(INDEX(계정매핑!$C$5:$C$504,MATCH($F1276&amp;"",계정매핑!$A$5:$A$504,0)),"미매핑"))</f>
        <v/>
      </c>
      <c r="L1276" s="4">
        <f>IF($A1276="","",VALUE($A1276&amp;""))</f>
        <v/>
      </c>
      <c r="M1276" s="4">
        <f>IF($A1276="","",VALUE($B1276&amp;""))</f>
        <v/>
      </c>
      <c r="N1276" s="64">
        <f>IF($A1276="","",$H1276*설정!$C$15)</f>
        <v/>
      </c>
      <c r="O1276" s="4">
        <f>IF($A1276="","",J1276&amp;"|"&amp;K1276)</f>
        <v/>
      </c>
      <c r="P1276" s="63">
        <f>IF($A1276="","",IF(COUNTIFS(예산_원본!$T$5:$T$3004,O1276,예산_원본!$B$5:$B$3004,설정!$C$8,예산_원본!$U$5:$U$3004,L1276)&gt;0,"Y","N"))</f>
        <v/>
      </c>
      <c r="Q1276" s="63">
        <f>IF($A1276="","",IF(COUNTIF(집계!$E$7:$E$506,O1276)&gt;0,"Y","N"))</f>
        <v/>
      </c>
    </row>
    <row r="1277">
      <c r="A1277" s="60" t="n">
        <v>2026</v>
      </c>
      <c r="B1277" s="60" t="n">
        <v>5</v>
      </c>
      <c r="C1277" s="60" t="inlineStr">
        <is>
          <t>1000</t>
        </is>
      </c>
      <c r="D1277" s="60" t="n">
        <v>1301</v>
      </c>
      <c r="E1277" s="60" t="inlineStr">
        <is>
          <t>인사</t>
        </is>
      </c>
      <c r="F1277" s="60" t="n">
        <v>62802000</v>
      </c>
      <c r="G1277" s="60" t="inlineStr">
        <is>
          <t>교육훈련비-외부위탁</t>
        </is>
      </c>
      <c r="H1277" s="61" t="n">
        <v>13718780</v>
      </c>
      <c r="J1277" s="63">
        <f>IF($A1277="","",IFERROR(INDEX(부서매핑!$C$5:$C$504,MATCH($D1277&amp;"",부서매핑!$A$5:$A$504,0)),"미매핑"))</f>
        <v/>
      </c>
      <c r="K1277" s="63">
        <f>IF($A1277="","",IFERROR(INDEX(계정매핑!$C$5:$C$504,MATCH($F1277&amp;"",계정매핑!$A$5:$A$504,0)),"미매핑"))</f>
        <v/>
      </c>
      <c r="L1277" s="4">
        <f>IF($A1277="","",VALUE($A1277&amp;""))</f>
        <v/>
      </c>
      <c r="M1277" s="4">
        <f>IF($A1277="","",VALUE($B1277&amp;""))</f>
        <v/>
      </c>
      <c r="N1277" s="64">
        <f>IF($A1277="","",$H1277*설정!$C$15)</f>
        <v/>
      </c>
      <c r="O1277" s="4">
        <f>IF($A1277="","",J1277&amp;"|"&amp;K1277)</f>
        <v/>
      </c>
      <c r="P1277" s="63">
        <f>IF($A1277="","",IF(COUNTIFS(예산_원본!$T$5:$T$3004,O1277,예산_원본!$B$5:$B$3004,설정!$C$8,예산_원본!$U$5:$U$3004,L1277)&gt;0,"Y","N"))</f>
        <v/>
      </c>
      <c r="Q1277" s="63">
        <f>IF($A1277="","",IF(COUNTIF(집계!$E$7:$E$506,O1277)&gt;0,"Y","N"))</f>
        <v/>
      </c>
    </row>
    <row r="1278">
      <c r="A1278" s="60" t="n">
        <v>2026</v>
      </c>
      <c r="B1278" s="60" t="n">
        <v>5</v>
      </c>
      <c r="C1278" s="60" t="inlineStr">
        <is>
          <t>1000</t>
        </is>
      </c>
      <c r="D1278" s="60" t="n">
        <v>1401</v>
      </c>
      <c r="E1278" s="60" t="inlineStr">
        <is>
          <t>상품개발</t>
        </is>
      </c>
      <c r="F1278" s="60" t="n">
        <v>62101000</v>
      </c>
      <c r="G1278" s="60" t="inlineStr">
        <is>
          <t>여비교통비-국내</t>
        </is>
      </c>
      <c r="H1278" s="61" t="n">
        <v>1930270</v>
      </c>
      <c r="J1278" s="63">
        <f>IF($A1278="","",IFERROR(INDEX(부서매핑!$C$5:$C$504,MATCH($D1278&amp;"",부서매핑!$A$5:$A$504,0)),"미매핑"))</f>
        <v/>
      </c>
      <c r="K1278" s="63">
        <f>IF($A1278="","",IFERROR(INDEX(계정매핑!$C$5:$C$504,MATCH($F1278&amp;"",계정매핑!$A$5:$A$504,0)),"미매핑"))</f>
        <v/>
      </c>
      <c r="L1278" s="4">
        <f>IF($A1278="","",VALUE($A1278&amp;""))</f>
        <v/>
      </c>
      <c r="M1278" s="4">
        <f>IF($A1278="","",VALUE($B1278&amp;""))</f>
        <v/>
      </c>
      <c r="N1278" s="64">
        <f>IF($A1278="","",$H1278*설정!$C$15)</f>
        <v/>
      </c>
      <c r="O1278" s="4">
        <f>IF($A1278="","",J1278&amp;"|"&amp;K1278)</f>
        <v/>
      </c>
      <c r="P1278" s="63">
        <f>IF($A1278="","",IF(COUNTIFS(예산_원본!$T$5:$T$3004,O1278,예산_원본!$B$5:$B$3004,설정!$C$8,예산_원본!$U$5:$U$3004,L1278)&gt;0,"Y","N"))</f>
        <v/>
      </c>
      <c r="Q1278" s="63">
        <f>IF($A1278="","",IF(COUNTIF(집계!$E$7:$E$506,O1278)&gt;0,"Y","N"))</f>
        <v/>
      </c>
    </row>
    <row r="1279">
      <c r="A1279" s="60" t="n">
        <v>2026</v>
      </c>
      <c r="B1279" s="60" t="n">
        <v>5</v>
      </c>
      <c r="C1279" s="60" t="inlineStr">
        <is>
          <t>1000</t>
        </is>
      </c>
      <c r="D1279" s="60" t="n">
        <v>1401</v>
      </c>
      <c r="E1279" s="60" t="inlineStr">
        <is>
          <t>상품개발</t>
        </is>
      </c>
      <c r="F1279" s="60" t="n">
        <v>62102000</v>
      </c>
      <c r="G1279" s="60" t="inlineStr">
        <is>
          <t>여비교통비-해외</t>
        </is>
      </c>
      <c r="H1279" s="61" t="n">
        <v>316230</v>
      </c>
      <c r="J1279" s="63">
        <f>IF($A1279="","",IFERROR(INDEX(부서매핑!$C$5:$C$504,MATCH($D1279&amp;"",부서매핑!$A$5:$A$504,0)),"미매핑"))</f>
        <v/>
      </c>
      <c r="K1279" s="63">
        <f>IF($A1279="","",IFERROR(INDEX(계정매핑!$C$5:$C$504,MATCH($F1279&amp;"",계정매핑!$A$5:$A$504,0)),"미매핑"))</f>
        <v/>
      </c>
      <c r="L1279" s="4">
        <f>IF($A1279="","",VALUE($A1279&amp;""))</f>
        <v/>
      </c>
      <c r="M1279" s="4">
        <f>IF($A1279="","",VALUE($B1279&amp;""))</f>
        <v/>
      </c>
      <c r="N1279" s="64">
        <f>IF($A1279="","",$H1279*설정!$C$15)</f>
        <v/>
      </c>
      <c r="O1279" s="4">
        <f>IF($A1279="","",J1279&amp;"|"&amp;K1279)</f>
        <v/>
      </c>
      <c r="P1279" s="63">
        <f>IF($A1279="","",IF(COUNTIFS(예산_원본!$T$5:$T$3004,O1279,예산_원본!$B$5:$B$3004,설정!$C$8,예산_원본!$U$5:$U$3004,L1279)&gt;0,"Y","N"))</f>
        <v/>
      </c>
      <c r="Q1279" s="63">
        <f>IF($A1279="","",IF(COUNTIF(집계!$E$7:$E$506,O1279)&gt;0,"Y","N"))</f>
        <v/>
      </c>
    </row>
    <row r="1280">
      <c r="A1280" s="60" t="n">
        <v>2026</v>
      </c>
      <c r="B1280" s="60" t="n">
        <v>5</v>
      </c>
      <c r="C1280" s="60" t="inlineStr">
        <is>
          <t>1000</t>
        </is>
      </c>
      <c r="D1280" s="60" t="n">
        <v>1401</v>
      </c>
      <c r="E1280" s="60" t="inlineStr">
        <is>
          <t>상품개발</t>
        </is>
      </c>
      <c r="F1280" s="60" t="n">
        <v>62201000</v>
      </c>
      <c r="G1280" s="60" t="inlineStr">
        <is>
          <t>통신비</t>
        </is>
      </c>
      <c r="H1280" s="61" t="n">
        <v>581690</v>
      </c>
      <c r="J1280" s="63">
        <f>IF($A1280="","",IFERROR(INDEX(부서매핑!$C$5:$C$504,MATCH($D1280&amp;"",부서매핑!$A$5:$A$504,0)),"미매핑"))</f>
        <v/>
      </c>
      <c r="K1280" s="63">
        <f>IF($A1280="","",IFERROR(INDEX(계정매핑!$C$5:$C$504,MATCH($F1280&amp;"",계정매핑!$A$5:$A$504,0)),"미매핑"))</f>
        <v/>
      </c>
      <c r="L1280" s="4">
        <f>IF($A1280="","",VALUE($A1280&amp;""))</f>
        <v/>
      </c>
      <c r="M1280" s="4">
        <f>IF($A1280="","",VALUE($B1280&amp;""))</f>
        <v/>
      </c>
      <c r="N1280" s="64">
        <f>IF($A1280="","",$H1280*설정!$C$15)</f>
        <v/>
      </c>
      <c r="O1280" s="4">
        <f>IF($A1280="","",J1280&amp;"|"&amp;K1280)</f>
        <v/>
      </c>
      <c r="P1280" s="63">
        <f>IF($A1280="","",IF(COUNTIFS(예산_원본!$T$5:$T$3004,O1280,예산_원본!$B$5:$B$3004,설정!$C$8,예산_원본!$U$5:$U$3004,L1280)&gt;0,"Y","N"))</f>
        <v/>
      </c>
      <c r="Q1280" s="63">
        <f>IF($A1280="","",IF(COUNTIF(집계!$E$7:$E$506,O1280)&gt;0,"Y","N"))</f>
        <v/>
      </c>
    </row>
    <row r="1281">
      <c r="A1281" s="60" t="n">
        <v>2026</v>
      </c>
      <c r="B1281" s="60" t="n">
        <v>5</v>
      </c>
      <c r="C1281" s="60" t="inlineStr">
        <is>
          <t>1000</t>
        </is>
      </c>
      <c r="D1281" s="60" t="n">
        <v>1401</v>
      </c>
      <c r="E1281" s="60" t="inlineStr">
        <is>
          <t>상품개발</t>
        </is>
      </c>
      <c r="F1281" s="60" t="n">
        <v>62301000</v>
      </c>
      <c r="G1281" s="60" t="inlineStr">
        <is>
          <t>소모품비</t>
        </is>
      </c>
      <c r="H1281" s="61" t="n">
        <v>367360</v>
      </c>
      <c r="J1281" s="63">
        <f>IF($A1281="","",IFERROR(INDEX(부서매핑!$C$5:$C$504,MATCH($D1281&amp;"",부서매핑!$A$5:$A$504,0)),"미매핑"))</f>
        <v/>
      </c>
      <c r="K1281" s="63">
        <f>IF($A1281="","",IFERROR(INDEX(계정매핑!$C$5:$C$504,MATCH($F1281&amp;"",계정매핑!$A$5:$A$504,0)),"미매핑"))</f>
        <v/>
      </c>
      <c r="L1281" s="4">
        <f>IF($A1281="","",VALUE($A1281&amp;""))</f>
        <v/>
      </c>
      <c r="M1281" s="4">
        <f>IF($A1281="","",VALUE($B1281&amp;""))</f>
        <v/>
      </c>
      <c r="N1281" s="64">
        <f>IF($A1281="","",$H1281*설정!$C$15)</f>
        <v/>
      </c>
      <c r="O1281" s="4">
        <f>IF($A1281="","",J1281&amp;"|"&amp;K1281)</f>
        <v/>
      </c>
      <c r="P1281" s="63">
        <f>IF($A1281="","",IF(COUNTIFS(예산_원본!$T$5:$T$3004,O1281,예산_원본!$B$5:$B$3004,설정!$C$8,예산_원본!$U$5:$U$3004,L1281)&gt;0,"Y","N"))</f>
        <v/>
      </c>
      <c r="Q1281" s="63">
        <f>IF($A1281="","",IF(COUNTIF(집계!$E$7:$E$506,O1281)&gt;0,"Y","N"))</f>
        <v/>
      </c>
    </row>
    <row r="1282">
      <c r="A1282" s="60" t="n">
        <v>2026</v>
      </c>
      <c r="B1282" s="60" t="n">
        <v>5</v>
      </c>
      <c r="C1282" s="60" t="inlineStr">
        <is>
          <t>1000</t>
        </is>
      </c>
      <c r="D1282" s="60" t="n">
        <v>1401</v>
      </c>
      <c r="E1282" s="60" t="inlineStr">
        <is>
          <t>상품개발</t>
        </is>
      </c>
      <c r="F1282" s="60" t="n">
        <v>62401000</v>
      </c>
      <c r="G1282" s="60" t="inlineStr">
        <is>
          <t>도서인쇄비</t>
        </is>
      </c>
      <c r="H1282" s="61" t="n">
        <v>1120510</v>
      </c>
      <c r="J1282" s="63">
        <f>IF($A1282="","",IFERROR(INDEX(부서매핑!$C$5:$C$504,MATCH($D1282&amp;"",부서매핑!$A$5:$A$504,0)),"미매핑"))</f>
        <v/>
      </c>
      <c r="K1282" s="63">
        <f>IF($A1282="","",IFERROR(INDEX(계정매핑!$C$5:$C$504,MATCH($F1282&amp;"",계정매핑!$A$5:$A$504,0)),"미매핑"))</f>
        <v/>
      </c>
      <c r="L1282" s="4">
        <f>IF($A1282="","",VALUE($A1282&amp;""))</f>
        <v/>
      </c>
      <c r="M1282" s="4">
        <f>IF($A1282="","",VALUE($B1282&amp;""))</f>
        <v/>
      </c>
      <c r="N1282" s="64">
        <f>IF($A1282="","",$H1282*설정!$C$15)</f>
        <v/>
      </c>
      <c r="O1282" s="4">
        <f>IF($A1282="","",J1282&amp;"|"&amp;K1282)</f>
        <v/>
      </c>
      <c r="P1282" s="63">
        <f>IF($A1282="","",IF(COUNTIFS(예산_원본!$T$5:$T$3004,O1282,예산_원본!$B$5:$B$3004,설정!$C$8,예산_원본!$U$5:$U$3004,L1282)&gt;0,"Y","N"))</f>
        <v/>
      </c>
      <c r="Q1282" s="63">
        <f>IF($A1282="","",IF(COUNTIF(집계!$E$7:$E$506,O1282)&gt;0,"Y","N"))</f>
        <v/>
      </c>
    </row>
    <row r="1283">
      <c r="A1283" s="60" t="n">
        <v>2026</v>
      </c>
      <c r="B1283" s="60" t="n">
        <v>5</v>
      </c>
      <c r="C1283" s="60" t="inlineStr">
        <is>
          <t>1000</t>
        </is>
      </c>
      <c r="D1283" s="60" t="n">
        <v>1401</v>
      </c>
      <c r="E1283" s="60" t="inlineStr">
        <is>
          <t>상품개발</t>
        </is>
      </c>
      <c r="F1283" s="60" t="n">
        <v>62501000</v>
      </c>
      <c r="G1283" s="60" t="inlineStr">
        <is>
          <t>회의비</t>
        </is>
      </c>
      <c r="H1283" s="61" t="n">
        <v>623240</v>
      </c>
      <c r="J1283" s="63">
        <f>IF($A1283="","",IFERROR(INDEX(부서매핑!$C$5:$C$504,MATCH($D1283&amp;"",부서매핑!$A$5:$A$504,0)),"미매핑"))</f>
        <v/>
      </c>
      <c r="K1283" s="63">
        <f>IF($A1283="","",IFERROR(INDEX(계정매핑!$C$5:$C$504,MATCH($F1283&amp;"",계정매핑!$A$5:$A$504,0)),"미매핑"))</f>
        <v/>
      </c>
      <c r="L1283" s="4">
        <f>IF($A1283="","",VALUE($A1283&amp;""))</f>
        <v/>
      </c>
      <c r="M1283" s="4">
        <f>IF($A1283="","",VALUE($B1283&amp;""))</f>
        <v/>
      </c>
      <c r="N1283" s="64">
        <f>IF($A1283="","",$H1283*설정!$C$15)</f>
        <v/>
      </c>
      <c r="O1283" s="4">
        <f>IF($A1283="","",J1283&amp;"|"&amp;K1283)</f>
        <v/>
      </c>
      <c r="P1283" s="63">
        <f>IF($A1283="","",IF(COUNTIFS(예산_원본!$T$5:$T$3004,O1283,예산_원본!$B$5:$B$3004,설정!$C$8,예산_원본!$U$5:$U$3004,L1283)&gt;0,"Y","N"))</f>
        <v/>
      </c>
      <c r="Q1283" s="63">
        <f>IF($A1283="","",IF(COUNTIF(집계!$E$7:$E$506,O1283)&gt;0,"Y","N"))</f>
        <v/>
      </c>
    </row>
    <row r="1284">
      <c r="A1284" s="60" t="n">
        <v>2026</v>
      </c>
      <c r="B1284" s="60" t="n">
        <v>5</v>
      </c>
      <c r="C1284" s="60" t="inlineStr">
        <is>
          <t>1000</t>
        </is>
      </c>
      <c r="D1284" s="60" t="n">
        <v>1401</v>
      </c>
      <c r="E1284" s="60" t="inlineStr">
        <is>
          <t>상품개발</t>
        </is>
      </c>
      <c r="F1284" s="60" t="n">
        <v>62901000</v>
      </c>
      <c r="G1284" s="60" t="inlineStr">
        <is>
          <t>지급수수료-컨설팅</t>
        </is>
      </c>
      <c r="H1284" s="61" t="n">
        <v>11015550</v>
      </c>
      <c r="J1284" s="63">
        <f>IF($A1284="","",IFERROR(INDEX(부서매핑!$C$5:$C$504,MATCH($D1284&amp;"",부서매핑!$A$5:$A$504,0)),"미매핑"))</f>
        <v/>
      </c>
      <c r="K1284" s="63">
        <f>IF($A1284="","",IFERROR(INDEX(계정매핑!$C$5:$C$504,MATCH($F1284&amp;"",계정매핑!$A$5:$A$504,0)),"미매핑"))</f>
        <v/>
      </c>
      <c r="L1284" s="4">
        <f>IF($A1284="","",VALUE($A1284&amp;""))</f>
        <v/>
      </c>
      <c r="M1284" s="4">
        <f>IF($A1284="","",VALUE($B1284&amp;""))</f>
        <v/>
      </c>
      <c r="N1284" s="64">
        <f>IF($A1284="","",$H1284*설정!$C$15)</f>
        <v/>
      </c>
      <c r="O1284" s="4">
        <f>IF($A1284="","",J1284&amp;"|"&amp;K1284)</f>
        <v/>
      </c>
      <c r="P1284" s="63">
        <f>IF($A1284="","",IF(COUNTIFS(예산_원본!$T$5:$T$3004,O1284,예산_원본!$B$5:$B$3004,설정!$C$8,예산_원본!$U$5:$U$3004,L1284)&gt;0,"Y","N"))</f>
        <v/>
      </c>
      <c r="Q1284" s="63">
        <f>IF($A1284="","",IF(COUNTIF(집계!$E$7:$E$506,O1284)&gt;0,"Y","N"))</f>
        <v/>
      </c>
    </row>
    <row r="1285">
      <c r="A1285" s="60" t="n">
        <v>2026</v>
      </c>
      <c r="B1285" s="60" t="n">
        <v>5</v>
      </c>
      <c r="C1285" s="60" t="inlineStr">
        <is>
          <t>1000</t>
        </is>
      </c>
      <c r="D1285" s="60" t="n">
        <v>1401</v>
      </c>
      <c r="E1285" s="60" t="inlineStr">
        <is>
          <t>상품개발</t>
        </is>
      </c>
      <c r="F1285" s="60" t="n">
        <v>62902000</v>
      </c>
      <c r="G1285" s="60" t="inlineStr">
        <is>
          <t>지급수수료-기타</t>
        </is>
      </c>
      <c r="H1285" s="61" t="n">
        <v>5007740</v>
      </c>
      <c r="J1285" s="63">
        <f>IF($A1285="","",IFERROR(INDEX(부서매핑!$C$5:$C$504,MATCH($D1285&amp;"",부서매핑!$A$5:$A$504,0)),"미매핑"))</f>
        <v/>
      </c>
      <c r="K1285" s="63">
        <f>IF($A1285="","",IFERROR(INDEX(계정매핑!$C$5:$C$504,MATCH($F1285&amp;"",계정매핑!$A$5:$A$504,0)),"미매핑"))</f>
        <v/>
      </c>
      <c r="L1285" s="4">
        <f>IF($A1285="","",VALUE($A1285&amp;""))</f>
        <v/>
      </c>
      <c r="M1285" s="4">
        <f>IF($A1285="","",VALUE($B1285&amp;""))</f>
        <v/>
      </c>
      <c r="N1285" s="64">
        <f>IF($A1285="","",$H1285*설정!$C$15)</f>
        <v/>
      </c>
      <c r="O1285" s="4">
        <f>IF($A1285="","",J1285&amp;"|"&amp;K1285)</f>
        <v/>
      </c>
      <c r="P1285" s="63">
        <f>IF($A1285="","",IF(COUNTIFS(예산_원본!$T$5:$T$3004,O1285,예산_원본!$B$5:$B$3004,설정!$C$8,예산_원본!$U$5:$U$3004,L1285)&gt;0,"Y","N"))</f>
        <v/>
      </c>
      <c r="Q1285" s="63">
        <f>IF($A1285="","",IF(COUNTIF(집계!$E$7:$E$506,O1285)&gt;0,"Y","N"))</f>
        <v/>
      </c>
    </row>
    <row r="1286">
      <c r="A1286" s="60" t="n">
        <v>2026</v>
      </c>
      <c r="B1286" s="60" t="n">
        <v>5</v>
      </c>
      <c r="C1286" s="60" t="inlineStr">
        <is>
          <t>1000</t>
        </is>
      </c>
      <c r="D1286" s="60" t="n">
        <v>1501</v>
      </c>
      <c r="E1286" s="60" t="inlineStr">
        <is>
          <t>마케팅전략</t>
        </is>
      </c>
      <c r="F1286" s="60" t="n">
        <v>62101000</v>
      </c>
      <c r="G1286" s="60" t="inlineStr">
        <is>
          <t>여비교통비-국내</t>
        </is>
      </c>
      <c r="H1286" s="61" t="n">
        <v>1888040</v>
      </c>
      <c r="J1286" s="63">
        <f>IF($A1286="","",IFERROR(INDEX(부서매핑!$C$5:$C$504,MATCH($D1286&amp;"",부서매핑!$A$5:$A$504,0)),"미매핑"))</f>
        <v/>
      </c>
      <c r="K1286" s="63">
        <f>IF($A1286="","",IFERROR(INDEX(계정매핑!$C$5:$C$504,MATCH($F1286&amp;"",계정매핑!$A$5:$A$504,0)),"미매핑"))</f>
        <v/>
      </c>
      <c r="L1286" s="4">
        <f>IF($A1286="","",VALUE($A1286&amp;""))</f>
        <v/>
      </c>
      <c r="M1286" s="4">
        <f>IF($A1286="","",VALUE($B1286&amp;""))</f>
        <v/>
      </c>
      <c r="N1286" s="64">
        <f>IF($A1286="","",$H1286*설정!$C$15)</f>
        <v/>
      </c>
      <c r="O1286" s="4">
        <f>IF($A1286="","",J1286&amp;"|"&amp;K1286)</f>
        <v/>
      </c>
      <c r="P1286" s="63">
        <f>IF($A1286="","",IF(COUNTIFS(예산_원본!$T$5:$T$3004,O1286,예산_원본!$B$5:$B$3004,설정!$C$8,예산_원본!$U$5:$U$3004,L1286)&gt;0,"Y","N"))</f>
        <v/>
      </c>
      <c r="Q1286" s="63">
        <f>IF($A1286="","",IF(COUNTIF(집계!$E$7:$E$506,O1286)&gt;0,"Y","N"))</f>
        <v/>
      </c>
    </row>
    <row r="1287">
      <c r="A1287" s="60" t="n">
        <v>2026</v>
      </c>
      <c r="B1287" s="60" t="n">
        <v>5</v>
      </c>
      <c r="C1287" s="60" t="inlineStr">
        <is>
          <t>1000</t>
        </is>
      </c>
      <c r="D1287" s="60" t="n">
        <v>1501</v>
      </c>
      <c r="E1287" s="60" t="inlineStr">
        <is>
          <t>마케팅전략</t>
        </is>
      </c>
      <c r="F1287" s="60" t="n">
        <v>62102000</v>
      </c>
      <c r="G1287" s="60" t="inlineStr">
        <is>
          <t>여비교통비-해외</t>
        </is>
      </c>
      <c r="H1287" s="61" t="n">
        <v>323160</v>
      </c>
      <c r="J1287" s="63">
        <f>IF($A1287="","",IFERROR(INDEX(부서매핑!$C$5:$C$504,MATCH($D1287&amp;"",부서매핑!$A$5:$A$504,0)),"미매핑"))</f>
        <v/>
      </c>
      <c r="K1287" s="63">
        <f>IF($A1287="","",IFERROR(INDEX(계정매핑!$C$5:$C$504,MATCH($F1287&amp;"",계정매핑!$A$5:$A$504,0)),"미매핑"))</f>
        <v/>
      </c>
      <c r="L1287" s="4">
        <f>IF($A1287="","",VALUE($A1287&amp;""))</f>
        <v/>
      </c>
      <c r="M1287" s="4">
        <f>IF($A1287="","",VALUE($B1287&amp;""))</f>
        <v/>
      </c>
      <c r="N1287" s="64">
        <f>IF($A1287="","",$H1287*설정!$C$15)</f>
        <v/>
      </c>
      <c r="O1287" s="4">
        <f>IF($A1287="","",J1287&amp;"|"&amp;K1287)</f>
        <v/>
      </c>
      <c r="P1287" s="63">
        <f>IF($A1287="","",IF(COUNTIFS(예산_원본!$T$5:$T$3004,O1287,예산_원본!$B$5:$B$3004,설정!$C$8,예산_원본!$U$5:$U$3004,L1287)&gt;0,"Y","N"))</f>
        <v/>
      </c>
      <c r="Q1287" s="63">
        <f>IF($A1287="","",IF(COUNTIF(집계!$E$7:$E$506,O1287)&gt;0,"Y","N"))</f>
        <v/>
      </c>
    </row>
    <row r="1288">
      <c r="A1288" s="60" t="n">
        <v>2026</v>
      </c>
      <c r="B1288" s="60" t="n">
        <v>5</v>
      </c>
      <c r="C1288" s="60" t="inlineStr">
        <is>
          <t>1000</t>
        </is>
      </c>
      <c r="D1288" s="60" t="n">
        <v>1501</v>
      </c>
      <c r="E1288" s="60" t="inlineStr">
        <is>
          <t>마케팅전략</t>
        </is>
      </c>
      <c r="F1288" s="60" t="n">
        <v>62201000</v>
      </c>
      <c r="G1288" s="60" t="inlineStr">
        <is>
          <t>통신비</t>
        </is>
      </c>
      <c r="H1288" s="61" t="n">
        <v>604630</v>
      </c>
      <c r="J1288" s="63">
        <f>IF($A1288="","",IFERROR(INDEX(부서매핑!$C$5:$C$504,MATCH($D1288&amp;"",부서매핑!$A$5:$A$504,0)),"미매핑"))</f>
        <v/>
      </c>
      <c r="K1288" s="63">
        <f>IF($A1288="","",IFERROR(INDEX(계정매핑!$C$5:$C$504,MATCH($F1288&amp;"",계정매핑!$A$5:$A$504,0)),"미매핑"))</f>
        <v/>
      </c>
      <c r="L1288" s="4">
        <f>IF($A1288="","",VALUE($A1288&amp;""))</f>
        <v/>
      </c>
      <c r="M1288" s="4">
        <f>IF($A1288="","",VALUE($B1288&amp;""))</f>
        <v/>
      </c>
      <c r="N1288" s="64">
        <f>IF($A1288="","",$H1288*설정!$C$15)</f>
        <v/>
      </c>
      <c r="O1288" s="4">
        <f>IF($A1288="","",J1288&amp;"|"&amp;K1288)</f>
        <v/>
      </c>
      <c r="P1288" s="63">
        <f>IF($A1288="","",IF(COUNTIFS(예산_원본!$T$5:$T$3004,O1288,예산_원본!$B$5:$B$3004,설정!$C$8,예산_원본!$U$5:$U$3004,L1288)&gt;0,"Y","N"))</f>
        <v/>
      </c>
      <c r="Q1288" s="63">
        <f>IF($A1288="","",IF(COUNTIF(집계!$E$7:$E$506,O1288)&gt;0,"Y","N"))</f>
        <v/>
      </c>
    </row>
    <row r="1289">
      <c r="A1289" s="60" t="n">
        <v>2026</v>
      </c>
      <c r="B1289" s="60" t="n">
        <v>5</v>
      </c>
      <c r="C1289" s="60" t="inlineStr">
        <is>
          <t>1000</t>
        </is>
      </c>
      <c r="D1289" s="60" t="n">
        <v>1501</v>
      </c>
      <c r="E1289" s="60" t="inlineStr">
        <is>
          <t>마케팅전략</t>
        </is>
      </c>
      <c r="F1289" s="60" t="n">
        <v>62301000</v>
      </c>
      <c r="G1289" s="60" t="inlineStr">
        <is>
          <t>소모품비</t>
        </is>
      </c>
      <c r="H1289" s="61" t="n">
        <v>433790</v>
      </c>
      <c r="J1289" s="63">
        <f>IF($A1289="","",IFERROR(INDEX(부서매핑!$C$5:$C$504,MATCH($D1289&amp;"",부서매핑!$A$5:$A$504,0)),"미매핑"))</f>
        <v/>
      </c>
      <c r="K1289" s="63">
        <f>IF($A1289="","",IFERROR(INDEX(계정매핑!$C$5:$C$504,MATCH($F1289&amp;"",계정매핑!$A$5:$A$504,0)),"미매핑"))</f>
        <v/>
      </c>
      <c r="L1289" s="4">
        <f>IF($A1289="","",VALUE($A1289&amp;""))</f>
        <v/>
      </c>
      <c r="M1289" s="4">
        <f>IF($A1289="","",VALUE($B1289&amp;""))</f>
        <v/>
      </c>
      <c r="N1289" s="64">
        <f>IF($A1289="","",$H1289*설정!$C$15)</f>
        <v/>
      </c>
      <c r="O1289" s="4">
        <f>IF($A1289="","",J1289&amp;"|"&amp;K1289)</f>
        <v/>
      </c>
      <c r="P1289" s="63">
        <f>IF($A1289="","",IF(COUNTIFS(예산_원본!$T$5:$T$3004,O1289,예산_원본!$B$5:$B$3004,설정!$C$8,예산_원본!$U$5:$U$3004,L1289)&gt;0,"Y","N"))</f>
        <v/>
      </c>
      <c r="Q1289" s="63">
        <f>IF($A1289="","",IF(COUNTIF(집계!$E$7:$E$506,O1289)&gt;0,"Y","N"))</f>
        <v/>
      </c>
    </row>
    <row r="1290">
      <c r="A1290" s="60" t="n">
        <v>2026</v>
      </c>
      <c r="B1290" s="60" t="n">
        <v>5</v>
      </c>
      <c r="C1290" s="60" t="inlineStr">
        <is>
          <t>1000</t>
        </is>
      </c>
      <c r="D1290" s="60" t="n">
        <v>1501</v>
      </c>
      <c r="E1290" s="60" t="inlineStr">
        <is>
          <t>마케팅전략</t>
        </is>
      </c>
      <c r="F1290" s="60" t="n">
        <v>62401000</v>
      </c>
      <c r="G1290" s="60" t="inlineStr">
        <is>
          <t>도서인쇄비</t>
        </is>
      </c>
      <c r="H1290" s="61" t="n">
        <v>4921050</v>
      </c>
      <c r="J1290" s="63">
        <f>IF($A1290="","",IFERROR(INDEX(부서매핑!$C$5:$C$504,MATCH($D1290&amp;"",부서매핑!$A$5:$A$504,0)),"미매핑"))</f>
        <v/>
      </c>
      <c r="K1290" s="63">
        <f>IF($A1290="","",IFERROR(INDEX(계정매핑!$C$5:$C$504,MATCH($F1290&amp;"",계정매핑!$A$5:$A$504,0)),"미매핑"))</f>
        <v/>
      </c>
      <c r="L1290" s="4">
        <f>IF($A1290="","",VALUE($A1290&amp;""))</f>
        <v/>
      </c>
      <c r="M1290" s="4">
        <f>IF($A1290="","",VALUE($B1290&amp;""))</f>
        <v/>
      </c>
      <c r="N1290" s="64">
        <f>IF($A1290="","",$H1290*설정!$C$15)</f>
        <v/>
      </c>
      <c r="O1290" s="4">
        <f>IF($A1290="","",J1290&amp;"|"&amp;K1290)</f>
        <v/>
      </c>
      <c r="P1290" s="63">
        <f>IF($A1290="","",IF(COUNTIFS(예산_원본!$T$5:$T$3004,O1290,예산_원본!$B$5:$B$3004,설정!$C$8,예산_원본!$U$5:$U$3004,L1290)&gt;0,"Y","N"))</f>
        <v/>
      </c>
      <c r="Q1290" s="63">
        <f>IF($A1290="","",IF(COUNTIF(집계!$E$7:$E$506,O1290)&gt;0,"Y","N"))</f>
        <v/>
      </c>
    </row>
    <row r="1291">
      <c r="A1291" s="60" t="n">
        <v>2026</v>
      </c>
      <c r="B1291" s="60" t="n">
        <v>5</v>
      </c>
      <c r="C1291" s="60" t="inlineStr">
        <is>
          <t>1000</t>
        </is>
      </c>
      <c r="D1291" s="60" t="n">
        <v>1501</v>
      </c>
      <c r="E1291" s="60" t="inlineStr">
        <is>
          <t>마케팅전략</t>
        </is>
      </c>
      <c r="F1291" s="60" t="n">
        <v>62501000</v>
      </c>
      <c r="G1291" s="60" t="inlineStr">
        <is>
          <t>회의비</t>
        </is>
      </c>
      <c r="H1291" s="61" t="n">
        <v>753120</v>
      </c>
      <c r="J1291" s="63">
        <f>IF($A1291="","",IFERROR(INDEX(부서매핑!$C$5:$C$504,MATCH($D1291&amp;"",부서매핑!$A$5:$A$504,0)),"미매핑"))</f>
        <v/>
      </c>
      <c r="K1291" s="63">
        <f>IF($A1291="","",IFERROR(INDEX(계정매핑!$C$5:$C$504,MATCH($F1291&amp;"",계정매핑!$A$5:$A$504,0)),"미매핑"))</f>
        <v/>
      </c>
      <c r="L1291" s="4">
        <f>IF($A1291="","",VALUE($A1291&amp;""))</f>
        <v/>
      </c>
      <c r="M1291" s="4">
        <f>IF($A1291="","",VALUE($B1291&amp;""))</f>
        <v/>
      </c>
      <c r="N1291" s="64">
        <f>IF($A1291="","",$H1291*설정!$C$15)</f>
        <v/>
      </c>
      <c r="O1291" s="4">
        <f>IF($A1291="","",J1291&amp;"|"&amp;K1291)</f>
        <v/>
      </c>
      <c r="P1291" s="63">
        <f>IF($A1291="","",IF(COUNTIFS(예산_원본!$T$5:$T$3004,O1291,예산_원본!$B$5:$B$3004,설정!$C$8,예산_원본!$U$5:$U$3004,L1291)&gt;0,"Y","N"))</f>
        <v/>
      </c>
      <c r="Q1291" s="63">
        <f>IF($A1291="","",IF(COUNTIF(집계!$E$7:$E$506,O1291)&gt;0,"Y","N"))</f>
        <v/>
      </c>
    </row>
    <row r="1292">
      <c r="A1292" s="60" t="n">
        <v>2026</v>
      </c>
      <c r="B1292" s="60" t="n">
        <v>5</v>
      </c>
      <c r="C1292" s="60" t="inlineStr">
        <is>
          <t>1000</t>
        </is>
      </c>
      <c r="D1292" s="60" t="n">
        <v>1501</v>
      </c>
      <c r="E1292" s="60" t="inlineStr">
        <is>
          <t>마케팅전략</t>
        </is>
      </c>
      <c r="F1292" s="60" t="n">
        <v>62601000</v>
      </c>
      <c r="G1292" s="60" t="inlineStr">
        <is>
          <t>업무추진비</t>
        </is>
      </c>
      <c r="H1292" s="61" t="n">
        <v>1565740</v>
      </c>
      <c r="J1292" s="63">
        <f>IF($A1292="","",IFERROR(INDEX(부서매핑!$C$5:$C$504,MATCH($D1292&amp;"",부서매핑!$A$5:$A$504,0)),"미매핑"))</f>
        <v/>
      </c>
      <c r="K1292" s="63">
        <f>IF($A1292="","",IFERROR(INDEX(계정매핑!$C$5:$C$504,MATCH($F1292&amp;"",계정매핑!$A$5:$A$504,0)),"미매핑"))</f>
        <v/>
      </c>
      <c r="L1292" s="4">
        <f>IF($A1292="","",VALUE($A1292&amp;""))</f>
        <v/>
      </c>
      <c r="M1292" s="4">
        <f>IF($A1292="","",VALUE($B1292&amp;""))</f>
        <v/>
      </c>
      <c r="N1292" s="64">
        <f>IF($A1292="","",$H1292*설정!$C$15)</f>
        <v/>
      </c>
      <c r="O1292" s="4">
        <f>IF($A1292="","",J1292&amp;"|"&amp;K1292)</f>
        <v/>
      </c>
      <c r="P1292" s="63">
        <f>IF($A1292="","",IF(COUNTIFS(예산_원본!$T$5:$T$3004,O1292,예산_원본!$B$5:$B$3004,설정!$C$8,예산_원본!$U$5:$U$3004,L1292)&gt;0,"Y","N"))</f>
        <v/>
      </c>
      <c r="Q1292" s="63">
        <f>IF($A1292="","",IF(COUNTIF(집계!$E$7:$E$506,O1292)&gt;0,"Y","N"))</f>
        <v/>
      </c>
    </row>
    <row r="1293">
      <c r="A1293" s="60" t="n">
        <v>2026</v>
      </c>
      <c r="B1293" s="60" t="n">
        <v>5</v>
      </c>
      <c r="C1293" s="60" t="inlineStr">
        <is>
          <t>1000</t>
        </is>
      </c>
      <c r="D1293" s="60" t="n">
        <v>1501</v>
      </c>
      <c r="E1293" s="60" t="inlineStr">
        <is>
          <t>마케팅전략</t>
        </is>
      </c>
      <c r="F1293" s="60" t="n">
        <v>62701000</v>
      </c>
      <c r="G1293" s="60" t="inlineStr">
        <is>
          <t>광고선전비</t>
        </is>
      </c>
      <c r="H1293" s="61" t="n">
        <v>114151600</v>
      </c>
      <c r="J1293" s="63">
        <f>IF($A1293="","",IFERROR(INDEX(부서매핑!$C$5:$C$504,MATCH($D1293&amp;"",부서매핑!$A$5:$A$504,0)),"미매핑"))</f>
        <v/>
      </c>
      <c r="K1293" s="63">
        <f>IF($A1293="","",IFERROR(INDEX(계정매핑!$C$5:$C$504,MATCH($F1293&amp;"",계정매핑!$A$5:$A$504,0)),"미매핑"))</f>
        <v/>
      </c>
      <c r="L1293" s="4">
        <f>IF($A1293="","",VALUE($A1293&amp;""))</f>
        <v/>
      </c>
      <c r="M1293" s="4">
        <f>IF($A1293="","",VALUE($B1293&amp;""))</f>
        <v/>
      </c>
      <c r="N1293" s="64">
        <f>IF($A1293="","",$H1293*설정!$C$15)</f>
        <v/>
      </c>
      <c r="O1293" s="4">
        <f>IF($A1293="","",J1293&amp;"|"&amp;K1293)</f>
        <v/>
      </c>
      <c r="P1293" s="63">
        <f>IF($A1293="","",IF(COUNTIFS(예산_원본!$T$5:$T$3004,O1293,예산_원본!$B$5:$B$3004,설정!$C$8,예산_원본!$U$5:$U$3004,L1293)&gt;0,"Y","N"))</f>
        <v/>
      </c>
      <c r="Q1293" s="63">
        <f>IF($A1293="","",IF(COUNTIF(집계!$E$7:$E$506,O1293)&gt;0,"Y","N"))</f>
        <v/>
      </c>
    </row>
    <row r="1294">
      <c r="A1294" s="60" t="n">
        <v>2026</v>
      </c>
      <c r="B1294" s="60" t="n">
        <v>5</v>
      </c>
      <c r="C1294" s="60" t="inlineStr">
        <is>
          <t>1000</t>
        </is>
      </c>
      <c r="D1294" s="60" t="n">
        <v>1502</v>
      </c>
      <c r="E1294" s="60" t="inlineStr">
        <is>
          <t>디지털마케팅</t>
        </is>
      </c>
      <c r="F1294" s="60" t="n">
        <v>62101000</v>
      </c>
      <c r="G1294" s="60" t="inlineStr">
        <is>
          <t>여비교통비-국내</t>
        </is>
      </c>
      <c r="H1294" s="61" t="n">
        <v>1156010</v>
      </c>
      <c r="J1294" s="63">
        <f>IF($A1294="","",IFERROR(INDEX(부서매핑!$C$5:$C$504,MATCH($D1294&amp;"",부서매핑!$A$5:$A$504,0)),"미매핑"))</f>
        <v/>
      </c>
      <c r="K1294" s="63">
        <f>IF($A1294="","",IFERROR(INDEX(계정매핑!$C$5:$C$504,MATCH($F1294&amp;"",계정매핑!$A$5:$A$504,0)),"미매핑"))</f>
        <v/>
      </c>
      <c r="L1294" s="4">
        <f>IF($A1294="","",VALUE($A1294&amp;""))</f>
        <v/>
      </c>
      <c r="M1294" s="4">
        <f>IF($A1294="","",VALUE($B1294&amp;""))</f>
        <v/>
      </c>
      <c r="N1294" s="64">
        <f>IF($A1294="","",$H1294*설정!$C$15)</f>
        <v/>
      </c>
      <c r="O1294" s="4">
        <f>IF($A1294="","",J1294&amp;"|"&amp;K1294)</f>
        <v/>
      </c>
      <c r="P1294" s="63">
        <f>IF($A1294="","",IF(COUNTIFS(예산_원본!$T$5:$T$3004,O1294,예산_원본!$B$5:$B$3004,설정!$C$8,예산_원본!$U$5:$U$3004,L1294)&gt;0,"Y","N"))</f>
        <v/>
      </c>
      <c r="Q1294" s="63">
        <f>IF($A1294="","",IF(COUNTIF(집계!$E$7:$E$506,O1294)&gt;0,"Y","N"))</f>
        <v/>
      </c>
    </row>
    <row r="1295">
      <c r="A1295" s="60" t="n">
        <v>2026</v>
      </c>
      <c r="B1295" s="60" t="n">
        <v>5</v>
      </c>
      <c r="C1295" s="60" t="inlineStr">
        <is>
          <t>1000</t>
        </is>
      </c>
      <c r="D1295" s="60" t="n">
        <v>1502</v>
      </c>
      <c r="E1295" s="60" t="inlineStr">
        <is>
          <t>디지털마케팅</t>
        </is>
      </c>
      <c r="F1295" s="60" t="n">
        <v>62102000</v>
      </c>
      <c r="G1295" s="60" t="inlineStr">
        <is>
          <t>여비교통비-해외</t>
        </is>
      </c>
      <c r="H1295" s="61" t="n">
        <v>205920</v>
      </c>
      <c r="J1295" s="63">
        <f>IF($A1295="","",IFERROR(INDEX(부서매핑!$C$5:$C$504,MATCH($D1295&amp;"",부서매핑!$A$5:$A$504,0)),"미매핑"))</f>
        <v/>
      </c>
      <c r="K1295" s="63">
        <f>IF($A1295="","",IFERROR(INDEX(계정매핑!$C$5:$C$504,MATCH($F1295&amp;"",계정매핑!$A$5:$A$504,0)),"미매핑"))</f>
        <v/>
      </c>
      <c r="L1295" s="4">
        <f>IF($A1295="","",VALUE($A1295&amp;""))</f>
        <v/>
      </c>
      <c r="M1295" s="4">
        <f>IF($A1295="","",VALUE($B1295&amp;""))</f>
        <v/>
      </c>
      <c r="N1295" s="64">
        <f>IF($A1295="","",$H1295*설정!$C$15)</f>
        <v/>
      </c>
      <c r="O1295" s="4">
        <f>IF($A1295="","",J1295&amp;"|"&amp;K1295)</f>
        <v/>
      </c>
      <c r="P1295" s="63">
        <f>IF($A1295="","",IF(COUNTIFS(예산_원본!$T$5:$T$3004,O1295,예산_원본!$B$5:$B$3004,설정!$C$8,예산_원본!$U$5:$U$3004,L1295)&gt;0,"Y","N"))</f>
        <v/>
      </c>
      <c r="Q1295" s="63">
        <f>IF($A1295="","",IF(COUNTIF(집계!$E$7:$E$506,O1295)&gt;0,"Y","N"))</f>
        <v/>
      </c>
    </row>
    <row r="1296">
      <c r="A1296" s="60" t="n">
        <v>2026</v>
      </c>
      <c r="B1296" s="60" t="n">
        <v>5</v>
      </c>
      <c r="C1296" s="60" t="inlineStr">
        <is>
          <t>1000</t>
        </is>
      </c>
      <c r="D1296" s="60" t="n">
        <v>1502</v>
      </c>
      <c r="E1296" s="60" t="inlineStr">
        <is>
          <t>디지털마케팅</t>
        </is>
      </c>
      <c r="F1296" s="60" t="n">
        <v>62201000</v>
      </c>
      <c r="G1296" s="60" t="inlineStr">
        <is>
          <t>통신비</t>
        </is>
      </c>
      <c r="H1296" s="61" t="n">
        <v>417000</v>
      </c>
      <c r="J1296" s="63">
        <f>IF($A1296="","",IFERROR(INDEX(부서매핑!$C$5:$C$504,MATCH($D1296&amp;"",부서매핑!$A$5:$A$504,0)),"미매핑"))</f>
        <v/>
      </c>
      <c r="K1296" s="63">
        <f>IF($A1296="","",IFERROR(INDEX(계정매핑!$C$5:$C$504,MATCH($F1296&amp;"",계정매핑!$A$5:$A$504,0)),"미매핑"))</f>
        <v/>
      </c>
      <c r="L1296" s="4">
        <f>IF($A1296="","",VALUE($A1296&amp;""))</f>
        <v/>
      </c>
      <c r="M1296" s="4">
        <f>IF($A1296="","",VALUE($B1296&amp;""))</f>
        <v/>
      </c>
      <c r="N1296" s="64">
        <f>IF($A1296="","",$H1296*설정!$C$15)</f>
        <v/>
      </c>
      <c r="O1296" s="4">
        <f>IF($A1296="","",J1296&amp;"|"&amp;K1296)</f>
        <v/>
      </c>
      <c r="P1296" s="63">
        <f>IF($A1296="","",IF(COUNTIFS(예산_원본!$T$5:$T$3004,O1296,예산_원본!$B$5:$B$3004,설정!$C$8,예산_원본!$U$5:$U$3004,L1296)&gt;0,"Y","N"))</f>
        <v/>
      </c>
      <c r="Q1296" s="63">
        <f>IF($A1296="","",IF(COUNTIF(집계!$E$7:$E$506,O1296)&gt;0,"Y","N"))</f>
        <v/>
      </c>
    </row>
    <row r="1297">
      <c r="A1297" s="60" t="n">
        <v>2026</v>
      </c>
      <c r="B1297" s="60" t="n">
        <v>5</v>
      </c>
      <c r="C1297" s="60" t="inlineStr">
        <is>
          <t>1000</t>
        </is>
      </c>
      <c r="D1297" s="60" t="n">
        <v>1502</v>
      </c>
      <c r="E1297" s="60" t="inlineStr">
        <is>
          <t>디지털마케팅</t>
        </is>
      </c>
      <c r="F1297" s="60" t="n">
        <v>62301000</v>
      </c>
      <c r="G1297" s="60" t="inlineStr">
        <is>
          <t>소모품비</t>
        </is>
      </c>
      <c r="H1297" s="61" t="n">
        <v>300140</v>
      </c>
      <c r="J1297" s="63">
        <f>IF($A1297="","",IFERROR(INDEX(부서매핑!$C$5:$C$504,MATCH($D1297&amp;"",부서매핑!$A$5:$A$504,0)),"미매핑"))</f>
        <v/>
      </c>
      <c r="K1297" s="63">
        <f>IF($A1297="","",IFERROR(INDEX(계정매핑!$C$5:$C$504,MATCH($F1297&amp;"",계정매핑!$A$5:$A$504,0)),"미매핑"))</f>
        <v/>
      </c>
      <c r="L1297" s="4">
        <f>IF($A1297="","",VALUE($A1297&amp;""))</f>
        <v/>
      </c>
      <c r="M1297" s="4">
        <f>IF($A1297="","",VALUE($B1297&amp;""))</f>
        <v/>
      </c>
      <c r="N1297" s="64">
        <f>IF($A1297="","",$H1297*설정!$C$15)</f>
        <v/>
      </c>
      <c r="O1297" s="4">
        <f>IF($A1297="","",J1297&amp;"|"&amp;K1297)</f>
        <v/>
      </c>
      <c r="P1297" s="63">
        <f>IF($A1297="","",IF(COUNTIFS(예산_원본!$T$5:$T$3004,O1297,예산_원본!$B$5:$B$3004,설정!$C$8,예산_원본!$U$5:$U$3004,L1297)&gt;0,"Y","N"))</f>
        <v/>
      </c>
      <c r="Q1297" s="63">
        <f>IF($A1297="","",IF(COUNTIF(집계!$E$7:$E$506,O1297)&gt;0,"Y","N"))</f>
        <v/>
      </c>
    </row>
    <row r="1298">
      <c r="A1298" s="60" t="n">
        <v>2026</v>
      </c>
      <c r="B1298" s="60" t="n">
        <v>5</v>
      </c>
      <c r="C1298" s="60" t="inlineStr">
        <is>
          <t>1000</t>
        </is>
      </c>
      <c r="D1298" s="60" t="n">
        <v>1502</v>
      </c>
      <c r="E1298" s="60" t="inlineStr">
        <is>
          <t>디지털마케팅</t>
        </is>
      </c>
      <c r="F1298" s="60" t="n">
        <v>62401000</v>
      </c>
      <c r="G1298" s="60" t="inlineStr">
        <is>
          <t>도서인쇄비</t>
        </is>
      </c>
      <c r="H1298" s="61" t="n">
        <v>3391750</v>
      </c>
      <c r="J1298" s="63">
        <f>IF($A1298="","",IFERROR(INDEX(부서매핑!$C$5:$C$504,MATCH($D1298&amp;"",부서매핑!$A$5:$A$504,0)),"미매핑"))</f>
        <v/>
      </c>
      <c r="K1298" s="63">
        <f>IF($A1298="","",IFERROR(INDEX(계정매핑!$C$5:$C$504,MATCH($F1298&amp;"",계정매핑!$A$5:$A$504,0)),"미매핑"))</f>
        <v/>
      </c>
      <c r="L1298" s="4">
        <f>IF($A1298="","",VALUE($A1298&amp;""))</f>
        <v/>
      </c>
      <c r="M1298" s="4">
        <f>IF($A1298="","",VALUE($B1298&amp;""))</f>
        <v/>
      </c>
      <c r="N1298" s="64">
        <f>IF($A1298="","",$H1298*설정!$C$15)</f>
        <v/>
      </c>
      <c r="O1298" s="4">
        <f>IF($A1298="","",J1298&amp;"|"&amp;K1298)</f>
        <v/>
      </c>
      <c r="P1298" s="63">
        <f>IF($A1298="","",IF(COUNTIFS(예산_원본!$T$5:$T$3004,O1298,예산_원본!$B$5:$B$3004,설정!$C$8,예산_원본!$U$5:$U$3004,L1298)&gt;0,"Y","N"))</f>
        <v/>
      </c>
      <c r="Q1298" s="63">
        <f>IF($A1298="","",IF(COUNTIF(집계!$E$7:$E$506,O1298)&gt;0,"Y","N"))</f>
        <v/>
      </c>
    </row>
    <row r="1299">
      <c r="A1299" s="60" t="n">
        <v>2026</v>
      </c>
      <c r="B1299" s="60" t="n">
        <v>5</v>
      </c>
      <c r="C1299" s="60" t="inlineStr">
        <is>
          <t>1000</t>
        </is>
      </c>
      <c r="D1299" s="60" t="n">
        <v>1502</v>
      </c>
      <c r="E1299" s="60" t="inlineStr">
        <is>
          <t>디지털마케팅</t>
        </is>
      </c>
      <c r="F1299" s="60" t="n">
        <v>62501000</v>
      </c>
      <c r="G1299" s="60" t="inlineStr">
        <is>
          <t>회의비</t>
        </is>
      </c>
      <c r="H1299" s="61" t="n">
        <v>472700</v>
      </c>
      <c r="J1299" s="63">
        <f>IF($A1299="","",IFERROR(INDEX(부서매핑!$C$5:$C$504,MATCH($D1299&amp;"",부서매핑!$A$5:$A$504,0)),"미매핑"))</f>
        <v/>
      </c>
      <c r="K1299" s="63">
        <f>IF($A1299="","",IFERROR(INDEX(계정매핑!$C$5:$C$504,MATCH($F1299&amp;"",계정매핑!$A$5:$A$504,0)),"미매핑"))</f>
        <v/>
      </c>
      <c r="L1299" s="4">
        <f>IF($A1299="","",VALUE($A1299&amp;""))</f>
        <v/>
      </c>
      <c r="M1299" s="4">
        <f>IF($A1299="","",VALUE($B1299&amp;""))</f>
        <v/>
      </c>
      <c r="N1299" s="64">
        <f>IF($A1299="","",$H1299*설정!$C$15)</f>
        <v/>
      </c>
      <c r="O1299" s="4">
        <f>IF($A1299="","",J1299&amp;"|"&amp;K1299)</f>
        <v/>
      </c>
      <c r="P1299" s="63">
        <f>IF($A1299="","",IF(COUNTIFS(예산_원본!$T$5:$T$3004,O1299,예산_원본!$B$5:$B$3004,설정!$C$8,예산_원본!$U$5:$U$3004,L1299)&gt;0,"Y","N"))</f>
        <v/>
      </c>
      <c r="Q1299" s="63">
        <f>IF($A1299="","",IF(COUNTIF(집계!$E$7:$E$506,O1299)&gt;0,"Y","N"))</f>
        <v/>
      </c>
    </row>
    <row r="1300">
      <c r="A1300" s="60" t="n">
        <v>2026</v>
      </c>
      <c r="B1300" s="60" t="n">
        <v>5</v>
      </c>
      <c r="C1300" s="60" t="inlineStr">
        <is>
          <t>1000</t>
        </is>
      </c>
      <c r="D1300" s="60" t="n">
        <v>1502</v>
      </c>
      <c r="E1300" s="60" t="inlineStr">
        <is>
          <t>디지털마케팅</t>
        </is>
      </c>
      <c r="F1300" s="60" t="n">
        <v>62601000</v>
      </c>
      <c r="G1300" s="60" t="inlineStr">
        <is>
          <t>업무추진비</t>
        </is>
      </c>
      <c r="H1300" s="61" t="n">
        <v>956130</v>
      </c>
      <c r="J1300" s="63">
        <f>IF($A1300="","",IFERROR(INDEX(부서매핑!$C$5:$C$504,MATCH($D1300&amp;"",부서매핑!$A$5:$A$504,0)),"미매핑"))</f>
        <v/>
      </c>
      <c r="K1300" s="63">
        <f>IF($A1300="","",IFERROR(INDEX(계정매핑!$C$5:$C$504,MATCH($F1300&amp;"",계정매핑!$A$5:$A$504,0)),"미매핑"))</f>
        <v/>
      </c>
      <c r="L1300" s="4">
        <f>IF($A1300="","",VALUE($A1300&amp;""))</f>
        <v/>
      </c>
      <c r="M1300" s="4">
        <f>IF($A1300="","",VALUE($B1300&amp;""))</f>
        <v/>
      </c>
      <c r="N1300" s="64">
        <f>IF($A1300="","",$H1300*설정!$C$15)</f>
        <v/>
      </c>
      <c r="O1300" s="4">
        <f>IF($A1300="","",J1300&amp;"|"&amp;K1300)</f>
        <v/>
      </c>
      <c r="P1300" s="63">
        <f>IF($A1300="","",IF(COUNTIFS(예산_원본!$T$5:$T$3004,O1300,예산_원본!$B$5:$B$3004,설정!$C$8,예산_원본!$U$5:$U$3004,L1300)&gt;0,"Y","N"))</f>
        <v/>
      </c>
      <c r="Q1300" s="63">
        <f>IF($A1300="","",IF(COUNTIF(집계!$E$7:$E$506,O1300)&gt;0,"Y","N"))</f>
        <v/>
      </c>
    </row>
    <row r="1301">
      <c r="A1301" s="60" t="n">
        <v>2026</v>
      </c>
      <c r="B1301" s="60" t="n">
        <v>5</v>
      </c>
      <c r="C1301" s="60" t="inlineStr">
        <is>
          <t>1000</t>
        </is>
      </c>
      <c r="D1301" s="60" t="n">
        <v>1502</v>
      </c>
      <c r="E1301" s="60" t="inlineStr">
        <is>
          <t>디지털마케팅</t>
        </is>
      </c>
      <c r="F1301" s="60" t="n">
        <v>62701000</v>
      </c>
      <c r="G1301" s="60" t="inlineStr">
        <is>
          <t>광고선전비</t>
        </is>
      </c>
      <c r="H1301" s="61" t="n">
        <v>77999620</v>
      </c>
      <c r="J1301" s="63">
        <f>IF($A1301="","",IFERROR(INDEX(부서매핑!$C$5:$C$504,MATCH($D1301&amp;"",부서매핑!$A$5:$A$504,0)),"미매핑"))</f>
        <v/>
      </c>
      <c r="K1301" s="63">
        <f>IF($A1301="","",IFERROR(INDEX(계정매핑!$C$5:$C$504,MATCH($F1301&amp;"",계정매핑!$A$5:$A$504,0)),"미매핑"))</f>
        <v/>
      </c>
      <c r="L1301" s="4">
        <f>IF($A1301="","",VALUE($A1301&amp;""))</f>
        <v/>
      </c>
      <c r="M1301" s="4">
        <f>IF($A1301="","",VALUE($B1301&amp;""))</f>
        <v/>
      </c>
      <c r="N1301" s="64">
        <f>IF($A1301="","",$H1301*설정!$C$15)</f>
        <v/>
      </c>
      <c r="O1301" s="4">
        <f>IF($A1301="","",J1301&amp;"|"&amp;K1301)</f>
        <v/>
      </c>
      <c r="P1301" s="63">
        <f>IF($A1301="","",IF(COUNTIFS(예산_원본!$T$5:$T$3004,O1301,예산_원본!$B$5:$B$3004,설정!$C$8,예산_원본!$U$5:$U$3004,L1301)&gt;0,"Y","N"))</f>
        <v/>
      </c>
      <c r="Q1301" s="63">
        <f>IF($A1301="","",IF(COUNTIF(집계!$E$7:$E$506,O1301)&gt;0,"Y","N"))</f>
        <v/>
      </c>
    </row>
    <row r="1302">
      <c r="A1302" s="60" t="n">
        <v>2026</v>
      </c>
      <c r="B1302" s="60" t="n">
        <v>5</v>
      </c>
      <c r="C1302" s="60" t="inlineStr">
        <is>
          <t>1000</t>
        </is>
      </c>
      <c r="D1302" s="60" t="n">
        <v>1601</v>
      </c>
      <c r="E1302" s="60" t="inlineStr">
        <is>
          <t>영업지원-본사</t>
        </is>
      </c>
      <c r="F1302" s="60" t="n">
        <v>62101000</v>
      </c>
      <c r="G1302" s="60" t="inlineStr">
        <is>
          <t>여비교통비-국내</t>
        </is>
      </c>
      <c r="H1302" s="61" t="n">
        <v>3412110</v>
      </c>
      <c r="J1302" s="63">
        <f>IF($A1302="","",IFERROR(INDEX(부서매핑!$C$5:$C$504,MATCH($D1302&amp;"",부서매핑!$A$5:$A$504,0)),"미매핑"))</f>
        <v/>
      </c>
      <c r="K1302" s="63">
        <f>IF($A1302="","",IFERROR(INDEX(계정매핑!$C$5:$C$504,MATCH($F1302&amp;"",계정매핑!$A$5:$A$504,0)),"미매핑"))</f>
        <v/>
      </c>
      <c r="L1302" s="4">
        <f>IF($A1302="","",VALUE($A1302&amp;""))</f>
        <v/>
      </c>
      <c r="M1302" s="4">
        <f>IF($A1302="","",VALUE($B1302&amp;""))</f>
        <v/>
      </c>
      <c r="N1302" s="64">
        <f>IF($A1302="","",$H1302*설정!$C$15)</f>
        <v/>
      </c>
      <c r="O1302" s="4">
        <f>IF($A1302="","",J1302&amp;"|"&amp;K1302)</f>
        <v/>
      </c>
      <c r="P1302" s="63">
        <f>IF($A1302="","",IF(COUNTIFS(예산_원본!$T$5:$T$3004,O1302,예산_원본!$B$5:$B$3004,설정!$C$8,예산_원본!$U$5:$U$3004,L1302)&gt;0,"Y","N"))</f>
        <v/>
      </c>
      <c r="Q1302" s="63">
        <f>IF($A1302="","",IF(COUNTIF(집계!$E$7:$E$506,O1302)&gt;0,"Y","N"))</f>
        <v/>
      </c>
    </row>
    <row r="1303">
      <c r="A1303" s="60" t="n">
        <v>2026</v>
      </c>
      <c r="B1303" s="60" t="n">
        <v>5</v>
      </c>
      <c r="C1303" s="60" t="inlineStr">
        <is>
          <t>1000</t>
        </is>
      </c>
      <c r="D1303" s="60" t="n">
        <v>1601</v>
      </c>
      <c r="E1303" s="60" t="inlineStr">
        <is>
          <t>영업지원-본사</t>
        </is>
      </c>
      <c r="F1303" s="60" t="n">
        <v>62102000</v>
      </c>
      <c r="G1303" s="60" t="inlineStr">
        <is>
          <t>여비교통비-해외</t>
        </is>
      </c>
      <c r="H1303" s="61" t="n">
        <v>711540</v>
      </c>
      <c r="J1303" s="63">
        <f>IF($A1303="","",IFERROR(INDEX(부서매핑!$C$5:$C$504,MATCH($D1303&amp;"",부서매핑!$A$5:$A$504,0)),"미매핑"))</f>
        <v/>
      </c>
      <c r="K1303" s="63">
        <f>IF($A1303="","",IFERROR(INDEX(계정매핑!$C$5:$C$504,MATCH($F1303&amp;"",계정매핑!$A$5:$A$504,0)),"미매핑"))</f>
        <v/>
      </c>
      <c r="L1303" s="4">
        <f>IF($A1303="","",VALUE($A1303&amp;""))</f>
        <v/>
      </c>
      <c r="M1303" s="4">
        <f>IF($A1303="","",VALUE($B1303&amp;""))</f>
        <v/>
      </c>
      <c r="N1303" s="64">
        <f>IF($A1303="","",$H1303*설정!$C$15)</f>
        <v/>
      </c>
      <c r="O1303" s="4">
        <f>IF($A1303="","",J1303&amp;"|"&amp;K1303)</f>
        <v/>
      </c>
      <c r="P1303" s="63">
        <f>IF($A1303="","",IF(COUNTIFS(예산_원본!$T$5:$T$3004,O1303,예산_원본!$B$5:$B$3004,설정!$C$8,예산_원본!$U$5:$U$3004,L1303)&gt;0,"Y","N"))</f>
        <v/>
      </c>
      <c r="Q1303" s="63">
        <f>IF($A1303="","",IF(COUNTIF(집계!$E$7:$E$506,O1303)&gt;0,"Y","N"))</f>
        <v/>
      </c>
    </row>
    <row r="1304">
      <c r="A1304" s="60" t="n">
        <v>2026</v>
      </c>
      <c r="B1304" s="60" t="n">
        <v>5</v>
      </c>
      <c r="C1304" s="60" t="inlineStr">
        <is>
          <t>1000</t>
        </is>
      </c>
      <c r="D1304" s="60" t="n">
        <v>1601</v>
      </c>
      <c r="E1304" s="60" t="inlineStr">
        <is>
          <t>영업지원-본사</t>
        </is>
      </c>
      <c r="F1304" s="60" t="n">
        <v>62201000</v>
      </c>
      <c r="G1304" s="60" t="inlineStr">
        <is>
          <t>통신비</t>
        </is>
      </c>
      <c r="H1304" s="61" t="n">
        <v>1017390</v>
      </c>
      <c r="J1304" s="63">
        <f>IF($A1304="","",IFERROR(INDEX(부서매핑!$C$5:$C$504,MATCH($D1304&amp;"",부서매핑!$A$5:$A$504,0)),"미매핑"))</f>
        <v/>
      </c>
      <c r="K1304" s="63">
        <f>IF($A1304="","",IFERROR(INDEX(계정매핑!$C$5:$C$504,MATCH($F1304&amp;"",계정매핑!$A$5:$A$504,0)),"미매핑"))</f>
        <v/>
      </c>
      <c r="L1304" s="4">
        <f>IF($A1304="","",VALUE($A1304&amp;""))</f>
        <v/>
      </c>
      <c r="M1304" s="4">
        <f>IF($A1304="","",VALUE($B1304&amp;""))</f>
        <v/>
      </c>
      <c r="N1304" s="64">
        <f>IF($A1304="","",$H1304*설정!$C$15)</f>
        <v/>
      </c>
      <c r="O1304" s="4">
        <f>IF($A1304="","",J1304&amp;"|"&amp;K1304)</f>
        <v/>
      </c>
      <c r="P1304" s="63">
        <f>IF($A1304="","",IF(COUNTIFS(예산_원본!$T$5:$T$3004,O1304,예산_원본!$B$5:$B$3004,설정!$C$8,예산_원본!$U$5:$U$3004,L1304)&gt;0,"Y","N"))</f>
        <v/>
      </c>
      <c r="Q1304" s="63">
        <f>IF($A1304="","",IF(COUNTIF(집계!$E$7:$E$506,O1304)&gt;0,"Y","N"))</f>
        <v/>
      </c>
    </row>
    <row r="1305">
      <c r="A1305" s="60" t="n">
        <v>2026</v>
      </c>
      <c r="B1305" s="60" t="n">
        <v>5</v>
      </c>
      <c r="C1305" s="60" t="inlineStr">
        <is>
          <t>1000</t>
        </is>
      </c>
      <c r="D1305" s="60" t="n">
        <v>1601</v>
      </c>
      <c r="E1305" s="60" t="inlineStr">
        <is>
          <t>영업지원-본사</t>
        </is>
      </c>
      <c r="F1305" s="60" t="n">
        <v>62301000</v>
      </c>
      <c r="G1305" s="60" t="inlineStr">
        <is>
          <t>소모품비</t>
        </is>
      </c>
      <c r="H1305" s="61" t="n">
        <v>724620</v>
      </c>
      <c r="J1305" s="63">
        <f>IF($A1305="","",IFERROR(INDEX(부서매핑!$C$5:$C$504,MATCH($D1305&amp;"",부서매핑!$A$5:$A$504,0)),"미매핑"))</f>
        <v/>
      </c>
      <c r="K1305" s="63">
        <f>IF($A1305="","",IFERROR(INDEX(계정매핑!$C$5:$C$504,MATCH($F1305&amp;"",계정매핑!$A$5:$A$504,0)),"미매핑"))</f>
        <v/>
      </c>
      <c r="L1305" s="4">
        <f>IF($A1305="","",VALUE($A1305&amp;""))</f>
        <v/>
      </c>
      <c r="M1305" s="4">
        <f>IF($A1305="","",VALUE($B1305&amp;""))</f>
        <v/>
      </c>
      <c r="N1305" s="64">
        <f>IF($A1305="","",$H1305*설정!$C$15)</f>
        <v/>
      </c>
      <c r="O1305" s="4">
        <f>IF($A1305="","",J1305&amp;"|"&amp;K1305)</f>
        <v/>
      </c>
      <c r="P1305" s="63">
        <f>IF($A1305="","",IF(COUNTIFS(예산_원본!$T$5:$T$3004,O1305,예산_원본!$B$5:$B$3004,설정!$C$8,예산_원본!$U$5:$U$3004,L1305)&gt;0,"Y","N"))</f>
        <v/>
      </c>
      <c r="Q1305" s="63">
        <f>IF($A1305="","",IF(COUNTIF(집계!$E$7:$E$506,O1305)&gt;0,"Y","N"))</f>
        <v/>
      </c>
    </row>
    <row r="1306">
      <c r="A1306" s="60" t="n">
        <v>2026</v>
      </c>
      <c r="B1306" s="60" t="n">
        <v>5</v>
      </c>
      <c r="C1306" s="60" t="inlineStr">
        <is>
          <t>1000</t>
        </is>
      </c>
      <c r="D1306" s="60" t="n">
        <v>1601</v>
      </c>
      <c r="E1306" s="60" t="inlineStr">
        <is>
          <t>영업지원-본사</t>
        </is>
      </c>
      <c r="F1306" s="60" t="n">
        <v>62501000</v>
      </c>
      <c r="G1306" s="60" t="inlineStr">
        <is>
          <t>회의비</t>
        </is>
      </c>
      <c r="H1306" s="61" t="n">
        <v>924390</v>
      </c>
      <c r="J1306" s="63">
        <f>IF($A1306="","",IFERROR(INDEX(부서매핑!$C$5:$C$504,MATCH($D1306&amp;"",부서매핑!$A$5:$A$504,0)),"미매핑"))</f>
        <v/>
      </c>
      <c r="K1306" s="63">
        <f>IF($A1306="","",IFERROR(INDEX(계정매핑!$C$5:$C$504,MATCH($F1306&amp;"",계정매핑!$A$5:$A$504,0)),"미매핑"))</f>
        <v/>
      </c>
      <c r="L1306" s="4">
        <f>IF($A1306="","",VALUE($A1306&amp;""))</f>
        <v/>
      </c>
      <c r="M1306" s="4">
        <f>IF($A1306="","",VALUE($B1306&amp;""))</f>
        <v/>
      </c>
      <c r="N1306" s="64">
        <f>IF($A1306="","",$H1306*설정!$C$15)</f>
        <v/>
      </c>
      <c r="O1306" s="4">
        <f>IF($A1306="","",J1306&amp;"|"&amp;K1306)</f>
        <v/>
      </c>
      <c r="P1306" s="63">
        <f>IF($A1306="","",IF(COUNTIFS(예산_원본!$T$5:$T$3004,O1306,예산_원본!$B$5:$B$3004,설정!$C$8,예산_원본!$U$5:$U$3004,L1306)&gt;0,"Y","N"))</f>
        <v/>
      </c>
      <c r="Q1306" s="63">
        <f>IF($A1306="","",IF(COUNTIF(집계!$E$7:$E$506,O1306)&gt;0,"Y","N"))</f>
        <v/>
      </c>
    </row>
    <row r="1307">
      <c r="A1307" s="60" t="n">
        <v>2026</v>
      </c>
      <c r="B1307" s="60" t="n">
        <v>5</v>
      </c>
      <c r="C1307" s="60" t="inlineStr">
        <is>
          <t>1000</t>
        </is>
      </c>
      <c r="D1307" s="60" t="n">
        <v>1601</v>
      </c>
      <c r="E1307" s="60" t="inlineStr">
        <is>
          <t>영업지원-본사</t>
        </is>
      </c>
      <c r="F1307" s="60" t="n">
        <v>62601000</v>
      </c>
      <c r="G1307" s="60" t="inlineStr">
        <is>
          <t>업무추진비</t>
        </is>
      </c>
      <c r="H1307" s="61" t="n">
        <v>2046300</v>
      </c>
      <c r="J1307" s="63">
        <f>IF($A1307="","",IFERROR(INDEX(부서매핑!$C$5:$C$504,MATCH($D1307&amp;"",부서매핑!$A$5:$A$504,0)),"미매핑"))</f>
        <v/>
      </c>
      <c r="K1307" s="63">
        <f>IF($A1307="","",IFERROR(INDEX(계정매핑!$C$5:$C$504,MATCH($F1307&amp;"",계정매핑!$A$5:$A$504,0)),"미매핑"))</f>
        <v/>
      </c>
      <c r="L1307" s="4">
        <f>IF($A1307="","",VALUE($A1307&amp;""))</f>
        <v/>
      </c>
      <c r="M1307" s="4">
        <f>IF($A1307="","",VALUE($B1307&amp;""))</f>
        <v/>
      </c>
      <c r="N1307" s="64">
        <f>IF($A1307="","",$H1307*설정!$C$15)</f>
        <v/>
      </c>
      <c r="O1307" s="4">
        <f>IF($A1307="","",J1307&amp;"|"&amp;K1307)</f>
        <v/>
      </c>
      <c r="P1307" s="63">
        <f>IF($A1307="","",IF(COUNTIFS(예산_원본!$T$5:$T$3004,O1307,예산_원본!$B$5:$B$3004,설정!$C$8,예산_원본!$U$5:$U$3004,L1307)&gt;0,"Y","N"))</f>
        <v/>
      </c>
      <c r="Q1307" s="63">
        <f>IF($A1307="","",IF(COUNTIF(집계!$E$7:$E$506,O1307)&gt;0,"Y","N"))</f>
        <v/>
      </c>
    </row>
    <row r="1308">
      <c r="A1308" s="60" t="n">
        <v>2026</v>
      </c>
      <c r="B1308" s="60" t="n">
        <v>5</v>
      </c>
      <c r="C1308" s="60" t="inlineStr">
        <is>
          <t>1000</t>
        </is>
      </c>
      <c r="D1308" s="60" t="n">
        <v>1601</v>
      </c>
      <c r="E1308" s="60" t="inlineStr">
        <is>
          <t>영업지원-본사</t>
        </is>
      </c>
      <c r="F1308" s="60" t="n">
        <v>63101000</v>
      </c>
      <c r="G1308" s="60" t="inlineStr">
        <is>
          <t>임차료</t>
        </is>
      </c>
      <c r="H1308" s="61" t="n">
        <v>9656670</v>
      </c>
      <c r="J1308" s="63">
        <f>IF($A1308="","",IFERROR(INDEX(부서매핑!$C$5:$C$504,MATCH($D1308&amp;"",부서매핑!$A$5:$A$504,0)),"미매핑"))</f>
        <v/>
      </c>
      <c r="K1308" s="63">
        <f>IF($A1308="","",IFERROR(INDEX(계정매핑!$C$5:$C$504,MATCH($F1308&amp;"",계정매핑!$A$5:$A$504,0)),"미매핑"))</f>
        <v/>
      </c>
      <c r="L1308" s="4">
        <f>IF($A1308="","",VALUE($A1308&amp;""))</f>
        <v/>
      </c>
      <c r="M1308" s="4">
        <f>IF($A1308="","",VALUE($B1308&amp;""))</f>
        <v/>
      </c>
      <c r="N1308" s="64">
        <f>IF($A1308="","",$H1308*설정!$C$15)</f>
        <v/>
      </c>
      <c r="O1308" s="4">
        <f>IF($A1308="","",J1308&amp;"|"&amp;K1308)</f>
        <v/>
      </c>
      <c r="P1308" s="63">
        <f>IF($A1308="","",IF(COUNTIFS(예산_원본!$T$5:$T$3004,O1308,예산_원본!$B$5:$B$3004,설정!$C$8,예산_원본!$U$5:$U$3004,L1308)&gt;0,"Y","N"))</f>
        <v/>
      </c>
      <c r="Q1308" s="63">
        <f>IF($A1308="","",IF(COUNTIF(집계!$E$7:$E$506,O1308)&gt;0,"Y","N"))</f>
        <v/>
      </c>
    </row>
    <row r="1309">
      <c r="A1309" s="60" t="n">
        <v>2026</v>
      </c>
      <c r="B1309" s="60" t="n">
        <v>5</v>
      </c>
      <c r="C1309" s="60" t="inlineStr">
        <is>
          <t>1000</t>
        </is>
      </c>
      <c r="D1309" s="60" t="n">
        <v>1601</v>
      </c>
      <c r="E1309" s="60" t="inlineStr">
        <is>
          <t>영업지원-본사</t>
        </is>
      </c>
      <c r="F1309" s="60" t="n">
        <v>63201000</v>
      </c>
      <c r="G1309" s="60" t="inlineStr">
        <is>
          <t>차량유지비</t>
        </is>
      </c>
      <c r="H1309" s="61" t="n">
        <v>5114830</v>
      </c>
      <c r="J1309" s="63">
        <f>IF($A1309="","",IFERROR(INDEX(부서매핑!$C$5:$C$504,MATCH($D1309&amp;"",부서매핑!$A$5:$A$504,0)),"미매핑"))</f>
        <v/>
      </c>
      <c r="K1309" s="63">
        <f>IF($A1309="","",IFERROR(INDEX(계정매핑!$C$5:$C$504,MATCH($F1309&amp;"",계정매핑!$A$5:$A$504,0)),"미매핑"))</f>
        <v/>
      </c>
      <c r="L1309" s="4">
        <f>IF($A1309="","",VALUE($A1309&amp;""))</f>
        <v/>
      </c>
      <c r="M1309" s="4">
        <f>IF($A1309="","",VALUE($B1309&amp;""))</f>
        <v/>
      </c>
      <c r="N1309" s="64">
        <f>IF($A1309="","",$H1309*설정!$C$15)</f>
        <v/>
      </c>
      <c r="O1309" s="4">
        <f>IF($A1309="","",J1309&amp;"|"&amp;K1309)</f>
        <v/>
      </c>
      <c r="P1309" s="63">
        <f>IF($A1309="","",IF(COUNTIFS(예산_원본!$T$5:$T$3004,O1309,예산_원본!$B$5:$B$3004,설정!$C$8,예산_원본!$U$5:$U$3004,L1309)&gt;0,"Y","N"))</f>
        <v/>
      </c>
      <c r="Q1309" s="63">
        <f>IF($A1309="","",IF(COUNTIF(집계!$E$7:$E$506,O1309)&gt;0,"Y","N"))</f>
        <v/>
      </c>
    </row>
    <row r="1310">
      <c r="A1310" s="60" t="n">
        <v>2026</v>
      </c>
      <c r="B1310" s="60" t="n">
        <v>5</v>
      </c>
      <c r="C1310" s="60" t="inlineStr">
        <is>
          <t>1000</t>
        </is>
      </c>
      <c r="D1310" s="60" t="n">
        <v>1602</v>
      </c>
      <c r="E1310" s="60" t="inlineStr">
        <is>
          <t>영업지원-지역본부</t>
        </is>
      </c>
      <c r="F1310" s="60" t="n">
        <v>62101000</v>
      </c>
      <c r="G1310" s="60" t="inlineStr">
        <is>
          <t>여비교통비-국내</t>
        </is>
      </c>
      <c r="H1310" s="61" t="n">
        <v>2874680</v>
      </c>
      <c r="J1310" s="63">
        <f>IF($A1310="","",IFERROR(INDEX(부서매핑!$C$5:$C$504,MATCH($D1310&amp;"",부서매핑!$A$5:$A$504,0)),"미매핑"))</f>
        <v/>
      </c>
      <c r="K1310" s="63">
        <f>IF($A1310="","",IFERROR(INDEX(계정매핑!$C$5:$C$504,MATCH($F1310&amp;"",계정매핑!$A$5:$A$504,0)),"미매핑"))</f>
        <v/>
      </c>
      <c r="L1310" s="4">
        <f>IF($A1310="","",VALUE($A1310&amp;""))</f>
        <v/>
      </c>
      <c r="M1310" s="4">
        <f>IF($A1310="","",VALUE($B1310&amp;""))</f>
        <v/>
      </c>
      <c r="N1310" s="64">
        <f>IF($A1310="","",$H1310*설정!$C$15)</f>
        <v/>
      </c>
      <c r="O1310" s="4">
        <f>IF($A1310="","",J1310&amp;"|"&amp;K1310)</f>
        <v/>
      </c>
      <c r="P1310" s="63">
        <f>IF($A1310="","",IF(COUNTIFS(예산_원본!$T$5:$T$3004,O1310,예산_원본!$B$5:$B$3004,설정!$C$8,예산_원본!$U$5:$U$3004,L1310)&gt;0,"Y","N"))</f>
        <v/>
      </c>
      <c r="Q1310" s="63">
        <f>IF($A1310="","",IF(COUNTIF(집계!$E$7:$E$506,O1310)&gt;0,"Y","N"))</f>
        <v/>
      </c>
    </row>
    <row r="1311">
      <c r="A1311" s="60" t="n">
        <v>2026</v>
      </c>
      <c r="B1311" s="60" t="n">
        <v>5</v>
      </c>
      <c r="C1311" s="60" t="inlineStr">
        <is>
          <t>1000</t>
        </is>
      </c>
      <c r="D1311" s="60" t="n">
        <v>1602</v>
      </c>
      <c r="E1311" s="60" t="inlineStr">
        <is>
          <t>영업지원-지역본부</t>
        </is>
      </c>
      <c r="F1311" s="60" t="n">
        <v>62102000</v>
      </c>
      <c r="G1311" s="60" t="inlineStr">
        <is>
          <t>여비교통비-해외</t>
        </is>
      </c>
      <c r="H1311" s="61" t="n">
        <v>540060</v>
      </c>
      <c r="J1311" s="63">
        <f>IF($A1311="","",IFERROR(INDEX(부서매핑!$C$5:$C$504,MATCH($D1311&amp;"",부서매핑!$A$5:$A$504,0)),"미매핑"))</f>
        <v/>
      </c>
      <c r="K1311" s="63">
        <f>IF($A1311="","",IFERROR(INDEX(계정매핑!$C$5:$C$504,MATCH($F1311&amp;"",계정매핑!$A$5:$A$504,0)),"미매핑"))</f>
        <v/>
      </c>
      <c r="L1311" s="4">
        <f>IF($A1311="","",VALUE($A1311&amp;""))</f>
        <v/>
      </c>
      <c r="M1311" s="4">
        <f>IF($A1311="","",VALUE($B1311&amp;""))</f>
        <v/>
      </c>
      <c r="N1311" s="64">
        <f>IF($A1311="","",$H1311*설정!$C$15)</f>
        <v/>
      </c>
      <c r="O1311" s="4">
        <f>IF($A1311="","",J1311&amp;"|"&amp;K1311)</f>
        <v/>
      </c>
      <c r="P1311" s="63">
        <f>IF($A1311="","",IF(COUNTIFS(예산_원본!$T$5:$T$3004,O1311,예산_원본!$B$5:$B$3004,설정!$C$8,예산_원본!$U$5:$U$3004,L1311)&gt;0,"Y","N"))</f>
        <v/>
      </c>
      <c r="Q1311" s="63">
        <f>IF($A1311="","",IF(COUNTIF(집계!$E$7:$E$506,O1311)&gt;0,"Y","N"))</f>
        <v/>
      </c>
    </row>
    <row r="1312">
      <c r="A1312" s="60" t="n">
        <v>2026</v>
      </c>
      <c r="B1312" s="60" t="n">
        <v>5</v>
      </c>
      <c r="C1312" s="60" t="inlineStr">
        <is>
          <t>1000</t>
        </is>
      </c>
      <c r="D1312" s="60" t="n">
        <v>1602</v>
      </c>
      <c r="E1312" s="60" t="inlineStr">
        <is>
          <t>영업지원-지역본부</t>
        </is>
      </c>
      <c r="F1312" s="60" t="n">
        <v>62201000</v>
      </c>
      <c r="G1312" s="60" t="inlineStr">
        <is>
          <t>통신비</t>
        </is>
      </c>
      <c r="H1312" s="61" t="n">
        <v>803570</v>
      </c>
      <c r="J1312" s="63">
        <f>IF($A1312="","",IFERROR(INDEX(부서매핑!$C$5:$C$504,MATCH($D1312&amp;"",부서매핑!$A$5:$A$504,0)),"미매핑"))</f>
        <v/>
      </c>
      <c r="K1312" s="63">
        <f>IF($A1312="","",IFERROR(INDEX(계정매핑!$C$5:$C$504,MATCH($F1312&amp;"",계정매핑!$A$5:$A$504,0)),"미매핑"))</f>
        <v/>
      </c>
      <c r="L1312" s="4">
        <f>IF($A1312="","",VALUE($A1312&amp;""))</f>
        <v/>
      </c>
      <c r="M1312" s="4">
        <f>IF($A1312="","",VALUE($B1312&amp;""))</f>
        <v/>
      </c>
      <c r="N1312" s="64">
        <f>IF($A1312="","",$H1312*설정!$C$15)</f>
        <v/>
      </c>
      <c r="O1312" s="4">
        <f>IF($A1312="","",J1312&amp;"|"&amp;K1312)</f>
        <v/>
      </c>
      <c r="P1312" s="63">
        <f>IF($A1312="","",IF(COUNTIFS(예산_원본!$T$5:$T$3004,O1312,예산_원본!$B$5:$B$3004,설정!$C$8,예산_원본!$U$5:$U$3004,L1312)&gt;0,"Y","N"))</f>
        <v/>
      </c>
      <c r="Q1312" s="63">
        <f>IF($A1312="","",IF(COUNTIF(집계!$E$7:$E$506,O1312)&gt;0,"Y","N"))</f>
        <v/>
      </c>
    </row>
    <row r="1313">
      <c r="A1313" s="60" t="n">
        <v>2026</v>
      </c>
      <c r="B1313" s="60" t="n">
        <v>5</v>
      </c>
      <c r="C1313" s="60" t="inlineStr">
        <is>
          <t>1000</t>
        </is>
      </c>
      <c r="D1313" s="60" t="n">
        <v>1602</v>
      </c>
      <c r="E1313" s="60" t="inlineStr">
        <is>
          <t>영업지원-지역본부</t>
        </is>
      </c>
      <c r="F1313" s="60" t="n">
        <v>62301000</v>
      </c>
      <c r="G1313" s="60" t="inlineStr">
        <is>
          <t>소모품비</t>
        </is>
      </c>
      <c r="H1313" s="61" t="n">
        <v>526020</v>
      </c>
      <c r="J1313" s="63">
        <f>IF($A1313="","",IFERROR(INDEX(부서매핑!$C$5:$C$504,MATCH($D1313&amp;"",부서매핑!$A$5:$A$504,0)),"미매핑"))</f>
        <v/>
      </c>
      <c r="K1313" s="63">
        <f>IF($A1313="","",IFERROR(INDEX(계정매핑!$C$5:$C$504,MATCH($F1313&amp;"",계정매핑!$A$5:$A$504,0)),"미매핑"))</f>
        <v/>
      </c>
      <c r="L1313" s="4">
        <f>IF($A1313="","",VALUE($A1313&amp;""))</f>
        <v/>
      </c>
      <c r="M1313" s="4">
        <f>IF($A1313="","",VALUE($B1313&amp;""))</f>
        <v/>
      </c>
      <c r="N1313" s="64">
        <f>IF($A1313="","",$H1313*설정!$C$15)</f>
        <v/>
      </c>
      <c r="O1313" s="4">
        <f>IF($A1313="","",J1313&amp;"|"&amp;K1313)</f>
        <v/>
      </c>
      <c r="P1313" s="63">
        <f>IF($A1313="","",IF(COUNTIFS(예산_원본!$T$5:$T$3004,O1313,예산_원본!$B$5:$B$3004,설정!$C$8,예산_원본!$U$5:$U$3004,L1313)&gt;0,"Y","N"))</f>
        <v/>
      </c>
      <c r="Q1313" s="63">
        <f>IF($A1313="","",IF(COUNTIF(집계!$E$7:$E$506,O1313)&gt;0,"Y","N"))</f>
        <v/>
      </c>
    </row>
    <row r="1314">
      <c r="A1314" s="60" t="n">
        <v>2026</v>
      </c>
      <c r="B1314" s="60" t="n">
        <v>5</v>
      </c>
      <c r="C1314" s="60" t="inlineStr">
        <is>
          <t>1000</t>
        </is>
      </c>
      <c r="D1314" s="60" t="n">
        <v>1602</v>
      </c>
      <c r="E1314" s="60" t="inlineStr">
        <is>
          <t>영업지원-지역본부</t>
        </is>
      </c>
      <c r="F1314" s="60" t="n">
        <v>62501000</v>
      </c>
      <c r="G1314" s="60" t="inlineStr">
        <is>
          <t>회의비</t>
        </is>
      </c>
      <c r="H1314" s="61" t="n">
        <v>736760</v>
      </c>
      <c r="J1314" s="63">
        <f>IF($A1314="","",IFERROR(INDEX(부서매핑!$C$5:$C$504,MATCH($D1314&amp;"",부서매핑!$A$5:$A$504,0)),"미매핑"))</f>
        <v/>
      </c>
      <c r="K1314" s="63">
        <f>IF($A1314="","",IFERROR(INDEX(계정매핑!$C$5:$C$504,MATCH($F1314&amp;"",계정매핑!$A$5:$A$504,0)),"미매핑"))</f>
        <v/>
      </c>
      <c r="L1314" s="4">
        <f>IF($A1314="","",VALUE($A1314&amp;""))</f>
        <v/>
      </c>
      <c r="M1314" s="4">
        <f>IF($A1314="","",VALUE($B1314&amp;""))</f>
        <v/>
      </c>
      <c r="N1314" s="64">
        <f>IF($A1314="","",$H1314*설정!$C$15)</f>
        <v/>
      </c>
      <c r="O1314" s="4">
        <f>IF($A1314="","",J1314&amp;"|"&amp;K1314)</f>
        <v/>
      </c>
      <c r="P1314" s="63">
        <f>IF($A1314="","",IF(COUNTIFS(예산_원본!$T$5:$T$3004,O1314,예산_원본!$B$5:$B$3004,설정!$C$8,예산_원본!$U$5:$U$3004,L1314)&gt;0,"Y","N"))</f>
        <v/>
      </c>
      <c r="Q1314" s="63">
        <f>IF($A1314="","",IF(COUNTIF(집계!$E$7:$E$506,O1314)&gt;0,"Y","N"))</f>
        <v/>
      </c>
    </row>
    <row r="1315">
      <c r="A1315" s="60" t="n">
        <v>2026</v>
      </c>
      <c r="B1315" s="60" t="n">
        <v>5</v>
      </c>
      <c r="C1315" s="60" t="inlineStr">
        <is>
          <t>1000</t>
        </is>
      </c>
      <c r="D1315" s="60" t="n">
        <v>1602</v>
      </c>
      <c r="E1315" s="60" t="inlineStr">
        <is>
          <t>영업지원-지역본부</t>
        </is>
      </c>
      <c r="F1315" s="60" t="n">
        <v>62601000</v>
      </c>
      <c r="G1315" s="60" t="inlineStr">
        <is>
          <t>업무추진비</t>
        </is>
      </c>
      <c r="H1315" s="61" t="n">
        <v>1602200</v>
      </c>
      <c r="J1315" s="63">
        <f>IF($A1315="","",IFERROR(INDEX(부서매핑!$C$5:$C$504,MATCH($D1315&amp;"",부서매핑!$A$5:$A$504,0)),"미매핑"))</f>
        <v/>
      </c>
      <c r="K1315" s="63">
        <f>IF($A1315="","",IFERROR(INDEX(계정매핑!$C$5:$C$504,MATCH($F1315&amp;"",계정매핑!$A$5:$A$504,0)),"미매핑"))</f>
        <v/>
      </c>
      <c r="L1315" s="4">
        <f>IF($A1315="","",VALUE($A1315&amp;""))</f>
        <v/>
      </c>
      <c r="M1315" s="4">
        <f>IF($A1315="","",VALUE($B1315&amp;""))</f>
        <v/>
      </c>
      <c r="N1315" s="64">
        <f>IF($A1315="","",$H1315*설정!$C$15)</f>
        <v/>
      </c>
      <c r="O1315" s="4">
        <f>IF($A1315="","",J1315&amp;"|"&amp;K1315)</f>
        <v/>
      </c>
      <c r="P1315" s="63">
        <f>IF($A1315="","",IF(COUNTIFS(예산_원본!$T$5:$T$3004,O1315,예산_원본!$B$5:$B$3004,설정!$C$8,예산_원본!$U$5:$U$3004,L1315)&gt;0,"Y","N"))</f>
        <v/>
      </c>
      <c r="Q1315" s="63">
        <f>IF($A1315="","",IF(COUNTIF(집계!$E$7:$E$506,O1315)&gt;0,"Y","N"))</f>
        <v/>
      </c>
    </row>
    <row r="1316">
      <c r="A1316" s="60" t="n">
        <v>2026</v>
      </c>
      <c r="B1316" s="60" t="n">
        <v>5</v>
      </c>
      <c r="C1316" s="60" t="inlineStr">
        <is>
          <t>1000</t>
        </is>
      </c>
      <c r="D1316" s="60" t="n">
        <v>1602</v>
      </c>
      <c r="E1316" s="60" t="inlineStr">
        <is>
          <t>영업지원-지역본부</t>
        </is>
      </c>
      <c r="F1316" s="60" t="n">
        <v>63101000</v>
      </c>
      <c r="G1316" s="60" t="inlineStr">
        <is>
          <t>임차료</t>
        </is>
      </c>
      <c r="H1316" s="61" t="n">
        <v>8018660</v>
      </c>
      <c r="J1316" s="63">
        <f>IF($A1316="","",IFERROR(INDEX(부서매핑!$C$5:$C$504,MATCH($D1316&amp;"",부서매핑!$A$5:$A$504,0)),"미매핑"))</f>
        <v/>
      </c>
      <c r="K1316" s="63">
        <f>IF($A1316="","",IFERROR(INDEX(계정매핑!$C$5:$C$504,MATCH($F1316&amp;"",계정매핑!$A$5:$A$504,0)),"미매핑"))</f>
        <v/>
      </c>
      <c r="L1316" s="4">
        <f>IF($A1316="","",VALUE($A1316&amp;""))</f>
        <v/>
      </c>
      <c r="M1316" s="4">
        <f>IF($A1316="","",VALUE($B1316&amp;""))</f>
        <v/>
      </c>
      <c r="N1316" s="64">
        <f>IF($A1316="","",$H1316*설정!$C$15)</f>
        <v/>
      </c>
      <c r="O1316" s="4">
        <f>IF($A1316="","",J1316&amp;"|"&amp;K1316)</f>
        <v/>
      </c>
      <c r="P1316" s="63">
        <f>IF($A1316="","",IF(COUNTIFS(예산_원본!$T$5:$T$3004,O1316,예산_원본!$B$5:$B$3004,설정!$C$8,예산_원본!$U$5:$U$3004,L1316)&gt;0,"Y","N"))</f>
        <v/>
      </c>
      <c r="Q1316" s="63">
        <f>IF($A1316="","",IF(COUNTIF(집계!$E$7:$E$506,O1316)&gt;0,"Y","N"))</f>
        <v/>
      </c>
    </row>
    <row r="1317">
      <c r="A1317" s="60" t="n">
        <v>2026</v>
      </c>
      <c r="B1317" s="60" t="n">
        <v>5</v>
      </c>
      <c r="C1317" s="60" t="inlineStr">
        <is>
          <t>1000</t>
        </is>
      </c>
      <c r="D1317" s="60" t="n">
        <v>1602</v>
      </c>
      <c r="E1317" s="60" t="inlineStr">
        <is>
          <t>영업지원-지역본부</t>
        </is>
      </c>
      <c r="F1317" s="60" t="n">
        <v>63201000</v>
      </c>
      <c r="G1317" s="60" t="inlineStr">
        <is>
          <t>차량유지비</t>
        </is>
      </c>
      <c r="H1317" s="61" t="n">
        <v>4026120</v>
      </c>
      <c r="J1317" s="63">
        <f>IF($A1317="","",IFERROR(INDEX(부서매핑!$C$5:$C$504,MATCH($D1317&amp;"",부서매핑!$A$5:$A$504,0)),"미매핑"))</f>
        <v/>
      </c>
      <c r="K1317" s="63">
        <f>IF($A1317="","",IFERROR(INDEX(계정매핑!$C$5:$C$504,MATCH($F1317&amp;"",계정매핑!$A$5:$A$504,0)),"미매핑"))</f>
        <v/>
      </c>
      <c r="L1317" s="4">
        <f>IF($A1317="","",VALUE($A1317&amp;""))</f>
        <v/>
      </c>
      <c r="M1317" s="4">
        <f>IF($A1317="","",VALUE($B1317&amp;""))</f>
        <v/>
      </c>
      <c r="N1317" s="64">
        <f>IF($A1317="","",$H1317*설정!$C$15)</f>
        <v/>
      </c>
      <c r="O1317" s="4">
        <f>IF($A1317="","",J1317&amp;"|"&amp;K1317)</f>
        <v/>
      </c>
      <c r="P1317" s="63">
        <f>IF($A1317="","",IF(COUNTIFS(예산_원본!$T$5:$T$3004,O1317,예산_원본!$B$5:$B$3004,설정!$C$8,예산_원본!$U$5:$U$3004,L1317)&gt;0,"Y","N"))</f>
        <v/>
      </c>
      <c r="Q1317" s="63">
        <f>IF($A1317="","",IF(COUNTIF(집계!$E$7:$E$506,O1317)&gt;0,"Y","N"))</f>
        <v/>
      </c>
    </row>
    <row r="1318">
      <c r="A1318" s="60" t="n">
        <v>2026</v>
      </c>
      <c r="B1318" s="60" t="n">
        <v>5</v>
      </c>
      <c r="C1318" s="60" t="inlineStr">
        <is>
          <t>1000</t>
        </is>
      </c>
      <c r="D1318" s="60" t="n">
        <v>1701</v>
      </c>
      <c r="E1318" s="60" t="inlineStr">
        <is>
          <t>IT운영</t>
        </is>
      </c>
      <c r="F1318" s="60" t="n">
        <v>62101000</v>
      </c>
      <c r="G1318" s="60" t="inlineStr">
        <is>
          <t>여비교통비-국내</t>
        </is>
      </c>
      <c r="H1318" s="61" t="n">
        <v>990030</v>
      </c>
      <c r="J1318" s="63">
        <f>IF($A1318="","",IFERROR(INDEX(부서매핑!$C$5:$C$504,MATCH($D1318&amp;"",부서매핑!$A$5:$A$504,0)),"미매핑"))</f>
        <v/>
      </c>
      <c r="K1318" s="63">
        <f>IF($A1318="","",IFERROR(INDEX(계정매핑!$C$5:$C$504,MATCH($F1318&amp;"",계정매핑!$A$5:$A$504,0)),"미매핑"))</f>
        <v/>
      </c>
      <c r="L1318" s="4">
        <f>IF($A1318="","",VALUE($A1318&amp;""))</f>
        <v/>
      </c>
      <c r="M1318" s="4">
        <f>IF($A1318="","",VALUE($B1318&amp;""))</f>
        <v/>
      </c>
      <c r="N1318" s="64">
        <f>IF($A1318="","",$H1318*설정!$C$15)</f>
        <v/>
      </c>
      <c r="O1318" s="4">
        <f>IF($A1318="","",J1318&amp;"|"&amp;K1318)</f>
        <v/>
      </c>
      <c r="P1318" s="63">
        <f>IF($A1318="","",IF(COUNTIFS(예산_원본!$T$5:$T$3004,O1318,예산_원본!$B$5:$B$3004,설정!$C$8,예산_원본!$U$5:$U$3004,L1318)&gt;0,"Y","N"))</f>
        <v/>
      </c>
      <c r="Q1318" s="63">
        <f>IF($A1318="","",IF(COUNTIF(집계!$E$7:$E$506,O1318)&gt;0,"Y","N"))</f>
        <v/>
      </c>
    </row>
    <row r="1319">
      <c r="A1319" s="60" t="n">
        <v>2026</v>
      </c>
      <c r="B1319" s="60" t="n">
        <v>5</v>
      </c>
      <c r="C1319" s="60" t="inlineStr">
        <is>
          <t>1000</t>
        </is>
      </c>
      <c r="D1319" s="60" t="n">
        <v>1701</v>
      </c>
      <c r="E1319" s="60" t="inlineStr">
        <is>
          <t>IT운영</t>
        </is>
      </c>
      <c r="F1319" s="60" t="n">
        <v>62102000</v>
      </c>
      <c r="G1319" s="60" t="inlineStr">
        <is>
          <t>여비교통비-해외</t>
        </is>
      </c>
      <c r="H1319" s="61" t="n">
        <v>162060</v>
      </c>
      <c r="J1319" s="63">
        <f>IF($A1319="","",IFERROR(INDEX(부서매핑!$C$5:$C$504,MATCH($D1319&amp;"",부서매핑!$A$5:$A$504,0)),"미매핑"))</f>
        <v/>
      </c>
      <c r="K1319" s="63">
        <f>IF($A1319="","",IFERROR(INDEX(계정매핑!$C$5:$C$504,MATCH($F1319&amp;"",계정매핑!$A$5:$A$504,0)),"미매핑"))</f>
        <v/>
      </c>
      <c r="L1319" s="4">
        <f>IF($A1319="","",VALUE($A1319&amp;""))</f>
        <v/>
      </c>
      <c r="M1319" s="4">
        <f>IF($A1319="","",VALUE($B1319&amp;""))</f>
        <v/>
      </c>
      <c r="N1319" s="64">
        <f>IF($A1319="","",$H1319*설정!$C$15)</f>
        <v/>
      </c>
      <c r="O1319" s="4">
        <f>IF($A1319="","",J1319&amp;"|"&amp;K1319)</f>
        <v/>
      </c>
      <c r="P1319" s="63">
        <f>IF($A1319="","",IF(COUNTIFS(예산_원본!$T$5:$T$3004,O1319,예산_원본!$B$5:$B$3004,설정!$C$8,예산_원본!$U$5:$U$3004,L1319)&gt;0,"Y","N"))</f>
        <v/>
      </c>
      <c r="Q1319" s="63">
        <f>IF($A1319="","",IF(COUNTIF(집계!$E$7:$E$506,O1319)&gt;0,"Y","N"))</f>
        <v/>
      </c>
    </row>
    <row r="1320">
      <c r="A1320" s="60" t="n">
        <v>2026</v>
      </c>
      <c r="B1320" s="60" t="n">
        <v>5</v>
      </c>
      <c r="C1320" s="60" t="inlineStr">
        <is>
          <t>1000</t>
        </is>
      </c>
      <c r="D1320" s="60" t="n">
        <v>1701</v>
      </c>
      <c r="E1320" s="60" t="inlineStr">
        <is>
          <t>IT운영</t>
        </is>
      </c>
      <c r="F1320" s="60" t="n">
        <v>62201000</v>
      </c>
      <c r="G1320" s="60" t="inlineStr">
        <is>
          <t>통신비</t>
        </is>
      </c>
      <c r="H1320" s="61" t="n">
        <v>12765330</v>
      </c>
      <c r="J1320" s="63">
        <f>IF($A1320="","",IFERROR(INDEX(부서매핑!$C$5:$C$504,MATCH($D1320&amp;"",부서매핑!$A$5:$A$504,0)),"미매핑"))</f>
        <v/>
      </c>
      <c r="K1320" s="63">
        <f>IF($A1320="","",IFERROR(INDEX(계정매핑!$C$5:$C$504,MATCH($F1320&amp;"",계정매핑!$A$5:$A$504,0)),"미매핑"))</f>
        <v/>
      </c>
      <c r="L1320" s="4">
        <f>IF($A1320="","",VALUE($A1320&amp;""))</f>
        <v/>
      </c>
      <c r="M1320" s="4">
        <f>IF($A1320="","",VALUE($B1320&amp;""))</f>
        <v/>
      </c>
      <c r="N1320" s="64">
        <f>IF($A1320="","",$H1320*설정!$C$15)</f>
        <v/>
      </c>
      <c r="O1320" s="4">
        <f>IF($A1320="","",J1320&amp;"|"&amp;K1320)</f>
        <v/>
      </c>
      <c r="P1320" s="63">
        <f>IF($A1320="","",IF(COUNTIFS(예산_원본!$T$5:$T$3004,O1320,예산_원본!$B$5:$B$3004,설정!$C$8,예산_원본!$U$5:$U$3004,L1320)&gt;0,"Y","N"))</f>
        <v/>
      </c>
      <c r="Q1320" s="63">
        <f>IF($A1320="","",IF(COUNTIF(집계!$E$7:$E$506,O1320)&gt;0,"Y","N"))</f>
        <v/>
      </c>
    </row>
    <row r="1321">
      <c r="A1321" s="60" t="n">
        <v>2026</v>
      </c>
      <c r="B1321" s="60" t="n">
        <v>5</v>
      </c>
      <c r="C1321" s="60" t="inlineStr">
        <is>
          <t>1000</t>
        </is>
      </c>
      <c r="D1321" s="60" t="n">
        <v>1701</v>
      </c>
      <c r="E1321" s="60" t="inlineStr">
        <is>
          <t>IT운영</t>
        </is>
      </c>
      <c r="F1321" s="60" t="n">
        <v>62301000</v>
      </c>
      <c r="G1321" s="60" t="inlineStr">
        <is>
          <t>소모품비</t>
        </is>
      </c>
      <c r="H1321" s="61" t="n">
        <v>857950</v>
      </c>
      <c r="J1321" s="63">
        <f>IF($A1321="","",IFERROR(INDEX(부서매핑!$C$5:$C$504,MATCH($D1321&amp;"",부서매핑!$A$5:$A$504,0)),"미매핑"))</f>
        <v/>
      </c>
      <c r="K1321" s="63">
        <f>IF($A1321="","",IFERROR(INDEX(계정매핑!$C$5:$C$504,MATCH($F1321&amp;"",계정매핑!$A$5:$A$504,0)),"미매핑"))</f>
        <v/>
      </c>
      <c r="L1321" s="4">
        <f>IF($A1321="","",VALUE($A1321&amp;""))</f>
        <v/>
      </c>
      <c r="M1321" s="4">
        <f>IF($A1321="","",VALUE($B1321&amp;""))</f>
        <v/>
      </c>
      <c r="N1321" s="64">
        <f>IF($A1321="","",$H1321*설정!$C$15)</f>
        <v/>
      </c>
      <c r="O1321" s="4">
        <f>IF($A1321="","",J1321&amp;"|"&amp;K1321)</f>
        <v/>
      </c>
      <c r="P1321" s="63">
        <f>IF($A1321="","",IF(COUNTIFS(예산_원본!$T$5:$T$3004,O1321,예산_원본!$B$5:$B$3004,설정!$C$8,예산_원본!$U$5:$U$3004,L1321)&gt;0,"Y","N"))</f>
        <v/>
      </c>
      <c r="Q1321" s="63">
        <f>IF($A1321="","",IF(COUNTIF(집계!$E$7:$E$506,O1321)&gt;0,"Y","N"))</f>
        <v/>
      </c>
    </row>
    <row r="1322">
      <c r="A1322" s="60" t="n">
        <v>2026</v>
      </c>
      <c r="B1322" s="60" t="n">
        <v>5</v>
      </c>
      <c r="C1322" s="60" t="inlineStr">
        <is>
          <t>1000</t>
        </is>
      </c>
      <c r="D1322" s="60" t="n">
        <v>1701</v>
      </c>
      <c r="E1322" s="60" t="inlineStr">
        <is>
          <t>IT운영</t>
        </is>
      </c>
      <c r="F1322" s="60" t="n">
        <v>62501000</v>
      </c>
      <c r="G1322" s="60" t="inlineStr">
        <is>
          <t>회의비</t>
        </is>
      </c>
      <c r="H1322" s="61" t="n">
        <v>415980</v>
      </c>
      <c r="J1322" s="63">
        <f>IF($A1322="","",IFERROR(INDEX(부서매핑!$C$5:$C$504,MATCH($D1322&amp;"",부서매핑!$A$5:$A$504,0)),"미매핑"))</f>
        <v/>
      </c>
      <c r="K1322" s="63">
        <f>IF($A1322="","",IFERROR(INDEX(계정매핑!$C$5:$C$504,MATCH($F1322&amp;"",계정매핑!$A$5:$A$504,0)),"미매핑"))</f>
        <v/>
      </c>
      <c r="L1322" s="4">
        <f>IF($A1322="","",VALUE($A1322&amp;""))</f>
        <v/>
      </c>
      <c r="M1322" s="4">
        <f>IF($A1322="","",VALUE($B1322&amp;""))</f>
        <v/>
      </c>
      <c r="N1322" s="64">
        <f>IF($A1322="","",$H1322*설정!$C$15)</f>
        <v/>
      </c>
      <c r="O1322" s="4">
        <f>IF($A1322="","",J1322&amp;"|"&amp;K1322)</f>
        <v/>
      </c>
      <c r="P1322" s="63">
        <f>IF($A1322="","",IF(COUNTIFS(예산_원본!$T$5:$T$3004,O1322,예산_원본!$B$5:$B$3004,설정!$C$8,예산_원본!$U$5:$U$3004,L1322)&gt;0,"Y","N"))</f>
        <v/>
      </c>
      <c r="Q1322" s="63">
        <f>IF($A1322="","",IF(COUNTIF(집계!$E$7:$E$506,O1322)&gt;0,"Y","N"))</f>
        <v/>
      </c>
    </row>
    <row r="1323">
      <c r="A1323" s="60" t="n">
        <v>2026</v>
      </c>
      <c r="B1323" s="60" t="n">
        <v>5</v>
      </c>
      <c r="C1323" s="60" t="inlineStr">
        <is>
          <t>1000</t>
        </is>
      </c>
      <c r="D1323" s="60" t="n">
        <v>1701</v>
      </c>
      <c r="E1323" s="60" t="inlineStr">
        <is>
          <t>IT운영</t>
        </is>
      </c>
      <c r="F1323" s="60" t="n">
        <v>63001000</v>
      </c>
      <c r="G1323" s="60" t="inlineStr">
        <is>
          <t>전산운영비-SW유지보수</t>
        </is>
      </c>
      <c r="H1323" s="61" t="n">
        <v>118030880</v>
      </c>
      <c r="J1323" s="63">
        <f>IF($A1323="","",IFERROR(INDEX(부서매핑!$C$5:$C$504,MATCH($D1323&amp;"",부서매핑!$A$5:$A$504,0)),"미매핑"))</f>
        <v/>
      </c>
      <c r="K1323" s="63">
        <f>IF($A1323="","",IFERROR(INDEX(계정매핑!$C$5:$C$504,MATCH($F1323&amp;"",계정매핑!$A$5:$A$504,0)),"미매핑"))</f>
        <v/>
      </c>
      <c r="L1323" s="4">
        <f>IF($A1323="","",VALUE($A1323&amp;""))</f>
        <v/>
      </c>
      <c r="M1323" s="4">
        <f>IF($A1323="","",VALUE($B1323&amp;""))</f>
        <v/>
      </c>
      <c r="N1323" s="64">
        <f>IF($A1323="","",$H1323*설정!$C$15)</f>
        <v/>
      </c>
      <c r="O1323" s="4">
        <f>IF($A1323="","",J1323&amp;"|"&amp;K1323)</f>
        <v/>
      </c>
      <c r="P1323" s="63">
        <f>IF($A1323="","",IF(COUNTIFS(예산_원본!$T$5:$T$3004,O1323,예산_원본!$B$5:$B$3004,설정!$C$8,예산_원본!$U$5:$U$3004,L1323)&gt;0,"Y","N"))</f>
        <v/>
      </c>
      <c r="Q1323" s="63">
        <f>IF($A1323="","",IF(COUNTIF(집계!$E$7:$E$506,O1323)&gt;0,"Y","N"))</f>
        <v/>
      </c>
    </row>
    <row r="1324">
      <c r="A1324" s="60" t="n">
        <v>2026</v>
      </c>
      <c r="B1324" s="60" t="n">
        <v>5</v>
      </c>
      <c r="C1324" s="60" t="inlineStr">
        <is>
          <t>1000</t>
        </is>
      </c>
      <c r="D1324" s="60" t="n">
        <v>1701</v>
      </c>
      <c r="E1324" s="60" t="inlineStr">
        <is>
          <t>IT운영</t>
        </is>
      </c>
      <c r="F1324" s="60" t="n">
        <v>63002000</v>
      </c>
      <c r="G1324" s="60" t="inlineStr">
        <is>
          <t>전산운영비-클라우드</t>
        </is>
      </c>
      <c r="H1324" s="61" t="n">
        <v>108348110</v>
      </c>
      <c r="J1324" s="63">
        <f>IF($A1324="","",IFERROR(INDEX(부서매핑!$C$5:$C$504,MATCH($D1324&amp;"",부서매핑!$A$5:$A$504,0)),"미매핑"))</f>
        <v/>
      </c>
      <c r="K1324" s="63">
        <f>IF($A1324="","",IFERROR(INDEX(계정매핑!$C$5:$C$504,MATCH($F1324&amp;"",계정매핑!$A$5:$A$504,0)),"미매핑"))</f>
        <v/>
      </c>
      <c r="L1324" s="4">
        <f>IF($A1324="","",VALUE($A1324&amp;""))</f>
        <v/>
      </c>
      <c r="M1324" s="4">
        <f>IF($A1324="","",VALUE($B1324&amp;""))</f>
        <v/>
      </c>
      <c r="N1324" s="64">
        <f>IF($A1324="","",$H1324*설정!$C$15)</f>
        <v/>
      </c>
      <c r="O1324" s="4">
        <f>IF($A1324="","",J1324&amp;"|"&amp;K1324)</f>
        <v/>
      </c>
      <c r="P1324" s="63">
        <f>IF($A1324="","",IF(COUNTIFS(예산_원본!$T$5:$T$3004,O1324,예산_원본!$B$5:$B$3004,설정!$C$8,예산_원본!$U$5:$U$3004,L1324)&gt;0,"Y","N"))</f>
        <v/>
      </c>
      <c r="Q1324" s="63">
        <f>IF($A1324="","",IF(COUNTIF(집계!$E$7:$E$506,O1324)&gt;0,"Y","N"))</f>
        <v/>
      </c>
    </row>
    <row r="1325">
      <c r="A1325" s="60" t="n">
        <v>2026</v>
      </c>
      <c r="B1325" s="60" t="n">
        <v>5</v>
      </c>
      <c r="C1325" s="60" t="inlineStr">
        <is>
          <t>1000</t>
        </is>
      </c>
      <c r="D1325" s="60" t="n">
        <v>1801</v>
      </c>
      <c r="E1325" s="60" t="inlineStr">
        <is>
          <t>고객서비스</t>
        </is>
      </c>
      <c r="F1325" s="60" t="n">
        <v>62101000</v>
      </c>
      <c r="G1325" s="60" t="inlineStr">
        <is>
          <t>여비교통비-국내</t>
        </is>
      </c>
      <c r="H1325" s="61" t="n">
        <v>846740</v>
      </c>
      <c r="J1325" s="63">
        <f>IF($A1325="","",IFERROR(INDEX(부서매핑!$C$5:$C$504,MATCH($D1325&amp;"",부서매핑!$A$5:$A$504,0)),"미매핑"))</f>
        <v/>
      </c>
      <c r="K1325" s="63">
        <f>IF($A1325="","",IFERROR(INDEX(계정매핑!$C$5:$C$504,MATCH($F1325&amp;"",계정매핑!$A$5:$A$504,0)),"미매핑"))</f>
        <v/>
      </c>
      <c r="L1325" s="4">
        <f>IF($A1325="","",VALUE($A1325&amp;""))</f>
        <v/>
      </c>
      <c r="M1325" s="4">
        <f>IF($A1325="","",VALUE($B1325&amp;""))</f>
        <v/>
      </c>
      <c r="N1325" s="64">
        <f>IF($A1325="","",$H1325*설정!$C$15)</f>
        <v/>
      </c>
      <c r="O1325" s="4">
        <f>IF($A1325="","",J1325&amp;"|"&amp;K1325)</f>
        <v/>
      </c>
      <c r="P1325" s="63">
        <f>IF($A1325="","",IF(COUNTIFS(예산_원본!$T$5:$T$3004,O1325,예산_원본!$B$5:$B$3004,설정!$C$8,예산_원본!$U$5:$U$3004,L1325)&gt;0,"Y","N"))</f>
        <v/>
      </c>
      <c r="Q1325" s="63">
        <f>IF($A1325="","",IF(COUNTIF(집계!$E$7:$E$506,O1325)&gt;0,"Y","N"))</f>
        <v/>
      </c>
    </row>
    <row r="1326">
      <c r="A1326" s="60" t="n">
        <v>2026</v>
      </c>
      <c r="B1326" s="60" t="n">
        <v>5</v>
      </c>
      <c r="C1326" s="60" t="inlineStr">
        <is>
          <t>1000</t>
        </is>
      </c>
      <c r="D1326" s="60" t="n">
        <v>1801</v>
      </c>
      <c r="E1326" s="60" t="inlineStr">
        <is>
          <t>고객서비스</t>
        </is>
      </c>
      <c r="F1326" s="60" t="n">
        <v>62102000</v>
      </c>
      <c r="G1326" s="60" t="inlineStr">
        <is>
          <t>여비교통비-해외</t>
        </is>
      </c>
      <c r="H1326" s="61" t="n">
        <v>150920</v>
      </c>
      <c r="J1326" s="63">
        <f>IF($A1326="","",IFERROR(INDEX(부서매핑!$C$5:$C$504,MATCH($D1326&amp;"",부서매핑!$A$5:$A$504,0)),"미매핑"))</f>
        <v/>
      </c>
      <c r="K1326" s="63">
        <f>IF($A1326="","",IFERROR(INDEX(계정매핑!$C$5:$C$504,MATCH($F1326&amp;"",계정매핑!$A$5:$A$504,0)),"미매핑"))</f>
        <v/>
      </c>
      <c r="L1326" s="4">
        <f>IF($A1326="","",VALUE($A1326&amp;""))</f>
        <v/>
      </c>
      <c r="M1326" s="4">
        <f>IF($A1326="","",VALUE($B1326&amp;""))</f>
        <v/>
      </c>
      <c r="N1326" s="64">
        <f>IF($A1326="","",$H1326*설정!$C$15)</f>
        <v/>
      </c>
      <c r="O1326" s="4">
        <f>IF($A1326="","",J1326&amp;"|"&amp;K1326)</f>
        <v/>
      </c>
      <c r="P1326" s="63">
        <f>IF($A1326="","",IF(COUNTIFS(예산_원본!$T$5:$T$3004,O1326,예산_원본!$B$5:$B$3004,설정!$C$8,예산_원본!$U$5:$U$3004,L1326)&gt;0,"Y","N"))</f>
        <v/>
      </c>
      <c r="Q1326" s="63">
        <f>IF($A1326="","",IF(COUNTIF(집계!$E$7:$E$506,O1326)&gt;0,"Y","N"))</f>
        <v/>
      </c>
    </row>
    <row r="1327">
      <c r="A1327" s="60" t="n">
        <v>2026</v>
      </c>
      <c r="B1327" s="60" t="n">
        <v>5</v>
      </c>
      <c r="C1327" s="60" t="inlineStr">
        <is>
          <t>1000</t>
        </is>
      </c>
      <c r="D1327" s="60" t="n">
        <v>1801</v>
      </c>
      <c r="E1327" s="60" t="inlineStr">
        <is>
          <t>고객서비스</t>
        </is>
      </c>
      <c r="F1327" s="60" t="n">
        <v>62201000</v>
      </c>
      <c r="G1327" s="60" t="inlineStr">
        <is>
          <t>통신비</t>
        </is>
      </c>
      <c r="H1327" s="61" t="n">
        <v>16554170</v>
      </c>
      <c r="J1327" s="63">
        <f>IF($A1327="","",IFERROR(INDEX(부서매핑!$C$5:$C$504,MATCH($D1327&amp;"",부서매핑!$A$5:$A$504,0)),"미매핑"))</f>
        <v/>
      </c>
      <c r="K1327" s="63">
        <f>IF($A1327="","",IFERROR(INDEX(계정매핑!$C$5:$C$504,MATCH($F1327&amp;"",계정매핑!$A$5:$A$504,0)),"미매핑"))</f>
        <v/>
      </c>
      <c r="L1327" s="4">
        <f>IF($A1327="","",VALUE($A1327&amp;""))</f>
        <v/>
      </c>
      <c r="M1327" s="4">
        <f>IF($A1327="","",VALUE($B1327&amp;""))</f>
        <v/>
      </c>
      <c r="N1327" s="64">
        <f>IF($A1327="","",$H1327*설정!$C$15)</f>
        <v/>
      </c>
      <c r="O1327" s="4">
        <f>IF($A1327="","",J1327&amp;"|"&amp;K1327)</f>
        <v/>
      </c>
      <c r="P1327" s="63">
        <f>IF($A1327="","",IF(COUNTIFS(예산_원본!$T$5:$T$3004,O1327,예산_원본!$B$5:$B$3004,설정!$C$8,예산_원본!$U$5:$U$3004,L1327)&gt;0,"Y","N"))</f>
        <v/>
      </c>
      <c r="Q1327" s="63">
        <f>IF($A1327="","",IF(COUNTIF(집계!$E$7:$E$506,O1327)&gt;0,"Y","N"))</f>
        <v/>
      </c>
    </row>
    <row r="1328">
      <c r="A1328" s="60" t="n">
        <v>2026</v>
      </c>
      <c r="B1328" s="60" t="n">
        <v>5</v>
      </c>
      <c r="C1328" s="60" t="inlineStr">
        <is>
          <t>1000</t>
        </is>
      </c>
      <c r="D1328" s="60" t="n">
        <v>1801</v>
      </c>
      <c r="E1328" s="60" t="inlineStr">
        <is>
          <t>고객서비스</t>
        </is>
      </c>
      <c r="F1328" s="60" t="n">
        <v>62301000</v>
      </c>
      <c r="G1328" s="60" t="inlineStr">
        <is>
          <t>소모품비</t>
        </is>
      </c>
      <c r="H1328" s="61" t="n">
        <v>1348730</v>
      </c>
      <c r="J1328" s="63">
        <f>IF($A1328="","",IFERROR(INDEX(부서매핑!$C$5:$C$504,MATCH($D1328&amp;"",부서매핑!$A$5:$A$504,0)),"미매핑"))</f>
        <v/>
      </c>
      <c r="K1328" s="63">
        <f>IF($A1328="","",IFERROR(INDEX(계정매핑!$C$5:$C$504,MATCH($F1328&amp;"",계정매핑!$A$5:$A$504,0)),"미매핑"))</f>
        <v/>
      </c>
      <c r="L1328" s="4">
        <f>IF($A1328="","",VALUE($A1328&amp;""))</f>
        <v/>
      </c>
      <c r="M1328" s="4">
        <f>IF($A1328="","",VALUE($B1328&amp;""))</f>
        <v/>
      </c>
      <c r="N1328" s="64">
        <f>IF($A1328="","",$H1328*설정!$C$15)</f>
        <v/>
      </c>
      <c r="O1328" s="4">
        <f>IF($A1328="","",J1328&amp;"|"&amp;K1328)</f>
        <v/>
      </c>
      <c r="P1328" s="63">
        <f>IF($A1328="","",IF(COUNTIFS(예산_원본!$T$5:$T$3004,O1328,예산_원본!$B$5:$B$3004,설정!$C$8,예산_원본!$U$5:$U$3004,L1328)&gt;0,"Y","N"))</f>
        <v/>
      </c>
      <c r="Q1328" s="63">
        <f>IF($A1328="","",IF(COUNTIF(집계!$E$7:$E$506,O1328)&gt;0,"Y","N"))</f>
        <v/>
      </c>
    </row>
    <row r="1329">
      <c r="A1329" s="60" t="n">
        <v>2026</v>
      </c>
      <c r="B1329" s="60" t="n">
        <v>5</v>
      </c>
      <c r="C1329" s="60" t="inlineStr">
        <is>
          <t>1000</t>
        </is>
      </c>
      <c r="D1329" s="60" t="n">
        <v>1801</v>
      </c>
      <c r="E1329" s="60" t="inlineStr">
        <is>
          <t>고객서비스</t>
        </is>
      </c>
      <c r="F1329" s="60" t="n">
        <v>62401000</v>
      </c>
      <c r="G1329" s="60" t="inlineStr">
        <is>
          <t>도서인쇄비</t>
        </is>
      </c>
      <c r="H1329" s="61" t="n">
        <v>9090580</v>
      </c>
      <c r="J1329" s="63">
        <f>IF($A1329="","",IFERROR(INDEX(부서매핑!$C$5:$C$504,MATCH($D1329&amp;"",부서매핑!$A$5:$A$504,0)),"미매핑"))</f>
        <v/>
      </c>
      <c r="K1329" s="63">
        <f>IF($A1329="","",IFERROR(INDEX(계정매핑!$C$5:$C$504,MATCH($F1329&amp;"",계정매핑!$A$5:$A$504,0)),"미매핑"))</f>
        <v/>
      </c>
      <c r="L1329" s="4">
        <f>IF($A1329="","",VALUE($A1329&amp;""))</f>
        <v/>
      </c>
      <c r="M1329" s="4">
        <f>IF($A1329="","",VALUE($B1329&amp;""))</f>
        <v/>
      </c>
      <c r="N1329" s="64">
        <f>IF($A1329="","",$H1329*설정!$C$15)</f>
        <v/>
      </c>
      <c r="O1329" s="4">
        <f>IF($A1329="","",J1329&amp;"|"&amp;K1329)</f>
        <v/>
      </c>
      <c r="P1329" s="63">
        <f>IF($A1329="","",IF(COUNTIFS(예산_원본!$T$5:$T$3004,O1329,예산_원본!$B$5:$B$3004,설정!$C$8,예산_원본!$U$5:$U$3004,L1329)&gt;0,"Y","N"))</f>
        <v/>
      </c>
      <c r="Q1329" s="63">
        <f>IF($A1329="","",IF(COUNTIF(집계!$E$7:$E$506,O1329)&gt;0,"Y","N"))</f>
        <v/>
      </c>
    </row>
    <row r="1330">
      <c r="A1330" s="60" t="n">
        <v>2026</v>
      </c>
      <c r="B1330" s="60" t="n">
        <v>5</v>
      </c>
      <c r="C1330" s="60" t="inlineStr">
        <is>
          <t>1000</t>
        </is>
      </c>
      <c r="D1330" s="60" t="n">
        <v>1801</v>
      </c>
      <c r="E1330" s="60" t="inlineStr">
        <is>
          <t>고객서비스</t>
        </is>
      </c>
      <c r="F1330" s="60" t="n">
        <v>62501000</v>
      </c>
      <c r="G1330" s="60" t="inlineStr">
        <is>
          <t>회의비</t>
        </is>
      </c>
      <c r="H1330" s="61" t="n">
        <v>533350</v>
      </c>
      <c r="J1330" s="63">
        <f>IF($A1330="","",IFERROR(INDEX(부서매핑!$C$5:$C$504,MATCH($D1330&amp;"",부서매핑!$A$5:$A$504,0)),"미매핑"))</f>
        <v/>
      </c>
      <c r="K1330" s="63">
        <f>IF($A1330="","",IFERROR(INDEX(계정매핑!$C$5:$C$504,MATCH($F1330&amp;"",계정매핑!$A$5:$A$504,0)),"미매핑"))</f>
        <v/>
      </c>
      <c r="L1330" s="4">
        <f>IF($A1330="","",VALUE($A1330&amp;""))</f>
        <v/>
      </c>
      <c r="M1330" s="4">
        <f>IF($A1330="","",VALUE($B1330&amp;""))</f>
        <v/>
      </c>
      <c r="N1330" s="64">
        <f>IF($A1330="","",$H1330*설정!$C$15)</f>
        <v/>
      </c>
      <c r="O1330" s="4">
        <f>IF($A1330="","",J1330&amp;"|"&amp;K1330)</f>
        <v/>
      </c>
      <c r="P1330" s="63">
        <f>IF($A1330="","",IF(COUNTIFS(예산_원본!$T$5:$T$3004,O1330,예산_원본!$B$5:$B$3004,설정!$C$8,예산_원본!$U$5:$U$3004,L1330)&gt;0,"Y","N"))</f>
        <v/>
      </c>
      <c r="Q1330" s="63">
        <f>IF($A1330="","",IF(COUNTIF(집계!$E$7:$E$506,O1330)&gt;0,"Y","N"))</f>
        <v/>
      </c>
    </row>
    <row r="1331">
      <c r="A1331" s="60" t="n">
        <v>2026</v>
      </c>
      <c r="B1331" s="60" t="n">
        <v>5</v>
      </c>
      <c r="C1331" s="60" t="inlineStr">
        <is>
          <t>1000</t>
        </is>
      </c>
      <c r="D1331" s="60" t="n">
        <v>1801</v>
      </c>
      <c r="E1331" s="60" t="inlineStr">
        <is>
          <t>고객서비스</t>
        </is>
      </c>
      <c r="F1331" s="60" t="n">
        <v>62901000</v>
      </c>
      <c r="G1331" s="60" t="inlineStr">
        <is>
          <t>지급수수료-컨설팅</t>
        </is>
      </c>
      <c r="H1331" s="61" t="n">
        <v>30923070</v>
      </c>
      <c r="J1331" s="63">
        <f>IF($A1331="","",IFERROR(INDEX(부서매핑!$C$5:$C$504,MATCH($D1331&amp;"",부서매핑!$A$5:$A$504,0)),"미매핑"))</f>
        <v/>
      </c>
      <c r="K1331" s="63">
        <f>IF($A1331="","",IFERROR(INDEX(계정매핑!$C$5:$C$504,MATCH($F1331&amp;"",계정매핑!$A$5:$A$504,0)),"미매핑"))</f>
        <v/>
      </c>
      <c r="L1331" s="4">
        <f>IF($A1331="","",VALUE($A1331&amp;""))</f>
        <v/>
      </c>
      <c r="M1331" s="4">
        <f>IF($A1331="","",VALUE($B1331&amp;""))</f>
        <v/>
      </c>
      <c r="N1331" s="64">
        <f>IF($A1331="","",$H1331*설정!$C$15)</f>
        <v/>
      </c>
      <c r="O1331" s="4">
        <f>IF($A1331="","",J1331&amp;"|"&amp;K1331)</f>
        <v/>
      </c>
      <c r="P1331" s="63">
        <f>IF($A1331="","",IF(COUNTIFS(예산_원본!$T$5:$T$3004,O1331,예산_원본!$B$5:$B$3004,설정!$C$8,예산_원본!$U$5:$U$3004,L1331)&gt;0,"Y","N"))</f>
        <v/>
      </c>
      <c r="Q1331" s="63">
        <f>IF($A1331="","",IF(COUNTIF(집계!$E$7:$E$506,O1331)&gt;0,"Y","N"))</f>
        <v/>
      </c>
    </row>
    <row r="1332">
      <c r="A1332" s="60" t="n">
        <v>2026</v>
      </c>
      <c r="B1332" s="60" t="n">
        <v>5</v>
      </c>
      <c r="C1332" s="60" t="inlineStr">
        <is>
          <t>1000</t>
        </is>
      </c>
      <c r="D1332" s="60" t="n">
        <v>1801</v>
      </c>
      <c r="E1332" s="60" t="inlineStr">
        <is>
          <t>고객서비스</t>
        </is>
      </c>
      <c r="F1332" s="60" t="n">
        <v>62902000</v>
      </c>
      <c r="G1332" s="60" t="inlineStr">
        <is>
          <t>지급수수료-기타</t>
        </is>
      </c>
      <c r="H1332" s="61" t="n">
        <v>15080580</v>
      </c>
      <c r="J1332" s="63">
        <f>IF($A1332="","",IFERROR(INDEX(부서매핑!$C$5:$C$504,MATCH($D1332&amp;"",부서매핑!$A$5:$A$504,0)),"미매핑"))</f>
        <v/>
      </c>
      <c r="K1332" s="63">
        <f>IF($A1332="","",IFERROR(INDEX(계정매핑!$C$5:$C$504,MATCH($F1332&amp;"",계정매핑!$A$5:$A$504,0)),"미매핑"))</f>
        <v/>
      </c>
      <c r="L1332" s="4">
        <f>IF($A1332="","",VALUE($A1332&amp;""))</f>
        <v/>
      </c>
      <c r="M1332" s="4">
        <f>IF($A1332="","",VALUE($B1332&amp;""))</f>
        <v/>
      </c>
      <c r="N1332" s="64">
        <f>IF($A1332="","",$H1332*설정!$C$15)</f>
        <v/>
      </c>
      <c r="O1332" s="4">
        <f>IF($A1332="","",J1332&amp;"|"&amp;K1332)</f>
        <v/>
      </c>
      <c r="P1332" s="63">
        <f>IF($A1332="","",IF(COUNTIFS(예산_원본!$T$5:$T$3004,O1332,예산_원본!$B$5:$B$3004,설정!$C$8,예산_원본!$U$5:$U$3004,L1332)&gt;0,"Y","N"))</f>
        <v/>
      </c>
      <c r="Q1332" s="63">
        <f>IF($A1332="","",IF(COUNTIF(집계!$E$7:$E$506,O1332)&gt;0,"Y","N"))</f>
        <v/>
      </c>
    </row>
    <row r="1333">
      <c r="A1333" s="60" t="n">
        <v>2026</v>
      </c>
      <c r="B1333" s="60" t="n">
        <v>6</v>
      </c>
      <c r="C1333" s="60" t="inlineStr">
        <is>
          <t>1000</t>
        </is>
      </c>
      <c r="D1333" s="60" t="n">
        <v>1101</v>
      </c>
      <c r="E1333" s="60" t="inlineStr">
        <is>
          <t>경영기획</t>
        </is>
      </c>
      <c r="F1333" s="60" t="n">
        <v>62101000</v>
      </c>
      <c r="G1333" s="60" t="inlineStr">
        <is>
          <t>여비교통비-국내</t>
        </is>
      </c>
      <c r="H1333" s="61" t="n">
        <v>2459400</v>
      </c>
      <c r="J1333" s="63">
        <f>IF($A1333="","",IFERROR(INDEX(부서매핑!$C$5:$C$504,MATCH($D1333&amp;"",부서매핑!$A$5:$A$504,0)),"미매핑"))</f>
        <v/>
      </c>
      <c r="K1333" s="63">
        <f>IF($A1333="","",IFERROR(INDEX(계정매핑!$C$5:$C$504,MATCH($F1333&amp;"",계정매핑!$A$5:$A$504,0)),"미매핑"))</f>
        <v/>
      </c>
      <c r="L1333" s="4">
        <f>IF($A1333="","",VALUE($A1333&amp;""))</f>
        <v/>
      </c>
      <c r="M1333" s="4">
        <f>IF($A1333="","",VALUE($B1333&amp;""))</f>
        <v/>
      </c>
      <c r="N1333" s="64">
        <f>IF($A1333="","",$H1333*설정!$C$15)</f>
        <v/>
      </c>
      <c r="O1333" s="4">
        <f>IF($A1333="","",J1333&amp;"|"&amp;K1333)</f>
        <v/>
      </c>
      <c r="P1333" s="63">
        <f>IF($A1333="","",IF(COUNTIFS(예산_원본!$T$5:$T$3004,O1333,예산_원본!$B$5:$B$3004,설정!$C$8,예산_원본!$U$5:$U$3004,L1333)&gt;0,"Y","N"))</f>
        <v/>
      </c>
      <c r="Q1333" s="63">
        <f>IF($A1333="","",IF(COUNTIF(집계!$E$7:$E$506,O1333)&gt;0,"Y","N"))</f>
        <v/>
      </c>
    </row>
    <row r="1334">
      <c r="A1334" s="60" t="n">
        <v>2026</v>
      </c>
      <c r="B1334" s="60" t="n">
        <v>6</v>
      </c>
      <c r="C1334" s="60" t="inlineStr">
        <is>
          <t>1000</t>
        </is>
      </c>
      <c r="D1334" s="60" t="n">
        <v>1101</v>
      </c>
      <c r="E1334" s="60" t="inlineStr">
        <is>
          <t>경영기획</t>
        </is>
      </c>
      <c r="F1334" s="60" t="n">
        <v>62102000</v>
      </c>
      <c r="G1334" s="60" t="inlineStr">
        <is>
          <t>여비교통비-해외</t>
        </is>
      </c>
      <c r="H1334" s="61" t="n">
        <v>465450</v>
      </c>
      <c r="J1334" s="63">
        <f>IF($A1334="","",IFERROR(INDEX(부서매핑!$C$5:$C$504,MATCH($D1334&amp;"",부서매핑!$A$5:$A$504,0)),"미매핑"))</f>
        <v/>
      </c>
      <c r="K1334" s="63">
        <f>IF($A1334="","",IFERROR(INDEX(계정매핑!$C$5:$C$504,MATCH($F1334&amp;"",계정매핑!$A$5:$A$504,0)),"미매핑"))</f>
        <v/>
      </c>
      <c r="L1334" s="4">
        <f>IF($A1334="","",VALUE($A1334&amp;""))</f>
        <v/>
      </c>
      <c r="M1334" s="4">
        <f>IF($A1334="","",VALUE($B1334&amp;""))</f>
        <v/>
      </c>
      <c r="N1334" s="64">
        <f>IF($A1334="","",$H1334*설정!$C$15)</f>
        <v/>
      </c>
      <c r="O1334" s="4">
        <f>IF($A1334="","",J1334&amp;"|"&amp;K1334)</f>
        <v/>
      </c>
      <c r="P1334" s="63">
        <f>IF($A1334="","",IF(COUNTIFS(예산_원본!$T$5:$T$3004,O1334,예산_원본!$B$5:$B$3004,설정!$C$8,예산_원본!$U$5:$U$3004,L1334)&gt;0,"Y","N"))</f>
        <v/>
      </c>
      <c r="Q1334" s="63">
        <f>IF($A1334="","",IF(COUNTIF(집계!$E$7:$E$506,O1334)&gt;0,"Y","N"))</f>
        <v/>
      </c>
    </row>
    <row r="1335">
      <c r="A1335" s="60" t="n">
        <v>2026</v>
      </c>
      <c r="B1335" s="60" t="n">
        <v>6</v>
      </c>
      <c r="C1335" s="60" t="inlineStr">
        <is>
          <t>1000</t>
        </is>
      </c>
      <c r="D1335" s="60" t="n">
        <v>1101</v>
      </c>
      <c r="E1335" s="60" t="inlineStr">
        <is>
          <t>경영기획</t>
        </is>
      </c>
      <c r="F1335" s="60" t="n">
        <v>62201000</v>
      </c>
      <c r="G1335" s="60" t="inlineStr">
        <is>
          <t>통신비</t>
        </is>
      </c>
      <c r="H1335" s="61" t="n">
        <v>679460</v>
      </c>
      <c r="J1335" s="63">
        <f>IF($A1335="","",IFERROR(INDEX(부서매핑!$C$5:$C$504,MATCH($D1335&amp;"",부서매핑!$A$5:$A$504,0)),"미매핑"))</f>
        <v/>
      </c>
      <c r="K1335" s="63">
        <f>IF($A1335="","",IFERROR(INDEX(계정매핑!$C$5:$C$504,MATCH($F1335&amp;"",계정매핑!$A$5:$A$504,0)),"미매핑"))</f>
        <v/>
      </c>
      <c r="L1335" s="4">
        <f>IF($A1335="","",VALUE($A1335&amp;""))</f>
        <v/>
      </c>
      <c r="M1335" s="4">
        <f>IF($A1335="","",VALUE($B1335&amp;""))</f>
        <v/>
      </c>
      <c r="N1335" s="64">
        <f>IF($A1335="","",$H1335*설정!$C$15)</f>
        <v/>
      </c>
      <c r="O1335" s="4">
        <f>IF($A1335="","",J1335&amp;"|"&amp;K1335)</f>
        <v/>
      </c>
      <c r="P1335" s="63">
        <f>IF($A1335="","",IF(COUNTIFS(예산_원본!$T$5:$T$3004,O1335,예산_원본!$B$5:$B$3004,설정!$C$8,예산_원본!$U$5:$U$3004,L1335)&gt;0,"Y","N"))</f>
        <v/>
      </c>
      <c r="Q1335" s="63">
        <f>IF($A1335="","",IF(COUNTIF(집계!$E$7:$E$506,O1335)&gt;0,"Y","N"))</f>
        <v/>
      </c>
    </row>
    <row r="1336">
      <c r="A1336" s="60" t="n">
        <v>2026</v>
      </c>
      <c r="B1336" s="60" t="n">
        <v>6</v>
      </c>
      <c r="C1336" s="60" t="inlineStr">
        <is>
          <t>1000</t>
        </is>
      </c>
      <c r="D1336" s="60" t="n">
        <v>1101</v>
      </c>
      <c r="E1336" s="60" t="inlineStr">
        <is>
          <t>경영기획</t>
        </is>
      </c>
      <c r="F1336" s="60" t="n">
        <v>62301000</v>
      </c>
      <c r="G1336" s="60" t="inlineStr">
        <is>
          <t>소모품비</t>
        </is>
      </c>
      <c r="H1336" s="61" t="n">
        <v>450260</v>
      </c>
      <c r="J1336" s="63">
        <f>IF($A1336="","",IFERROR(INDEX(부서매핑!$C$5:$C$504,MATCH($D1336&amp;"",부서매핑!$A$5:$A$504,0)),"미매핑"))</f>
        <v/>
      </c>
      <c r="K1336" s="63">
        <f>IF($A1336="","",IFERROR(INDEX(계정매핑!$C$5:$C$504,MATCH($F1336&amp;"",계정매핑!$A$5:$A$504,0)),"미매핑"))</f>
        <v/>
      </c>
      <c r="L1336" s="4">
        <f>IF($A1336="","",VALUE($A1336&amp;""))</f>
        <v/>
      </c>
      <c r="M1336" s="4">
        <f>IF($A1336="","",VALUE($B1336&amp;""))</f>
        <v/>
      </c>
      <c r="N1336" s="64">
        <f>IF($A1336="","",$H1336*설정!$C$15)</f>
        <v/>
      </c>
      <c r="O1336" s="4">
        <f>IF($A1336="","",J1336&amp;"|"&amp;K1336)</f>
        <v/>
      </c>
      <c r="P1336" s="63">
        <f>IF($A1336="","",IF(COUNTIFS(예산_원본!$T$5:$T$3004,O1336,예산_원본!$B$5:$B$3004,설정!$C$8,예산_원본!$U$5:$U$3004,L1336)&gt;0,"Y","N"))</f>
        <v/>
      </c>
      <c r="Q1336" s="63">
        <f>IF($A1336="","",IF(COUNTIF(집계!$E$7:$E$506,O1336)&gt;0,"Y","N"))</f>
        <v/>
      </c>
    </row>
    <row r="1337">
      <c r="A1337" s="60" t="n">
        <v>2026</v>
      </c>
      <c r="B1337" s="60" t="n">
        <v>6</v>
      </c>
      <c r="C1337" s="60" t="inlineStr">
        <is>
          <t>1000</t>
        </is>
      </c>
      <c r="D1337" s="60" t="n">
        <v>1101</v>
      </c>
      <c r="E1337" s="60" t="inlineStr">
        <is>
          <t>경영기획</t>
        </is>
      </c>
      <c r="F1337" s="60" t="n">
        <v>62501000</v>
      </c>
      <c r="G1337" s="60" t="inlineStr">
        <is>
          <t>회의비</t>
        </is>
      </c>
      <c r="H1337" s="61" t="n">
        <v>928490</v>
      </c>
      <c r="J1337" s="63">
        <f>IF($A1337="","",IFERROR(INDEX(부서매핑!$C$5:$C$504,MATCH($D1337&amp;"",부서매핑!$A$5:$A$504,0)),"미매핑"))</f>
        <v/>
      </c>
      <c r="K1337" s="63">
        <f>IF($A1337="","",IFERROR(INDEX(계정매핑!$C$5:$C$504,MATCH($F1337&amp;"",계정매핑!$A$5:$A$504,0)),"미매핑"))</f>
        <v/>
      </c>
      <c r="L1337" s="4">
        <f>IF($A1337="","",VALUE($A1337&amp;""))</f>
        <v/>
      </c>
      <c r="M1337" s="4">
        <f>IF($A1337="","",VALUE($B1337&amp;""))</f>
        <v/>
      </c>
      <c r="N1337" s="64">
        <f>IF($A1337="","",$H1337*설정!$C$15)</f>
        <v/>
      </c>
      <c r="O1337" s="4">
        <f>IF($A1337="","",J1337&amp;"|"&amp;K1337)</f>
        <v/>
      </c>
      <c r="P1337" s="63">
        <f>IF($A1337="","",IF(COUNTIFS(예산_원본!$T$5:$T$3004,O1337,예산_원본!$B$5:$B$3004,설정!$C$8,예산_원본!$U$5:$U$3004,L1337)&gt;0,"Y","N"))</f>
        <v/>
      </c>
      <c r="Q1337" s="63">
        <f>IF($A1337="","",IF(COUNTIF(집계!$E$7:$E$506,O1337)&gt;0,"Y","N"))</f>
        <v/>
      </c>
    </row>
    <row r="1338">
      <c r="A1338" s="60" t="n">
        <v>2026</v>
      </c>
      <c r="B1338" s="60" t="n">
        <v>6</v>
      </c>
      <c r="C1338" s="60" t="inlineStr">
        <is>
          <t>1000</t>
        </is>
      </c>
      <c r="D1338" s="60" t="n">
        <v>1101</v>
      </c>
      <c r="E1338" s="60" t="inlineStr">
        <is>
          <t>경영기획</t>
        </is>
      </c>
      <c r="F1338" s="60" t="n">
        <v>62601000</v>
      </c>
      <c r="G1338" s="60" t="inlineStr">
        <is>
          <t>업무추진비</t>
        </is>
      </c>
      <c r="H1338" s="61" t="n">
        <v>4631670</v>
      </c>
      <c r="J1338" s="63">
        <f>IF($A1338="","",IFERROR(INDEX(부서매핑!$C$5:$C$504,MATCH($D1338&amp;"",부서매핑!$A$5:$A$504,0)),"미매핑"))</f>
        <v/>
      </c>
      <c r="K1338" s="63">
        <f>IF($A1338="","",IFERROR(INDEX(계정매핑!$C$5:$C$504,MATCH($F1338&amp;"",계정매핑!$A$5:$A$504,0)),"미매핑"))</f>
        <v/>
      </c>
      <c r="L1338" s="4">
        <f>IF($A1338="","",VALUE($A1338&amp;""))</f>
        <v/>
      </c>
      <c r="M1338" s="4">
        <f>IF($A1338="","",VALUE($B1338&amp;""))</f>
        <v/>
      </c>
      <c r="N1338" s="64">
        <f>IF($A1338="","",$H1338*설정!$C$15)</f>
        <v/>
      </c>
      <c r="O1338" s="4">
        <f>IF($A1338="","",J1338&amp;"|"&amp;K1338)</f>
        <v/>
      </c>
      <c r="P1338" s="63">
        <f>IF($A1338="","",IF(COUNTIFS(예산_원본!$T$5:$T$3004,O1338,예산_원본!$B$5:$B$3004,설정!$C$8,예산_원본!$U$5:$U$3004,L1338)&gt;0,"Y","N"))</f>
        <v/>
      </c>
      <c r="Q1338" s="63">
        <f>IF($A1338="","",IF(COUNTIF(집계!$E$7:$E$506,O1338)&gt;0,"Y","N"))</f>
        <v/>
      </c>
    </row>
    <row r="1339">
      <c r="A1339" s="60" t="n">
        <v>2026</v>
      </c>
      <c r="B1339" s="60" t="n">
        <v>6</v>
      </c>
      <c r="C1339" s="60" t="inlineStr">
        <is>
          <t>1000</t>
        </is>
      </c>
      <c r="D1339" s="60" t="n">
        <v>1101</v>
      </c>
      <c r="E1339" s="60" t="inlineStr">
        <is>
          <t>경영기획</t>
        </is>
      </c>
      <c r="F1339" s="60" t="n">
        <v>62901000</v>
      </c>
      <c r="G1339" s="60" t="inlineStr">
        <is>
          <t>지급수수료-컨설팅</t>
        </is>
      </c>
      <c r="H1339" s="61" t="n">
        <v>11246460</v>
      </c>
      <c r="J1339" s="63">
        <f>IF($A1339="","",IFERROR(INDEX(부서매핑!$C$5:$C$504,MATCH($D1339&amp;"",부서매핑!$A$5:$A$504,0)),"미매핑"))</f>
        <v/>
      </c>
      <c r="K1339" s="63">
        <f>IF($A1339="","",IFERROR(INDEX(계정매핑!$C$5:$C$504,MATCH($F1339&amp;"",계정매핑!$A$5:$A$504,0)),"미매핑"))</f>
        <v/>
      </c>
      <c r="L1339" s="4">
        <f>IF($A1339="","",VALUE($A1339&amp;""))</f>
        <v/>
      </c>
      <c r="M1339" s="4">
        <f>IF($A1339="","",VALUE($B1339&amp;""))</f>
        <v/>
      </c>
      <c r="N1339" s="64">
        <f>IF($A1339="","",$H1339*설정!$C$15)</f>
        <v/>
      </c>
      <c r="O1339" s="4">
        <f>IF($A1339="","",J1339&amp;"|"&amp;K1339)</f>
        <v/>
      </c>
      <c r="P1339" s="63">
        <f>IF($A1339="","",IF(COUNTIFS(예산_원본!$T$5:$T$3004,O1339,예산_원본!$B$5:$B$3004,설정!$C$8,예산_원본!$U$5:$U$3004,L1339)&gt;0,"Y","N"))</f>
        <v/>
      </c>
      <c r="Q1339" s="63">
        <f>IF($A1339="","",IF(COUNTIF(집계!$E$7:$E$506,O1339)&gt;0,"Y","N"))</f>
        <v/>
      </c>
    </row>
    <row r="1340">
      <c r="A1340" s="60" t="n">
        <v>2026</v>
      </c>
      <c r="B1340" s="60" t="n">
        <v>6</v>
      </c>
      <c r="C1340" s="60" t="inlineStr">
        <is>
          <t>1000</t>
        </is>
      </c>
      <c r="D1340" s="60" t="n">
        <v>1101</v>
      </c>
      <c r="E1340" s="60" t="inlineStr">
        <is>
          <t>경영기획</t>
        </is>
      </c>
      <c r="F1340" s="60" t="n">
        <v>62902000</v>
      </c>
      <c r="G1340" s="60" t="inlineStr">
        <is>
          <t>지급수수료-기타</t>
        </is>
      </c>
      <c r="H1340" s="61" t="n">
        <v>4649590</v>
      </c>
      <c r="J1340" s="63">
        <f>IF($A1340="","",IFERROR(INDEX(부서매핑!$C$5:$C$504,MATCH($D1340&amp;"",부서매핑!$A$5:$A$504,0)),"미매핑"))</f>
        <v/>
      </c>
      <c r="K1340" s="63">
        <f>IF($A1340="","",IFERROR(INDEX(계정매핑!$C$5:$C$504,MATCH($F1340&amp;"",계정매핑!$A$5:$A$504,0)),"미매핑"))</f>
        <v/>
      </c>
      <c r="L1340" s="4">
        <f>IF($A1340="","",VALUE($A1340&amp;""))</f>
        <v/>
      </c>
      <c r="M1340" s="4">
        <f>IF($A1340="","",VALUE($B1340&amp;""))</f>
        <v/>
      </c>
      <c r="N1340" s="64">
        <f>IF($A1340="","",$H1340*설정!$C$15)</f>
        <v/>
      </c>
      <c r="O1340" s="4">
        <f>IF($A1340="","",J1340&amp;"|"&amp;K1340)</f>
        <v/>
      </c>
      <c r="P1340" s="63">
        <f>IF($A1340="","",IF(COUNTIFS(예산_원본!$T$5:$T$3004,O1340,예산_원본!$B$5:$B$3004,설정!$C$8,예산_원본!$U$5:$U$3004,L1340)&gt;0,"Y","N"))</f>
        <v/>
      </c>
      <c r="Q1340" s="63">
        <f>IF($A1340="","",IF(COUNTIF(집계!$E$7:$E$506,O1340)&gt;0,"Y","N"))</f>
        <v/>
      </c>
    </row>
    <row r="1341">
      <c r="A1341" s="60" t="n">
        <v>2026</v>
      </c>
      <c r="B1341" s="60" t="n">
        <v>6</v>
      </c>
      <c r="C1341" s="60" t="inlineStr">
        <is>
          <t>1000</t>
        </is>
      </c>
      <c r="D1341" s="60" t="n">
        <v>1201</v>
      </c>
      <c r="E1341" s="60" t="inlineStr">
        <is>
          <t>재무회계</t>
        </is>
      </c>
      <c r="F1341" s="60" t="n">
        <v>62101000</v>
      </c>
      <c r="G1341" s="60" t="inlineStr">
        <is>
          <t>여비교통비-국내</t>
        </is>
      </c>
      <c r="H1341" s="61" t="n">
        <v>1305540</v>
      </c>
      <c r="J1341" s="63">
        <f>IF($A1341="","",IFERROR(INDEX(부서매핑!$C$5:$C$504,MATCH($D1341&amp;"",부서매핑!$A$5:$A$504,0)),"미매핑"))</f>
        <v/>
      </c>
      <c r="K1341" s="63">
        <f>IF($A1341="","",IFERROR(INDEX(계정매핑!$C$5:$C$504,MATCH($F1341&amp;"",계정매핑!$A$5:$A$504,0)),"미매핑"))</f>
        <v/>
      </c>
      <c r="L1341" s="4">
        <f>IF($A1341="","",VALUE($A1341&amp;""))</f>
        <v/>
      </c>
      <c r="M1341" s="4">
        <f>IF($A1341="","",VALUE($B1341&amp;""))</f>
        <v/>
      </c>
      <c r="N1341" s="64">
        <f>IF($A1341="","",$H1341*설정!$C$15)</f>
        <v/>
      </c>
      <c r="O1341" s="4">
        <f>IF($A1341="","",J1341&amp;"|"&amp;K1341)</f>
        <v/>
      </c>
      <c r="P1341" s="63">
        <f>IF($A1341="","",IF(COUNTIFS(예산_원본!$T$5:$T$3004,O1341,예산_원본!$B$5:$B$3004,설정!$C$8,예산_원본!$U$5:$U$3004,L1341)&gt;0,"Y","N"))</f>
        <v/>
      </c>
      <c r="Q1341" s="63">
        <f>IF($A1341="","",IF(COUNTIF(집계!$E$7:$E$506,O1341)&gt;0,"Y","N"))</f>
        <v/>
      </c>
    </row>
    <row r="1342">
      <c r="A1342" s="60" t="n">
        <v>2026</v>
      </c>
      <c r="B1342" s="60" t="n">
        <v>6</v>
      </c>
      <c r="C1342" s="60" t="inlineStr">
        <is>
          <t>1000</t>
        </is>
      </c>
      <c r="D1342" s="60" t="n">
        <v>1201</v>
      </c>
      <c r="E1342" s="60" t="inlineStr">
        <is>
          <t>재무회계</t>
        </is>
      </c>
      <c r="F1342" s="60" t="n">
        <v>62102000</v>
      </c>
      <c r="G1342" s="60" t="inlineStr">
        <is>
          <t>여비교통비-해외</t>
        </is>
      </c>
      <c r="H1342" s="61" t="n">
        <v>223690</v>
      </c>
      <c r="J1342" s="63">
        <f>IF($A1342="","",IFERROR(INDEX(부서매핑!$C$5:$C$504,MATCH($D1342&amp;"",부서매핑!$A$5:$A$504,0)),"미매핑"))</f>
        <v/>
      </c>
      <c r="K1342" s="63">
        <f>IF($A1342="","",IFERROR(INDEX(계정매핑!$C$5:$C$504,MATCH($F1342&amp;"",계정매핑!$A$5:$A$504,0)),"미매핑"))</f>
        <v/>
      </c>
      <c r="L1342" s="4">
        <f>IF($A1342="","",VALUE($A1342&amp;""))</f>
        <v/>
      </c>
      <c r="M1342" s="4">
        <f>IF($A1342="","",VALUE($B1342&amp;""))</f>
        <v/>
      </c>
      <c r="N1342" s="64">
        <f>IF($A1342="","",$H1342*설정!$C$15)</f>
        <v/>
      </c>
      <c r="O1342" s="4">
        <f>IF($A1342="","",J1342&amp;"|"&amp;K1342)</f>
        <v/>
      </c>
      <c r="P1342" s="63">
        <f>IF($A1342="","",IF(COUNTIFS(예산_원본!$T$5:$T$3004,O1342,예산_원본!$B$5:$B$3004,설정!$C$8,예산_원본!$U$5:$U$3004,L1342)&gt;0,"Y","N"))</f>
        <v/>
      </c>
      <c r="Q1342" s="63">
        <f>IF($A1342="","",IF(COUNTIF(집계!$E$7:$E$506,O1342)&gt;0,"Y","N"))</f>
        <v/>
      </c>
    </row>
    <row r="1343">
      <c r="A1343" s="60" t="n">
        <v>2026</v>
      </c>
      <c r="B1343" s="60" t="n">
        <v>6</v>
      </c>
      <c r="C1343" s="60" t="inlineStr">
        <is>
          <t>1000</t>
        </is>
      </c>
      <c r="D1343" s="60" t="n">
        <v>1201</v>
      </c>
      <c r="E1343" s="60" t="inlineStr">
        <is>
          <t>재무회계</t>
        </is>
      </c>
      <c r="F1343" s="60" t="n">
        <v>62201000</v>
      </c>
      <c r="G1343" s="60" t="inlineStr">
        <is>
          <t>통신비</t>
        </is>
      </c>
      <c r="H1343" s="61" t="n">
        <v>578460</v>
      </c>
      <c r="J1343" s="63">
        <f>IF($A1343="","",IFERROR(INDEX(부서매핑!$C$5:$C$504,MATCH($D1343&amp;"",부서매핑!$A$5:$A$504,0)),"미매핑"))</f>
        <v/>
      </c>
      <c r="K1343" s="63">
        <f>IF($A1343="","",IFERROR(INDEX(계정매핑!$C$5:$C$504,MATCH($F1343&amp;"",계정매핑!$A$5:$A$504,0)),"미매핑"))</f>
        <v/>
      </c>
      <c r="L1343" s="4">
        <f>IF($A1343="","",VALUE($A1343&amp;""))</f>
        <v/>
      </c>
      <c r="M1343" s="4">
        <f>IF($A1343="","",VALUE($B1343&amp;""))</f>
        <v/>
      </c>
      <c r="N1343" s="64">
        <f>IF($A1343="","",$H1343*설정!$C$15)</f>
        <v/>
      </c>
      <c r="O1343" s="4">
        <f>IF($A1343="","",J1343&amp;"|"&amp;K1343)</f>
        <v/>
      </c>
      <c r="P1343" s="63">
        <f>IF($A1343="","",IF(COUNTIFS(예산_원본!$T$5:$T$3004,O1343,예산_원본!$B$5:$B$3004,설정!$C$8,예산_원본!$U$5:$U$3004,L1343)&gt;0,"Y","N"))</f>
        <v/>
      </c>
      <c r="Q1343" s="63">
        <f>IF($A1343="","",IF(COUNTIF(집계!$E$7:$E$506,O1343)&gt;0,"Y","N"))</f>
        <v/>
      </c>
    </row>
    <row r="1344">
      <c r="A1344" s="60" t="n">
        <v>2026</v>
      </c>
      <c r="B1344" s="60" t="n">
        <v>6</v>
      </c>
      <c r="C1344" s="60" t="inlineStr">
        <is>
          <t>1000</t>
        </is>
      </c>
      <c r="D1344" s="60" t="n">
        <v>1201</v>
      </c>
      <c r="E1344" s="60" t="inlineStr">
        <is>
          <t>재무회계</t>
        </is>
      </c>
      <c r="F1344" s="60" t="n">
        <v>62301000</v>
      </c>
      <c r="G1344" s="60" t="inlineStr">
        <is>
          <t>소모품비</t>
        </is>
      </c>
      <c r="H1344" s="61" t="n">
        <v>669120</v>
      </c>
      <c r="J1344" s="63">
        <f>IF($A1344="","",IFERROR(INDEX(부서매핑!$C$5:$C$504,MATCH($D1344&amp;"",부서매핑!$A$5:$A$504,0)),"미매핑"))</f>
        <v/>
      </c>
      <c r="K1344" s="63">
        <f>IF($A1344="","",IFERROR(INDEX(계정매핑!$C$5:$C$504,MATCH($F1344&amp;"",계정매핑!$A$5:$A$504,0)),"미매핑"))</f>
        <v/>
      </c>
      <c r="L1344" s="4">
        <f>IF($A1344="","",VALUE($A1344&amp;""))</f>
        <v/>
      </c>
      <c r="M1344" s="4">
        <f>IF($A1344="","",VALUE($B1344&amp;""))</f>
        <v/>
      </c>
      <c r="N1344" s="64">
        <f>IF($A1344="","",$H1344*설정!$C$15)</f>
        <v/>
      </c>
      <c r="O1344" s="4">
        <f>IF($A1344="","",J1344&amp;"|"&amp;K1344)</f>
        <v/>
      </c>
      <c r="P1344" s="63">
        <f>IF($A1344="","",IF(COUNTIFS(예산_원본!$T$5:$T$3004,O1344,예산_원본!$B$5:$B$3004,설정!$C$8,예산_원본!$U$5:$U$3004,L1344)&gt;0,"Y","N"))</f>
        <v/>
      </c>
      <c r="Q1344" s="63">
        <f>IF($A1344="","",IF(COUNTIF(집계!$E$7:$E$506,O1344)&gt;0,"Y","N"))</f>
        <v/>
      </c>
    </row>
    <row r="1345">
      <c r="A1345" s="60" t="n">
        <v>2026</v>
      </c>
      <c r="B1345" s="60" t="n">
        <v>6</v>
      </c>
      <c r="C1345" s="60" t="inlineStr">
        <is>
          <t>1000</t>
        </is>
      </c>
      <c r="D1345" s="60" t="n">
        <v>1201</v>
      </c>
      <c r="E1345" s="60" t="inlineStr">
        <is>
          <t>재무회계</t>
        </is>
      </c>
      <c r="F1345" s="60" t="n">
        <v>62501000</v>
      </c>
      <c r="G1345" s="60" t="inlineStr">
        <is>
          <t>회의비</t>
        </is>
      </c>
      <c r="H1345" s="61" t="n">
        <v>539050</v>
      </c>
      <c r="J1345" s="63">
        <f>IF($A1345="","",IFERROR(INDEX(부서매핑!$C$5:$C$504,MATCH($D1345&amp;"",부서매핑!$A$5:$A$504,0)),"미매핑"))</f>
        <v/>
      </c>
      <c r="K1345" s="63">
        <f>IF($A1345="","",IFERROR(INDEX(계정매핑!$C$5:$C$504,MATCH($F1345&amp;"",계정매핑!$A$5:$A$504,0)),"미매핑"))</f>
        <v/>
      </c>
      <c r="L1345" s="4">
        <f>IF($A1345="","",VALUE($A1345&amp;""))</f>
        <v/>
      </c>
      <c r="M1345" s="4">
        <f>IF($A1345="","",VALUE($B1345&amp;""))</f>
        <v/>
      </c>
      <c r="N1345" s="64">
        <f>IF($A1345="","",$H1345*설정!$C$15)</f>
        <v/>
      </c>
      <c r="O1345" s="4">
        <f>IF($A1345="","",J1345&amp;"|"&amp;K1345)</f>
        <v/>
      </c>
      <c r="P1345" s="63">
        <f>IF($A1345="","",IF(COUNTIFS(예산_원본!$T$5:$T$3004,O1345,예산_원본!$B$5:$B$3004,설정!$C$8,예산_원본!$U$5:$U$3004,L1345)&gt;0,"Y","N"))</f>
        <v/>
      </c>
      <c r="Q1345" s="63">
        <f>IF($A1345="","",IF(COUNTIF(집계!$E$7:$E$506,O1345)&gt;0,"Y","N"))</f>
        <v/>
      </c>
    </row>
    <row r="1346">
      <c r="A1346" s="60" t="n">
        <v>2026</v>
      </c>
      <c r="B1346" s="60" t="n">
        <v>6</v>
      </c>
      <c r="C1346" s="60" t="inlineStr">
        <is>
          <t>1000</t>
        </is>
      </c>
      <c r="D1346" s="60" t="n">
        <v>1201</v>
      </c>
      <c r="E1346" s="60" t="inlineStr">
        <is>
          <t>재무회계</t>
        </is>
      </c>
      <c r="F1346" s="60" t="n">
        <v>62901000</v>
      </c>
      <c r="G1346" s="60" t="inlineStr">
        <is>
          <t>지급수수료-컨설팅</t>
        </is>
      </c>
      <c r="H1346" s="61" t="n">
        <v>21470970</v>
      </c>
      <c r="J1346" s="63">
        <f>IF($A1346="","",IFERROR(INDEX(부서매핑!$C$5:$C$504,MATCH($D1346&amp;"",부서매핑!$A$5:$A$504,0)),"미매핑"))</f>
        <v/>
      </c>
      <c r="K1346" s="63">
        <f>IF($A1346="","",IFERROR(INDEX(계정매핑!$C$5:$C$504,MATCH($F1346&amp;"",계정매핑!$A$5:$A$504,0)),"미매핑"))</f>
        <v/>
      </c>
      <c r="L1346" s="4">
        <f>IF($A1346="","",VALUE($A1346&amp;""))</f>
        <v/>
      </c>
      <c r="M1346" s="4">
        <f>IF($A1346="","",VALUE($B1346&amp;""))</f>
        <v/>
      </c>
      <c r="N1346" s="64">
        <f>IF($A1346="","",$H1346*설정!$C$15)</f>
        <v/>
      </c>
      <c r="O1346" s="4">
        <f>IF($A1346="","",J1346&amp;"|"&amp;K1346)</f>
        <v/>
      </c>
      <c r="P1346" s="63">
        <f>IF($A1346="","",IF(COUNTIFS(예산_원본!$T$5:$T$3004,O1346,예산_원본!$B$5:$B$3004,설정!$C$8,예산_원본!$U$5:$U$3004,L1346)&gt;0,"Y","N"))</f>
        <v/>
      </c>
      <c r="Q1346" s="63">
        <f>IF($A1346="","",IF(COUNTIF(집계!$E$7:$E$506,O1346)&gt;0,"Y","N"))</f>
        <v/>
      </c>
    </row>
    <row r="1347">
      <c r="A1347" s="60" t="n">
        <v>2026</v>
      </c>
      <c r="B1347" s="60" t="n">
        <v>6</v>
      </c>
      <c r="C1347" s="60" t="inlineStr">
        <is>
          <t>1000</t>
        </is>
      </c>
      <c r="D1347" s="60" t="n">
        <v>1201</v>
      </c>
      <c r="E1347" s="60" t="inlineStr">
        <is>
          <t>재무회계</t>
        </is>
      </c>
      <c r="F1347" s="60" t="n">
        <v>62902000</v>
      </c>
      <c r="G1347" s="60" t="inlineStr">
        <is>
          <t>지급수수료-기타</t>
        </is>
      </c>
      <c r="H1347" s="61" t="n">
        <v>10341320</v>
      </c>
      <c r="J1347" s="63">
        <f>IF($A1347="","",IFERROR(INDEX(부서매핑!$C$5:$C$504,MATCH($D1347&amp;"",부서매핑!$A$5:$A$504,0)),"미매핑"))</f>
        <v/>
      </c>
      <c r="K1347" s="63">
        <f>IF($A1347="","",IFERROR(INDEX(계정매핑!$C$5:$C$504,MATCH($F1347&amp;"",계정매핑!$A$5:$A$504,0)),"미매핑"))</f>
        <v/>
      </c>
      <c r="L1347" s="4">
        <f>IF($A1347="","",VALUE($A1347&amp;""))</f>
        <v/>
      </c>
      <c r="M1347" s="4">
        <f>IF($A1347="","",VALUE($B1347&amp;""))</f>
        <v/>
      </c>
      <c r="N1347" s="64">
        <f>IF($A1347="","",$H1347*설정!$C$15)</f>
        <v/>
      </c>
      <c r="O1347" s="4">
        <f>IF($A1347="","",J1347&amp;"|"&amp;K1347)</f>
        <v/>
      </c>
      <c r="P1347" s="63">
        <f>IF($A1347="","",IF(COUNTIFS(예산_원본!$T$5:$T$3004,O1347,예산_원본!$B$5:$B$3004,설정!$C$8,예산_원본!$U$5:$U$3004,L1347)&gt;0,"Y","N"))</f>
        <v/>
      </c>
      <c r="Q1347" s="63">
        <f>IF($A1347="","",IF(COUNTIF(집계!$E$7:$E$506,O1347)&gt;0,"Y","N"))</f>
        <v/>
      </c>
    </row>
    <row r="1348">
      <c r="A1348" s="60" t="n">
        <v>2026</v>
      </c>
      <c r="B1348" s="60" t="n">
        <v>6</v>
      </c>
      <c r="C1348" s="60" t="inlineStr">
        <is>
          <t>1000</t>
        </is>
      </c>
      <c r="D1348" s="60" t="n">
        <v>1301</v>
      </c>
      <c r="E1348" s="60" t="inlineStr">
        <is>
          <t>인사</t>
        </is>
      </c>
      <c r="F1348" s="60" t="n">
        <v>62101000</v>
      </c>
      <c r="G1348" s="60" t="inlineStr">
        <is>
          <t>여비교통비-국내</t>
        </is>
      </c>
      <c r="H1348" s="61" t="n">
        <v>1594890</v>
      </c>
      <c r="J1348" s="63">
        <f>IF($A1348="","",IFERROR(INDEX(부서매핑!$C$5:$C$504,MATCH($D1348&amp;"",부서매핑!$A$5:$A$504,0)),"미매핑"))</f>
        <v/>
      </c>
      <c r="K1348" s="63">
        <f>IF($A1348="","",IFERROR(INDEX(계정매핑!$C$5:$C$504,MATCH($F1348&amp;"",계정매핑!$A$5:$A$504,0)),"미매핑"))</f>
        <v/>
      </c>
      <c r="L1348" s="4">
        <f>IF($A1348="","",VALUE($A1348&amp;""))</f>
        <v/>
      </c>
      <c r="M1348" s="4">
        <f>IF($A1348="","",VALUE($B1348&amp;""))</f>
        <v/>
      </c>
      <c r="N1348" s="64">
        <f>IF($A1348="","",$H1348*설정!$C$15)</f>
        <v/>
      </c>
      <c r="O1348" s="4">
        <f>IF($A1348="","",J1348&amp;"|"&amp;K1348)</f>
        <v/>
      </c>
      <c r="P1348" s="63">
        <f>IF($A1348="","",IF(COUNTIFS(예산_원본!$T$5:$T$3004,O1348,예산_원본!$B$5:$B$3004,설정!$C$8,예산_원본!$U$5:$U$3004,L1348)&gt;0,"Y","N"))</f>
        <v/>
      </c>
      <c r="Q1348" s="63">
        <f>IF($A1348="","",IF(COUNTIF(집계!$E$7:$E$506,O1348)&gt;0,"Y","N"))</f>
        <v/>
      </c>
    </row>
    <row r="1349">
      <c r="A1349" s="60" t="n">
        <v>2026</v>
      </c>
      <c r="B1349" s="60" t="n">
        <v>6</v>
      </c>
      <c r="C1349" s="60" t="inlineStr">
        <is>
          <t>1000</t>
        </is>
      </c>
      <c r="D1349" s="60" t="n">
        <v>1301</v>
      </c>
      <c r="E1349" s="60" t="inlineStr">
        <is>
          <t>인사</t>
        </is>
      </c>
      <c r="F1349" s="60" t="n">
        <v>62102000</v>
      </c>
      <c r="G1349" s="60" t="inlineStr">
        <is>
          <t>여비교통비-해외</t>
        </is>
      </c>
      <c r="H1349" s="61" t="n">
        <v>279220</v>
      </c>
      <c r="J1349" s="63">
        <f>IF($A1349="","",IFERROR(INDEX(부서매핑!$C$5:$C$504,MATCH($D1349&amp;"",부서매핑!$A$5:$A$504,0)),"미매핑"))</f>
        <v/>
      </c>
      <c r="K1349" s="63">
        <f>IF($A1349="","",IFERROR(INDEX(계정매핑!$C$5:$C$504,MATCH($F1349&amp;"",계정매핑!$A$5:$A$504,0)),"미매핑"))</f>
        <v/>
      </c>
      <c r="L1349" s="4">
        <f>IF($A1349="","",VALUE($A1349&amp;""))</f>
        <v/>
      </c>
      <c r="M1349" s="4">
        <f>IF($A1349="","",VALUE($B1349&amp;""))</f>
        <v/>
      </c>
      <c r="N1349" s="64">
        <f>IF($A1349="","",$H1349*설정!$C$15)</f>
        <v/>
      </c>
      <c r="O1349" s="4">
        <f>IF($A1349="","",J1349&amp;"|"&amp;K1349)</f>
        <v/>
      </c>
      <c r="P1349" s="63">
        <f>IF($A1349="","",IF(COUNTIFS(예산_원본!$T$5:$T$3004,O1349,예산_원본!$B$5:$B$3004,설정!$C$8,예산_원본!$U$5:$U$3004,L1349)&gt;0,"Y","N"))</f>
        <v/>
      </c>
      <c r="Q1349" s="63">
        <f>IF($A1349="","",IF(COUNTIF(집계!$E$7:$E$506,O1349)&gt;0,"Y","N"))</f>
        <v/>
      </c>
    </row>
    <row r="1350">
      <c r="A1350" s="60" t="n">
        <v>2026</v>
      </c>
      <c r="B1350" s="60" t="n">
        <v>6</v>
      </c>
      <c r="C1350" s="60" t="inlineStr">
        <is>
          <t>1000</t>
        </is>
      </c>
      <c r="D1350" s="60" t="n">
        <v>1301</v>
      </c>
      <c r="E1350" s="60" t="inlineStr">
        <is>
          <t>인사</t>
        </is>
      </c>
      <c r="F1350" s="60" t="n">
        <v>62201000</v>
      </c>
      <c r="G1350" s="60" t="inlineStr">
        <is>
          <t>통신비</t>
        </is>
      </c>
      <c r="H1350" s="61" t="n">
        <v>635480</v>
      </c>
      <c r="J1350" s="63">
        <f>IF($A1350="","",IFERROR(INDEX(부서매핑!$C$5:$C$504,MATCH($D1350&amp;"",부서매핑!$A$5:$A$504,0)),"미매핑"))</f>
        <v/>
      </c>
      <c r="K1350" s="63">
        <f>IF($A1350="","",IFERROR(INDEX(계정매핑!$C$5:$C$504,MATCH($F1350&amp;"",계정매핑!$A$5:$A$504,0)),"미매핑"))</f>
        <v/>
      </c>
      <c r="L1350" s="4">
        <f>IF($A1350="","",VALUE($A1350&amp;""))</f>
        <v/>
      </c>
      <c r="M1350" s="4">
        <f>IF($A1350="","",VALUE($B1350&amp;""))</f>
        <v/>
      </c>
      <c r="N1350" s="64">
        <f>IF($A1350="","",$H1350*설정!$C$15)</f>
        <v/>
      </c>
      <c r="O1350" s="4">
        <f>IF($A1350="","",J1350&amp;"|"&amp;K1350)</f>
        <v/>
      </c>
      <c r="P1350" s="63">
        <f>IF($A1350="","",IF(COUNTIFS(예산_원본!$T$5:$T$3004,O1350,예산_원본!$B$5:$B$3004,설정!$C$8,예산_원본!$U$5:$U$3004,L1350)&gt;0,"Y","N"))</f>
        <v/>
      </c>
      <c r="Q1350" s="63">
        <f>IF($A1350="","",IF(COUNTIF(집계!$E$7:$E$506,O1350)&gt;0,"Y","N"))</f>
        <v/>
      </c>
    </row>
    <row r="1351">
      <c r="A1351" s="60" t="n">
        <v>2026</v>
      </c>
      <c r="B1351" s="60" t="n">
        <v>6</v>
      </c>
      <c r="C1351" s="60" t="inlineStr">
        <is>
          <t>1000</t>
        </is>
      </c>
      <c r="D1351" s="60" t="n">
        <v>1301</v>
      </c>
      <c r="E1351" s="60" t="inlineStr">
        <is>
          <t>인사</t>
        </is>
      </c>
      <c r="F1351" s="60" t="n">
        <v>62301000</v>
      </c>
      <c r="G1351" s="60" t="inlineStr">
        <is>
          <t>소모품비</t>
        </is>
      </c>
      <c r="H1351" s="61" t="n">
        <v>787730</v>
      </c>
      <c r="J1351" s="63">
        <f>IF($A1351="","",IFERROR(INDEX(부서매핑!$C$5:$C$504,MATCH($D1351&amp;"",부서매핑!$A$5:$A$504,0)),"미매핑"))</f>
        <v/>
      </c>
      <c r="K1351" s="63">
        <f>IF($A1351="","",IFERROR(INDEX(계정매핑!$C$5:$C$504,MATCH($F1351&amp;"",계정매핑!$A$5:$A$504,0)),"미매핑"))</f>
        <v/>
      </c>
      <c r="L1351" s="4">
        <f>IF($A1351="","",VALUE($A1351&amp;""))</f>
        <v/>
      </c>
      <c r="M1351" s="4">
        <f>IF($A1351="","",VALUE($B1351&amp;""))</f>
        <v/>
      </c>
      <c r="N1351" s="64">
        <f>IF($A1351="","",$H1351*설정!$C$15)</f>
        <v/>
      </c>
      <c r="O1351" s="4">
        <f>IF($A1351="","",J1351&amp;"|"&amp;K1351)</f>
        <v/>
      </c>
      <c r="P1351" s="63">
        <f>IF($A1351="","",IF(COUNTIFS(예산_원본!$T$5:$T$3004,O1351,예산_원본!$B$5:$B$3004,설정!$C$8,예산_원본!$U$5:$U$3004,L1351)&gt;0,"Y","N"))</f>
        <v/>
      </c>
      <c r="Q1351" s="63">
        <f>IF($A1351="","",IF(COUNTIF(집계!$E$7:$E$506,O1351)&gt;0,"Y","N"))</f>
        <v/>
      </c>
    </row>
    <row r="1352">
      <c r="A1352" s="60" t="n">
        <v>2026</v>
      </c>
      <c r="B1352" s="60" t="n">
        <v>6</v>
      </c>
      <c r="C1352" s="60" t="inlineStr">
        <is>
          <t>1000</t>
        </is>
      </c>
      <c r="D1352" s="60" t="n">
        <v>1301</v>
      </c>
      <c r="E1352" s="60" t="inlineStr">
        <is>
          <t>인사</t>
        </is>
      </c>
      <c r="F1352" s="60" t="n">
        <v>62501000</v>
      </c>
      <c r="G1352" s="60" t="inlineStr">
        <is>
          <t>회의비</t>
        </is>
      </c>
      <c r="H1352" s="61" t="n">
        <v>792670</v>
      </c>
      <c r="J1352" s="63">
        <f>IF($A1352="","",IFERROR(INDEX(부서매핑!$C$5:$C$504,MATCH($D1352&amp;"",부서매핑!$A$5:$A$504,0)),"미매핑"))</f>
        <v/>
      </c>
      <c r="K1352" s="63">
        <f>IF($A1352="","",IFERROR(INDEX(계정매핑!$C$5:$C$504,MATCH($F1352&amp;"",계정매핑!$A$5:$A$504,0)),"미매핑"))</f>
        <v/>
      </c>
      <c r="L1352" s="4">
        <f>IF($A1352="","",VALUE($A1352&amp;""))</f>
        <v/>
      </c>
      <c r="M1352" s="4">
        <f>IF($A1352="","",VALUE($B1352&amp;""))</f>
        <v/>
      </c>
      <c r="N1352" s="64">
        <f>IF($A1352="","",$H1352*설정!$C$15)</f>
        <v/>
      </c>
      <c r="O1352" s="4">
        <f>IF($A1352="","",J1352&amp;"|"&amp;K1352)</f>
        <v/>
      </c>
      <c r="P1352" s="63">
        <f>IF($A1352="","",IF(COUNTIFS(예산_원본!$T$5:$T$3004,O1352,예산_원본!$B$5:$B$3004,설정!$C$8,예산_원본!$U$5:$U$3004,L1352)&gt;0,"Y","N"))</f>
        <v/>
      </c>
      <c r="Q1352" s="63">
        <f>IF($A1352="","",IF(COUNTIF(집계!$E$7:$E$506,O1352)&gt;0,"Y","N"))</f>
        <v/>
      </c>
    </row>
    <row r="1353">
      <c r="A1353" s="60" t="n">
        <v>2026</v>
      </c>
      <c r="B1353" s="60" t="n">
        <v>6</v>
      </c>
      <c r="C1353" s="60" t="inlineStr">
        <is>
          <t>1000</t>
        </is>
      </c>
      <c r="D1353" s="60" t="n">
        <v>1301</v>
      </c>
      <c r="E1353" s="60" t="inlineStr">
        <is>
          <t>인사</t>
        </is>
      </c>
      <c r="F1353" s="60" t="n">
        <v>62601000</v>
      </c>
      <c r="G1353" s="60" t="inlineStr">
        <is>
          <t>업무추진비</t>
        </is>
      </c>
      <c r="H1353" s="61" t="n">
        <v>2234810</v>
      </c>
      <c r="J1353" s="63">
        <f>IF($A1353="","",IFERROR(INDEX(부서매핑!$C$5:$C$504,MATCH($D1353&amp;"",부서매핑!$A$5:$A$504,0)),"미매핑"))</f>
        <v/>
      </c>
      <c r="K1353" s="63">
        <f>IF($A1353="","",IFERROR(INDEX(계정매핑!$C$5:$C$504,MATCH($F1353&amp;"",계정매핑!$A$5:$A$504,0)),"미매핑"))</f>
        <v/>
      </c>
      <c r="L1353" s="4">
        <f>IF($A1353="","",VALUE($A1353&amp;""))</f>
        <v/>
      </c>
      <c r="M1353" s="4">
        <f>IF($A1353="","",VALUE($B1353&amp;""))</f>
        <v/>
      </c>
      <c r="N1353" s="64">
        <f>IF($A1353="","",$H1353*설정!$C$15)</f>
        <v/>
      </c>
      <c r="O1353" s="4">
        <f>IF($A1353="","",J1353&amp;"|"&amp;K1353)</f>
        <v/>
      </c>
      <c r="P1353" s="63">
        <f>IF($A1353="","",IF(COUNTIFS(예산_원본!$T$5:$T$3004,O1353,예산_원본!$B$5:$B$3004,설정!$C$8,예산_원본!$U$5:$U$3004,L1353)&gt;0,"Y","N"))</f>
        <v/>
      </c>
      <c r="Q1353" s="63">
        <f>IF($A1353="","",IF(COUNTIF(집계!$E$7:$E$506,O1353)&gt;0,"Y","N"))</f>
        <v/>
      </c>
    </row>
    <row r="1354">
      <c r="A1354" s="60" t="n">
        <v>2026</v>
      </c>
      <c r="B1354" s="60" t="n">
        <v>6</v>
      </c>
      <c r="C1354" s="60" t="inlineStr">
        <is>
          <t>1000</t>
        </is>
      </c>
      <c r="D1354" s="60" t="n">
        <v>1301</v>
      </c>
      <c r="E1354" s="60" t="inlineStr">
        <is>
          <t>인사</t>
        </is>
      </c>
      <c r="F1354" s="60" t="n">
        <v>62801000</v>
      </c>
      <c r="G1354" s="60" t="inlineStr">
        <is>
          <t>교육훈련비-사내</t>
        </is>
      </c>
      <c r="H1354" s="61" t="n">
        <v>8731200</v>
      </c>
      <c r="J1354" s="63">
        <f>IF($A1354="","",IFERROR(INDEX(부서매핑!$C$5:$C$504,MATCH($D1354&amp;"",부서매핑!$A$5:$A$504,0)),"미매핑"))</f>
        <v/>
      </c>
      <c r="K1354" s="63">
        <f>IF($A1354="","",IFERROR(INDEX(계정매핑!$C$5:$C$504,MATCH($F1354&amp;"",계정매핑!$A$5:$A$504,0)),"미매핑"))</f>
        <v/>
      </c>
      <c r="L1354" s="4">
        <f>IF($A1354="","",VALUE($A1354&amp;""))</f>
        <v/>
      </c>
      <c r="M1354" s="4">
        <f>IF($A1354="","",VALUE($B1354&amp;""))</f>
        <v/>
      </c>
      <c r="N1354" s="64">
        <f>IF($A1354="","",$H1354*설정!$C$15)</f>
        <v/>
      </c>
      <c r="O1354" s="4">
        <f>IF($A1354="","",J1354&amp;"|"&amp;K1354)</f>
        <v/>
      </c>
      <c r="P1354" s="63">
        <f>IF($A1354="","",IF(COUNTIFS(예산_원본!$T$5:$T$3004,O1354,예산_원본!$B$5:$B$3004,설정!$C$8,예산_원본!$U$5:$U$3004,L1354)&gt;0,"Y","N"))</f>
        <v/>
      </c>
      <c r="Q1354" s="63">
        <f>IF($A1354="","",IF(COUNTIF(집계!$E$7:$E$506,O1354)&gt;0,"Y","N"))</f>
        <v/>
      </c>
    </row>
    <row r="1355">
      <c r="A1355" s="60" t="n">
        <v>2026</v>
      </c>
      <c r="B1355" s="60" t="n">
        <v>6</v>
      </c>
      <c r="C1355" s="60" t="inlineStr">
        <is>
          <t>1000</t>
        </is>
      </c>
      <c r="D1355" s="60" t="n">
        <v>1301</v>
      </c>
      <c r="E1355" s="60" t="inlineStr">
        <is>
          <t>인사</t>
        </is>
      </c>
      <c r="F1355" s="60" t="n">
        <v>62802000</v>
      </c>
      <c r="G1355" s="60" t="inlineStr">
        <is>
          <t>교육훈련비-외부위탁</t>
        </is>
      </c>
      <c r="H1355" s="61" t="n">
        <v>14424400</v>
      </c>
      <c r="J1355" s="63">
        <f>IF($A1355="","",IFERROR(INDEX(부서매핑!$C$5:$C$504,MATCH($D1355&amp;"",부서매핑!$A$5:$A$504,0)),"미매핑"))</f>
        <v/>
      </c>
      <c r="K1355" s="63">
        <f>IF($A1355="","",IFERROR(INDEX(계정매핑!$C$5:$C$504,MATCH($F1355&amp;"",계정매핑!$A$5:$A$504,0)),"미매핑"))</f>
        <v/>
      </c>
      <c r="L1355" s="4">
        <f>IF($A1355="","",VALUE($A1355&amp;""))</f>
        <v/>
      </c>
      <c r="M1355" s="4">
        <f>IF($A1355="","",VALUE($B1355&amp;""))</f>
        <v/>
      </c>
      <c r="N1355" s="64">
        <f>IF($A1355="","",$H1355*설정!$C$15)</f>
        <v/>
      </c>
      <c r="O1355" s="4">
        <f>IF($A1355="","",J1355&amp;"|"&amp;K1355)</f>
        <v/>
      </c>
      <c r="P1355" s="63">
        <f>IF($A1355="","",IF(COUNTIFS(예산_원본!$T$5:$T$3004,O1355,예산_원본!$B$5:$B$3004,설정!$C$8,예산_원본!$U$5:$U$3004,L1355)&gt;0,"Y","N"))</f>
        <v/>
      </c>
      <c r="Q1355" s="63">
        <f>IF($A1355="","",IF(COUNTIF(집계!$E$7:$E$506,O1355)&gt;0,"Y","N"))</f>
        <v/>
      </c>
    </row>
    <row r="1356">
      <c r="A1356" s="60" t="n">
        <v>2026</v>
      </c>
      <c r="B1356" s="60" t="n">
        <v>6</v>
      </c>
      <c r="C1356" s="60" t="inlineStr">
        <is>
          <t>1000</t>
        </is>
      </c>
      <c r="D1356" s="60" t="n">
        <v>1401</v>
      </c>
      <c r="E1356" s="60" t="inlineStr">
        <is>
          <t>상품개발</t>
        </is>
      </c>
      <c r="F1356" s="60" t="n">
        <v>62101000</v>
      </c>
      <c r="G1356" s="60" t="inlineStr">
        <is>
          <t>여비교통비-국내</t>
        </is>
      </c>
      <c r="H1356" s="61" t="n">
        <v>1883800</v>
      </c>
      <c r="J1356" s="63">
        <f>IF($A1356="","",IFERROR(INDEX(부서매핑!$C$5:$C$504,MATCH($D1356&amp;"",부서매핑!$A$5:$A$504,0)),"미매핑"))</f>
        <v/>
      </c>
      <c r="K1356" s="63">
        <f>IF($A1356="","",IFERROR(INDEX(계정매핑!$C$5:$C$504,MATCH($F1356&amp;"",계정매핑!$A$5:$A$504,0)),"미매핑"))</f>
        <v/>
      </c>
      <c r="L1356" s="4">
        <f>IF($A1356="","",VALUE($A1356&amp;""))</f>
        <v/>
      </c>
      <c r="M1356" s="4">
        <f>IF($A1356="","",VALUE($B1356&amp;""))</f>
        <v/>
      </c>
      <c r="N1356" s="64">
        <f>IF($A1356="","",$H1356*설정!$C$15)</f>
        <v/>
      </c>
      <c r="O1356" s="4">
        <f>IF($A1356="","",J1356&amp;"|"&amp;K1356)</f>
        <v/>
      </c>
      <c r="P1356" s="63">
        <f>IF($A1356="","",IF(COUNTIFS(예산_원본!$T$5:$T$3004,O1356,예산_원본!$B$5:$B$3004,설정!$C$8,예산_원본!$U$5:$U$3004,L1356)&gt;0,"Y","N"))</f>
        <v/>
      </c>
      <c r="Q1356" s="63">
        <f>IF($A1356="","",IF(COUNTIF(집계!$E$7:$E$506,O1356)&gt;0,"Y","N"))</f>
        <v/>
      </c>
    </row>
    <row r="1357">
      <c r="A1357" s="60" t="n">
        <v>2026</v>
      </c>
      <c r="B1357" s="60" t="n">
        <v>6</v>
      </c>
      <c r="C1357" s="60" t="inlineStr">
        <is>
          <t>1000</t>
        </is>
      </c>
      <c r="D1357" s="60" t="n">
        <v>1401</v>
      </c>
      <c r="E1357" s="60" t="inlineStr">
        <is>
          <t>상품개발</t>
        </is>
      </c>
      <c r="F1357" s="60" t="n">
        <v>62102000</v>
      </c>
      <c r="G1357" s="60" t="inlineStr">
        <is>
          <t>여비교통비-해외</t>
        </is>
      </c>
      <c r="H1357" s="61" t="n">
        <v>359200</v>
      </c>
      <c r="J1357" s="63">
        <f>IF($A1357="","",IFERROR(INDEX(부서매핑!$C$5:$C$504,MATCH($D1357&amp;"",부서매핑!$A$5:$A$504,0)),"미매핑"))</f>
        <v/>
      </c>
      <c r="K1357" s="63">
        <f>IF($A1357="","",IFERROR(INDEX(계정매핑!$C$5:$C$504,MATCH($F1357&amp;"",계정매핑!$A$5:$A$504,0)),"미매핑"))</f>
        <v/>
      </c>
      <c r="L1357" s="4">
        <f>IF($A1357="","",VALUE($A1357&amp;""))</f>
        <v/>
      </c>
      <c r="M1357" s="4">
        <f>IF($A1357="","",VALUE($B1357&amp;""))</f>
        <v/>
      </c>
      <c r="N1357" s="64">
        <f>IF($A1357="","",$H1357*설정!$C$15)</f>
        <v/>
      </c>
      <c r="O1357" s="4">
        <f>IF($A1357="","",J1357&amp;"|"&amp;K1357)</f>
        <v/>
      </c>
      <c r="P1357" s="63">
        <f>IF($A1357="","",IF(COUNTIFS(예산_원본!$T$5:$T$3004,O1357,예산_원본!$B$5:$B$3004,설정!$C$8,예산_원본!$U$5:$U$3004,L1357)&gt;0,"Y","N"))</f>
        <v/>
      </c>
      <c r="Q1357" s="63">
        <f>IF($A1357="","",IF(COUNTIF(집계!$E$7:$E$506,O1357)&gt;0,"Y","N"))</f>
        <v/>
      </c>
    </row>
    <row r="1358">
      <c r="A1358" s="60" t="n">
        <v>2026</v>
      </c>
      <c r="B1358" s="60" t="n">
        <v>6</v>
      </c>
      <c r="C1358" s="60" t="inlineStr">
        <is>
          <t>1000</t>
        </is>
      </c>
      <c r="D1358" s="60" t="n">
        <v>1401</v>
      </c>
      <c r="E1358" s="60" t="inlineStr">
        <is>
          <t>상품개발</t>
        </is>
      </c>
      <c r="F1358" s="60" t="n">
        <v>62201000</v>
      </c>
      <c r="G1358" s="60" t="inlineStr">
        <is>
          <t>통신비</t>
        </is>
      </c>
      <c r="H1358" s="61" t="n">
        <v>498320</v>
      </c>
      <c r="J1358" s="63">
        <f>IF($A1358="","",IFERROR(INDEX(부서매핑!$C$5:$C$504,MATCH($D1358&amp;"",부서매핑!$A$5:$A$504,0)),"미매핑"))</f>
        <v/>
      </c>
      <c r="K1358" s="63">
        <f>IF($A1358="","",IFERROR(INDEX(계정매핑!$C$5:$C$504,MATCH($F1358&amp;"",계정매핑!$A$5:$A$504,0)),"미매핑"))</f>
        <v/>
      </c>
      <c r="L1358" s="4">
        <f>IF($A1358="","",VALUE($A1358&amp;""))</f>
        <v/>
      </c>
      <c r="M1358" s="4">
        <f>IF($A1358="","",VALUE($B1358&amp;""))</f>
        <v/>
      </c>
      <c r="N1358" s="64">
        <f>IF($A1358="","",$H1358*설정!$C$15)</f>
        <v/>
      </c>
      <c r="O1358" s="4">
        <f>IF($A1358="","",J1358&amp;"|"&amp;K1358)</f>
        <v/>
      </c>
      <c r="P1358" s="63">
        <f>IF($A1358="","",IF(COUNTIFS(예산_원본!$T$5:$T$3004,O1358,예산_원본!$B$5:$B$3004,설정!$C$8,예산_원본!$U$5:$U$3004,L1358)&gt;0,"Y","N"))</f>
        <v/>
      </c>
      <c r="Q1358" s="63">
        <f>IF($A1358="","",IF(COUNTIF(집계!$E$7:$E$506,O1358)&gt;0,"Y","N"))</f>
        <v/>
      </c>
    </row>
    <row r="1359">
      <c r="A1359" s="60" t="n">
        <v>2026</v>
      </c>
      <c r="B1359" s="60" t="n">
        <v>6</v>
      </c>
      <c r="C1359" s="60" t="inlineStr">
        <is>
          <t>1000</t>
        </is>
      </c>
      <c r="D1359" s="60" t="n">
        <v>1401</v>
      </c>
      <c r="E1359" s="60" t="inlineStr">
        <is>
          <t>상품개발</t>
        </is>
      </c>
      <c r="F1359" s="60" t="n">
        <v>62301000</v>
      </c>
      <c r="G1359" s="60" t="inlineStr">
        <is>
          <t>소모품비</t>
        </is>
      </c>
      <c r="H1359" s="61" t="n">
        <v>375910</v>
      </c>
      <c r="J1359" s="63">
        <f>IF($A1359="","",IFERROR(INDEX(부서매핑!$C$5:$C$504,MATCH($D1359&amp;"",부서매핑!$A$5:$A$504,0)),"미매핑"))</f>
        <v/>
      </c>
      <c r="K1359" s="63">
        <f>IF($A1359="","",IFERROR(INDEX(계정매핑!$C$5:$C$504,MATCH($F1359&amp;"",계정매핑!$A$5:$A$504,0)),"미매핑"))</f>
        <v/>
      </c>
      <c r="L1359" s="4">
        <f>IF($A1359="","",VALUE($A1359&amp;""))</f>
        <v/>
      </c>
      <c r="M1359" s="4">
        <f>IF($A1359="","",VALUE($B1359&amp;""))</f>
        <v/>
      </c>
      <c r="N1359" s="64">
        <f>IF($A1359="","",$H1359*설정!$C$15)</f>
        <v/>
      </c>
      <c r="O1359" s="4">
        <f>IF($A1359="","",J1359&amp;"|"&amp;K1359)</f>
        <v/>
      </c>
      <c r="P1359" s="63">
        <f>IF($A1359="","",IF(COUNTIFS(예산_원본!$T$5:$T$3004,O1359,예산_원본!$B$5:$B$3004,설정!$C$8,예산_원본!$U$5:$U$3004,L1359)&gt;0,"Y","N"))</f>
        <v/>
      </c>
      <c r="Q1359" s="63">
        <f>IF($A1359="","",IF(COUNTIF(집계!$E$7:$E$506,O1359)&gt;0,"Y","N"))</f>
        <v/>
      </c>
    </row>
    <row r="1360">
      <c r="A1360" s="60" t="n">
        <v>2026</v>
      </c>
      <c r="B1360" s="60" t="n">
        <v>6</v>
      </c>
      <c r="C1360" s="60" t="inlineStr">
        <is>
          <t>1000</t>
        </is>
      </c>
      <c r="D1360" s="60" t="n">
        <v>1401</v>
      </c>
      <c r="E1360" s="60" t="inlineStr">
        <is>
          <t>상품개발</t>
        </is>
      </c>
      <c r="F1360" s="60" t="n">
        <v>62401000</v>
      </c>
      <c r="G1360" s="60" t="inlineStr">
        <is>
          <t>도서인쇄비</t>
        </is>
      </c>
      <c r="H1360" s="61" t="n">
        <v>971330</v>
      </c>
      <c r="J1360" s="63">
        <f>IF($A1360="","",IFERROR(INDEX(부서매핑!$C$5:$C$504,MATCH($D1360&amp;"",부서매핑!$A$5:$A$504,0)),"미매핑"))</f>
        <v/>
      </c>
      <c r="K1360" s="63">
        <f>IF($A1360="","",IFERROR(INDEX(계정매핑!$C$5:$C$504,MATCH($F1360&amp;"",계정매핑!$A$5:$A$504,0)),"미매핑"))</f>
        <v/>
      </c>
      <c r="L1360" s="4">
        <f>IF($A1360="","",VALUE($A1360&amp;""))</f>
        <v/>
      </c>
      <c r="M1360" s="4">
        <f>IF($A1360="","",VALUE($B1360&amp;""))</f>
        <v/>
      </c>
      <c r="N1360" s="64">
        <f>IF($A1360="","",$H1360*설정!$C$15)</f>
        <v/>
      </c>
      <c r="O1360" s="4">
        <f>IF($A1360="","",J1360&amp;"|"&amp;K1360)</f>
        <v/>
      </c>
      <c r="P1360" s="63">
        <f>IF($A1360="","",IF(COUNTIFS(예산_원본!$T$5:$T$3004,O1360,예산_원본!$B$5:$B$3004,설정!$C$8,예산_원본!$U$5:$U$3004,L1360)&gt;0,"Y","N"))</f>
        <v/>
      </c>
      <c r="Q1360" s="63">
        <f>IF($A1360="","",IF(COUNTIF(집계!$E$7:$E$506,O1360)&gt;0,"Y","N"))</f>
        <v/>
      </c>
    </row>
    <row r="1361">
      <c r="A1361" s="60" t="n">
        <v>2026</v>
      </c>
      <c r="B1361" s="60" t="n">
        <v>6</v>
      </c>
      <c r="C1361" s="60" t="inlineStr">
        <is>
          <t>1000</t>
        </is>
      </c>
      <c r="D1361" s="60" t="n">
        <v>1401</v>
      </c>
      <c r="E1361" s="60" t="inlineStr">
        <is>
          <t>상품개발</t>
        </is>
      </c>
      <c r="F1361" s="60" t="n">
        <v>62501000</v>
      </c>
      <c r="G1361" s="60" t="inlineStr">
        <is>
          <t>회의비</t>
        </is>
      </c>
      <c r="H1361" s="61" t="n">
        <v>605910</v>
      </c>
      <c r="J1361" s="63">
        <f>IF($A1361="","",IFERROR(INDEX(부서매핑!$C$5:$C$504,MATCH($D1361&amp;"",부서매핑!$A$5:$A$504,0)),"미매핑"))</f>
        <v/>
      </c>
      <c r="K1361" s="63">
        <f>IF($A1361="","",IFERROR(INDEX(계정매핑!$C$5:$C$504,MATCH($F1361&amp;"",계정매핑!$A$5:$A$504,0)),"미매핑"))</f>
        <v/>
      </c>
      <c r="L1361" s="4">
        <f>IF($A1361="","",VALUE($A1361&amp;""))</f>
        <v/>
      </c>
      <c r="M1361" s="4">
        <f>IF($A1361="","",VALUE($B1361&amp;""))</f>
        <v/>
      </c>
      <c r="N1361" s="64">
        <f>IF($A1361="","",$H1361*설정!$C$15)</f>
        <v/>
      </c>
      <c r="O1361" s="4">
        <f>IF($A1361="","",J1361&amp;"|"&amp;K1361)</f>
        <v/>
      </c>
      <c r="P1361" s="63">
        <f>IF($A1361="","",IF(COUNTIFS(예산_원본!$T$5:$T$3004,O1361,예산_원본!$B$5:$B$3004,설정!$C$8,예산_원본!$U$5:$U$3004,L1361)&gt;0,"Y","N"))</f>
        <v/>
      </c>
      <c r="Q1361" s="63">
        <f>IF($A1361="","",IF(COUNTIF(집계!$E$7:$E$506,O1361)&gt;0,"Y","N"))</f>
        <v/>
      </c>
    </row>
    <row r="1362">
      <c r="A1362" s="60" t="n">
        <v>2026</v>
      </c>
      <c r="B1362" s="60" t="n">
        <v>6</v>
      </c>
      <c r="C1362" s="60" t="inlineStr">
        <is>
          <t>1000</t>
        </is>
      </c>
      <c r="D1362" s="60" t="n">
        <v>1401</v>
      </c>
      <c r="E1362" s="60" t="inlineStr">
        <is>
          <t>상품개발</t>
        </is>
      </c>
      <c r="F1362" s="60" t="n">
        <v>62901000</v>
      </c>
      <c r="G1362" s="60" t="inlineStr">
        <is>
          <t>지급수수료-컨설팅</t>
        </is>
      </c>
      <c r="H1362" s="61" t="n">
        <v>10666340</v>
      </c>
      <c r="J1362" s="63">
        <f>IF($A1362="","",IFERROR(INDEX(부서매핑!$C$5:$C$504,MATCH($D1362&amp;"",부서매핑!$A$5:$A$504,0)),"미매핑"))</f>
        <v/>
      </c>
      <c r="K1362" s="63">
        <f>IF($A1362="","",IFERROR(INDEX(계정매핑!$C$5:$C$504,MATCH($F1362&amp;"",계정매핑!$A$5:$A$504,0)),"미매핑"))</f>
        <v/>
      </c>
      <c r="L1362" s="4">
        <f>IF($A1362="","",VALUE($A1362&amp;""))</f>
        <v/>
      </c>
      <c r="M1362" s="4">
        <f>IF($A1362="","",VALUE($B1362&amp;""))</f>
        <v/>
      </c>
      <c r="N1362" s="64">
        <f>IF($A1362="","",$H1362*설정!$C$15)</f>
        <v/>
      </c>
      <c r="O1362" s="4">
        <f>IF($A1362="","",J1362&amp;"|"&amp;K1362)</f>
        <v/>
      </c>
      <c r="P1362" s="63">
        <f>IF($A1362="","",IF(COUNTIFS(예산_원본!$T$5:$T$3004,O1362,예산_원본!$B$5:$B$3004,설정!$C$8,예산_원본!$U$5:$U$3004,L1362)&gt;0,"Y","N"))</f>
        <v/>
      </c>
      <c r="Q1362" s="63">
        <f>IF($A1362="","",IF(COUNTIF(집계!$E$7:$E$506,O1362)&gt;0,"Y","N"))</f>
        <v/>
      </c>
    </row>
    <row r="1363">
      <c r="A1363" s="60" t="n">
        <v>2026</v>
      </c>
      <c r="B1363" s="60" t="n">
        <v>6</v>
      </c>
      <c r="C1363" s="60" t="inlineStr">
        <is>
          <t>1000</t>
        </is>
      </c>
      <c r="D1363" s="60" t="n">
        <v>1401</v>
      </c>
      <c r="E1363" s="60" t="inlineStr">
        <is>
          <t>상품개발</t>
        </is>
      </c>
      <c r="F1363" s="60" t="n">
        <v>62902000</v>
      </c>
      <c r="G1363" s="60" t="inlineStr">
        <is>
          <t>지급수수료-기타</t>
        </is>
      </c>
      <c r="H1363" s="61" t="n">
        <v>4449640</v>
      </c>
      <c r="J1363" s="63">
        <f>IF($A1363="","",IFERROR(INDEX(부서매핑!$C$5:$C$504,MATCH($D1363&amp;"",부서매핑!$A$5:$A$504,0)),"미매핑"))</f>
        <v/>
      </c>
      <c r="K1363" s="63">
        <f>IF($A1363="","",IFERROR(INDEX(계정매핑!$C$5:$C$504,MATCH($F1363&amp;"",계정매핑!$A$5:$A$504,0)),"미매핑"))</f>
        <v/>
      </c>
      <c r="L1363" s="4">
        <f>IF($A1363="","",VALUE($A1363&amp;""))</f>
        <v/>
      </c>
      <c r="M1363" s="4">
        <f>IF($A1363="","",VALUE($B1363&amp;""))</f>
        <v/>
      </c>
      <c r="N1363" s="64">
        <f>IF($A1363="","",$H1363*설정!$C$15)</f>
        <v/>
      </c>
      <c r="O1363" s="4">
        <f>IF($A1363="","",J1363&amp;"|"&amp;K1363)</f>
        <v/>
      </c>
      <c r="P1363" s="63">
        <f>IF($A1363="","",IF(COUNTIFS(예산_원본!$T$5:$T$3004,O1363,예산_원본!$B$5:$B$3004,설정!$C$8,예산_원본!$U$5:$U$3004,L1363)&gt;0,"Y","N"))</f>
        <v/>
      </c>
      <c r="Q1363" s="63">
        <f>IF($A1363="","",IF(COUNTIF(집계!$E$7:$E$506,O1363)&gt;0,"Y","N"))</f>
        <v/>
      </c>
    </row>
    <row r="1364">
      <c r="A1364" s="60" t="n">
        <v>2026</v>
      </c>
      <c r="B1364" s="60" t="n">
        <v>6</v>
      </c>
      <c r="C1364" s="60" t="inlineStr">
        <is>
          <t>1000</t>
        </is>
      </c>
      <c r="D1364" s="60" t="n">
        <v>1501</v>
      </c>
      <c r="E1364" s="60" t="inlineStr">
        <is>
          <t>마케팅전략</t>
        </is>
      </c>
      <c r="F1364" s="60" t="n">
        <v>62101000</v>
      </c>
      <c r="G1364" s="60" t="inlineStr">
        <is>
          <t>여비교통비-국내</t>
        </is>
      </c>
      <c r="H1364" s="61" t="n">
        <v>1760030</v>
      </c>
      <c r="J1364" s="63">
        <f>IF($A1364="","",IFERROR(INDEX(부서매핑!$C$5:$C$504,MATCH($D1364&amp;"",부서매핑!$A$5:$A$504,0)),"미매핑"))</f>
        <v/>
      </c>
      <c r="K1364" s="63">
        <f>IF($A1364="","",IFERROR(INDEX(계정매핑!$C$5:$C$504,MATCH($F1364&amp;"",계정매핑!$A$5:$A$504,0)),"미매핑"))</f>
        <v/>
      </c>
      <c r="L1364" s="4">
        <f>IF($A1364="","",VALUE($A1364&amp;""))</f>
        <v/>
      </c>
      <c r="M1364" s="4">
        <f>IF($A1364="","",VALUE($B1364&amp;""))</f>
        <v/>
      </c>
      <c r="N1364" s="64">
        <f>IF($A1364="","",$H1364*설정!$C$15)</f>
        <v/>
      </c>
      <c r="O1364" s="4">
        <f>IF($A1364="","",J1364&amp;"|"&amp;K1364)</f>
        <v/>
      </c>
      <c r="P1364" s="63">
        <f>IF($A1364="","",IF(COUNTIFS(예산_원본!$T$5:$T$3004,O1364,예산_원본!$B$5:$B$3004,설정!$C$8,예산_원본!$U$5:$U$3004,L1364)&gt;0,"Y","N"))</f>
        <v/>
      </c>
      <c r="Q1364" s="63">
        <f>IF($A1364="","",IF(COUNTIF(집계!$E$7:$E$506,O1364)&gt;0,"Y","N"))</f>
        <v/>
      </c>
    </row>
    <row r="1365">
      <c r="A1365" s="60" t="n">
        <v>2026</v>
      </c>
      <c r="B1365" s="60" t="n">
        <v>6</v>
      </c>
      <c r="C1365" s="60" t="inlineStr">
        <is>
          <t>1000</t>
        </is>
      </c>
      <c r="D1365" s="60" t="n">
        <v>1501</v>
      </c>
      <c r="E1365" s="60" t="inlineStr">
        <is>
          <t>마케팅전략</t>
        </is>
      </c>
      <c r="F1365" s="60" t="n">
        <v>62102000</v>
      </c>
      <c r="G1365" s="60" t="inlineStr">
        <is>
          <t>여비교통비-해외</t>
        </is>
      </c>
      <c r="H1365" s="61" t="n">
        <v>264250</v>
      </c>
      <c r="J1365" s="63">
        <f>IF($A1365="","",IFERROR(INDEX(부서매핑!$C$5:$C$504,MATCH($D1365&amp;"",부서매핑!$A$5:$A$504,0)),"미매핑"))</f>
        <v/>
      </c>
      <c r="K1365" s="63">
        <f>IF($A1365="","",IFERROR(INDEX(계정매핑!$C$5:$C$504,MATCH($F1365&amp;"",계정매핑!$A$5:$A$504,0)),"미매핑"))</f>
        <v/>
      </c>
      <c r="L1365" s="4">
        <f>IF($A1365="","",VALUE($A1365&amp;""))</f>
        <v/>
      </c>
      <c r="M1365" s="4">
        <f>IF($A1365="","",VALUE($B1365&amp;""))</f>
        <v/>
      </c>
      <c r="N1365" s="64">
        <f>IF($A1365="","",$H1365*설정!$C$15)</f>
        <v/>
      </c>
      <c r="O1365" s="4">
        <f>IF($A1365="","",J1365&amp;"|"&amp;K1365)</f>
        <v/>
      </c>
      <c r="P1365" s="63">
        <f>IF($A1365="","",IF(COUNTIFS(예산_원본!$T$5:$T$3004,O1365,예산_원본!$B$5:$B$3004,설정!$C$8,예산_원본!$U$5:$U$3004,L1365)&gt;0,"Y","N"))</f>
        <v/>
      </c>
      <c r="Q1365" s="63">
        <f>IF($A1365="","",IF(COUNTIF(집계!$E$7:$E$506,O1365)&gt;0,"Y","N"))</f>
        <v/>
      </c>
    </row>
    <row r="1366">
      <c r="A1366" s="60" t="n">
        <v>2026</v>
      </c>
      <c r="B1366" s="60" t="n">
        <v>6</v>
      </c>
      <c r="C1366" s="60" t="inlineStr">
        <is>
          <t>1000</t>
        </is>
      </c>
      <c r="D1366" s="60" t="n">
        <v>1501</v>
      </c>
      <c r="E1366" s="60" t="inlineStr">
        <is>
          <t>마케팅전략</t>
        </is>
      </c>
      <c r="F1366" s="60" t="n">
        <v>62201000</v>
      </c>
      <c r="G1366" s="60" t="inlineStr">
        <is>
          <t>통신비</t>
        </is>
      </c>
      <c r="H1366" s="61" t="n">
        <v>561930</v>
      </c>
      <c r="J1366" s="63">
        <f>IF($A1366="","",IFERROR(INDEX(부서매핑!$C$5:$C$504,MATCH($D1366&amp;"",부서매핑!$A$5:$A$504,0)),"미매핑"))</f>
        <v/>
      </c>
      <c r="K1366" s="63">
        <f>IF($A1366="","",IFERROR(INDEX(계정매핑!$C$5:$C$504,MATCH($F1366&amp;"",계정매핑!$A$5:$A$504,0)),"미매핑"))</f>
        <v/>
      </c>
      <c r="L1366" s="4">
        <f>IF($A1366="","",VALUE($A1366&amp;""))</f>
        <v/>
      </c>
      <c r="M1366" s="4">
        <f>IF($A1366="","",VALUE($B1366&amp;""))</f>
        <v/>
      </c>
      <c r="N1366" s="64">
        <f>IF($A1366="","",$H1366*설정!$C$15)</f>
        <v/>
      </c>
      <c r="O1366" s="4">
        <f>IF($A1366="","",J1366&amp;"|"&amp;K1366)</f>
        <v/>
      </c>
      <c r="P1366" s="63">
        <f>IF($A1366="","",IF(COUNTIFS(예산_원본!$T$5:$T$3004,O1366,예산_원본!$B$5:$B$3004,설정!$C$8,예산_원본!$U$5:$U$3004,L1366)&gt;0,"Y","N"))</f>
        <v/>
      </c>
      <c r="Q1366" s="63">
        <f>IF($A1366="","",IF(COUNTIF(집계!$E$7:$E$506,O1366)&gt;0,"Y","N"))</f>
        <v/>
      </c>
    </row>
    <row r="1367">
      <c r="A1367" s="60" t="n">
        <v>2026</v>
      </c>
      <c r="B1367" s="60" t="n">
        <v>6</v>
      </c>
      <c r="C1367" s="60" t="inlineStr">
        <is>
          <t>1000</t>
        </is>
      </c>
      <c r="D1367" s="60" t="n">
        <v>1501</v>
      </c>
      <c r="E1367" s="60" t="inlineStr">
        <is>
          <t>마케팅전략</t>
        </is>
      </c>
      <c r="F1367" s="60" t="n">
        <v>62301000</v>
      </c>
      <c r="G1367" s="60" t="inlineStr">
        <is>
          <t>소모품비</t>
        </is>
      </c>
      <c r="H1367" s="61" t="n">
        <v>429200</v>
      </c>
      <c r="J1367" s="63">
        <f>IF($A1367="","",IFERROR(INDEX(부서매핑!$C$5:$C$504,MATCH($D1367&amp;"",부서매핑!$A$5:$A$504,0)),"미매핑"))</f>
        <v/>
      </c>
      <c r="K1367" s="63">
        <f>IF($A1367="","",IFERROR(INDEX(계정매핑!$C$5:$C$504,MATCH($F1367&amp;"",계정매핑!$A$5:$A$504,0)),"미매핑"))</f>
        <v/>
      </c>
      <c r="L1367" s="4">
        <f>IF($A1367="","",VALUE($A1367&amp;""))</f>
        <v/>
      </c>
      <c r="M1367" s="4">
        <f>IF($A1367="","",VALUE($B1367&amp;""))</f>
        <v/>
      </c>
      <c r="N1367" s="64">
        <f>IF($A1367="","",$H1367*설정!$C$15)</f>
        <v/>
      </c>
      <c r="O1367" s="4">
        <f>IF($A1367="","",J1367&amp;"|"&amp;K1367)</f>
        <v/>
      </c>
      <c r="P1367" s="63">
        <f>IF($A1367="","",IF(COUNTIFS(예산_원본!$T$5:$T$3004,O1367,예산_원본!$B$5:$B$3004,설정!$C$8,예산_원본!$U$5:$U$3004,L1367)&gt;0,"Y","N"))</f>
        <v/>
      </c>
      <c r="Q1367" s="63">
        <f>IF($A1367="","",IF(COUNTIF(집계!$E$7:$E$506,O1367)&gt;0,"Y","N"))</f>
        <v/>
      </c>
    </row>
    <row r="1368">
      <c r="A1368" s="60" t="n">
        <v>2026</v>
      </c>
      <c r="B1368" s="60" t="n">
        <v>6</v>
      </c>
      <c r="C1368" s="60" t="inlineStr">
        <is>
          <t>1000</t>
        </is>
      </c>
      <c r="D1368" s="60" t="n">
        <v>1501</v>
      </c>
      <c r="E1368" s="60" t="inlineStr">
        <is>
          <t>마케팅전략</t>
        </is>
      </c>
      <c r="F1368" s="60" t="n">
        <v>62401000</v>
      </c>
      <c r="G1368" s="60" t="inlineStr">
        <is>
          <t>도서인쇄비</t>
        </is>
      </c>
      <c r="H1368" s="61" t="n">
        <v>4885460</v>
      </c>
      <c r="J1368" s="63">
        <f>IF($A1368="","",IFERROR(INDEX(부서매핑!$C$5:$C$504,MATCH($D1368&amp;"",부서매핑!$A$5:$A$504,0)),"미매핑"))</f>
        <v/>
      </c>
      <c r="K1368" s="63">
        <f>IF($A1368="","",IFERROR(INDEX(계정매핑!$C$5:$C$504,MATCH($F1368&amp;"",계정매핑!$A$5:$A$504,0)),"미매핑"))</f>
        <v/>
      </c>
      <c r="L1368" s="4">
        <f>IF($A1368="","",VALUE($A1368&amp;""))</f>
        <v/>
      </c>
      <c r="M1368" s="4">
        <f>IF($A1368="","",VALUE($B1368&amp;""))</f>
        <v/>
      </c>
      <c r="N1368" s="64">
        <f>IF($A1368="","",$H1368*설정!$C$15)</f>
        <v/>
      </c>
      <c r="O1368" s="4">
        <f>IF($A1368="","",J1368&amp;"|"&amp;K1368)</f>
        <v/>
      </c>
      <c r="P1368" s="63">
        <f>IF($A1368="","",IF(COUNTIFS(예산_원본!$T$5:$T$3004,O1368,예산_원본!$B$5:$B$3004,설정!$C$8,예산_원본!$U$5:$U$3004,L1368)&gt;0,"Y","N"))</f>
        <v/>
      </c>
      <c r="Q1368" s="63">
        <f>IF($A1368="","",IF(COUNTIF(집계!$E$7:$E$506,O1368)&gt;0,"Y","N"))</f>
        <v/>
      </c>
    </row>
    <row r="1369">
      <c r="A1369" s="60" t="n">
        <v>2026</v>
      </c>
      <c r="B1369" s="60" t="n">
        <v>6</v>
      </c>
      <c r="C1369" s="60" t="inlineStr">
        <is>
          <t>1000</t>
        </is>
      </c>
      <c r="D1369" s="60" t="n">
        <v>1501</v>
      </c>
      <c r="E1369" s="60" t="inlineStr">
        <is>
          <t>마케팅전략</t>
        </is>
      </c>
      <c r="F1369" s="60" t="n">
        <v>62501000</v>
      </c>
      <c r="G1369" s="60" t="inlineStr">
        <is>
          <t>회의비</t>
        </is>
      </c>
      <c r="H1369" s="61" t="n">
        <v>721330</v>
      </c>
      <c r="J1369" s="63">
        <f>IF($A1369="","",IFERROR(INDEX(부서매핑!$C$5:$C$504,MATCH($D1369&amp;"",부서매핑!$A$5:$A$504,0)),"미매핑"))</f>
        <v/>
      </c>
      <c r="K1369" s="63">
        <f>IF($A1369="","",IFERROR(INDEX(계정매핑!$C$5:$C$504,MATCH($F1369&amp;"",계정매핑!$A$5:$A$504,0)),"미매핑"))</f>
        <v/>
      </c>
      <c r="L1369" s="4">
        <f>IF($A1369="","",VALUE($A1369&amp;""))</f>
        <v/>
      </c>
      <c r="M1369" s="4">
        <f>IF($A1369="","",VALUE($B1369&amp;""))</f>
        <v/>
      </c>
      <c r="N1369" s="64">
        <f>IF($A1369="","",$H1369*설정!$C$15)</f>
        <v/>
      </c>
      <c r="O1369" s="4">
        <f>IF($A1369="","",J1369&amp;"|"&amp;K1369)</f>
        <v/>
      </c>
      <c r="P1369" s="63">
        <f>IF($A1369="","",IF(COUNTIFS(예산_원본!$T$5:$T$3004,O1369,예산_원본!$B$5:$B$3004,설정!$C$8,예산_원본!$U$5:$U$3004,L1369)&gt;0,"Y","N"))</f>
        <v/>
      </c>
      <c r="Q1369" s="63">
        <f>IF($A1369="","",IF(COUNTIF(집계!$E$7:$E$506,O1369)&gt;0,"Y","N"))</f>
        <v/>
      </c>
    </row>
    <row r="1370">
      <c r="A1370" s="60" t="n">
        <v>2026</v>
      </c>
      <c r="B1370" s="60" t="n">
        <v>6</v>
      </c>
      <c r="C1370" s="60" t="inlineStr">
        <is>
          <t>1000</t>
        </is>
      </c>
      <c r="D1370" s="60" t="n">
        <v>1501</v>
      </c>
      <c r="E1370" s="60" t="inlineStr">
        <is>
          <t>마케팅전략</t>
        </is>
      </c>
      <c r="F1370" s="60" t="n">
        <v>62601000</v>
      </c>
      <c r="G1370" s="60" t="inlineStr">
        <is>
          <t>업무추진비</t>
        </is>
      </c>
      <c r="H1370" s="61" t="n">
        <v>1397590</v>
      </c>
      <c r="J1370" s="63">
        <f>IF($A1370="","",IFERROR(INDEX(부서매핑!$C$5:$C$504,MATCH($D1370&amp;"",부서매핑!$A$5:$A$504,0)),"미매핑"))</f>
        <v/>
      </c>
      <c r="K1370" s="63">
        <f>IF($A1370="","",IFERROR(INDEX(계정매핑!$C$5:$C$504,MATCH($F1370&amp;"",계정매핑!$A$5:$A$504,0)),"미매핑"))</f>
        <v/>
      </c>
      <c r="L1370" s="4">
        <f>IF($A1370="","",VALUE($A1370&amp;""))</f>
        <v/>
      </c>
      <c r="M1370" s="4">
        <f>IF($A1370="","",VALUE($B1370&amp;""))</f>
        <v/>
      </c>
      <c r="N1370" s="64">
        <f>IF($A1370="","",$H1370*설정!$C$15)</f>
        <v/>
      </c>
      <c r="O1370" s="4">
        <f>IF($A1370="","",J1370&amp;"|"&amp;K1370)</f>
        <v/>
      </c>
      <c r="P1370" s="63">
        <f>IF($A1370="","",IF(COUNTIFS(예산_원본!$T$5:$T$3004,O1370,예산_원본!$B$5:$B$3004,설정!$C$8,예산_원본!$U$5:$U$3004,L1370)&gt;0,"Y","N"))</f>
        <v/>
      </c>
      <c r="Q1370" s="63">
        <f>IF($A1370="","",IF(COUNTIF(집계!$E$7:$E$506,O1370)&gt;0,"Y","N"))</f>
        <v/>
      </c>
    </row>
    <row r="1371">
      <c r="A1371" s="60" t="n">
        <v>2026</v>
      </c>
      <c r="B1371" s="60" t="n">
        <v>6</v>
      </c>
      <c r="C1371" s="60" t="inlineStr">
        <is>
          <t>1000</t>
        </is>
      </c>
      <c r="D1371" s="60" t="n">
        <v>1501</v>
      </c>
      <c r="E1371" s="60" t="inlineStr">
        <is>
          <t>마케팅전략</t>
        </is>
      </c>
      <c r="F1371" s="60" t="n">
        <v>62701000</v>
      </c>
      <c r="G1371" s="60" t="inlineStr">
        <is>
          <t>광고선전비</t>
        </is>
      </c>
      <c r="H1371" s="61" t="n">
        <v>100353090</v>
      </c>
      <c r="J1371" s="63">
        <f>IF($A1371="","",IFERROR(INDEX(부서매핑!$C$5:$C$504,MATCH($D1371&amp;"",부서매핑!$A$5:$A$504,0)),"미매핑"))</f>
        <v/>
      </c>
      <c r="K1371" s="63">
        <f>IF($A1371="","",IFERROR(INDEX(계정매핑!$C$5:$C$504,MATCH($F1371&amp;"",계정매핑!$A$5:$A$504,0)),"미매핑"))</f>
        <v/>
      </c>
      <c r="L1371" s="4">
        <f>IF($A1371="","",VALUE($A1371&amp;""))</f>
        <v/>
      </c>
      <c r="M1371" s="4">
        <f>IF($A1371="","",VALUE($B1371&amp;""))</f>
        <v/>
      </c>
      <c r="N1371" s="64">
        <f>IF($A1371="","",$H1371*설정!$C$15)</f>
        <v/>
      </c>
      <c r="O1371" s="4">
        <f>IF($A1371="","",J1371&amp;"|"&amp;K1371)</f>
        <v/>
      </c>
      <c r="P1371" s="63">
        <f>IF($A1371="","",IF(COUNTIFS(예산_원본!$T$5:$T$3004,O1371,예산_원본!$B$5:$B$3004,설정!$C$8,예산_원본!$U$5:$U$3004,L1371)&gt;0,"Y","N"))</f>
        <v/>
      </c>
      <c r="Q1371" s="63">
        <f>IF($A1371="","",IF(COUNTIF(집계!$E$7:$E$506,O1371)&gt;0,"Y","N"))</f>
        <v/>
      </c>
    </row>
    <row r="1372">
      <c r="A1372" s="60" t="n">
        <v>2026</v>
      </c>
      <c r="B1372" s="60" t="n">
        <v>6</v>
      </c>
      <c r="C1372" s="60" t="inlineStr">
        <is>
          <t>1000</t>
        </is>
      </c>
      <c r="D1372" s="60" t="n">
        <v>1502</v>
      </c>
      <c r="E1372" s="60" t="inlineStr">
        <is>
          <t>디지털마케팅</t>
        </is>
      </c>
      <c r="F1372" s="60" t="n">
        <v>62101000</v>
      </c>
      <c r="G1372" s="60" t="inlineStr">
        <is>
          <t>여비교통비-국내</t>
        </is>
      </c>
      <c r="H1372" s="61" t="n">
        <v>1172920</v>
      </c>
      <c r="J1372" s="63">
        <f>IF($A1372="","",IFERROR(INDEX(부서매핑!$C$5:$C$504,MATCH($D1372&amp;"",부서매핑!$A$5:$A$504,0)),"미매핑"))</f>
        <v/>
      </c>
      <c r="K1372" s="63">
        <f>IF($A1372="","",IFERROR(INDEX(계정매핑!$C$5:$C$504,MATCH($F1372&amp;"",계정매핑!$A$5:$A$504,0)),"미매핑"))</f>
        <v/>
      </c>
      <c r="L1372" s="4">
        <f>IF($A1372="","",VALUE($A1372&amp;""))</f>
        <v/>
      </c>
      <c r="M1372" s="4">
        <f>IF($A1372="","",VALUE($B1372&amp;""))</f>
        <v/>
      </c>
      <c r="N1372" s="64">
        <f>IF($A1372="","",$H1372*설정!$C$15)</f>
        <v/>
      </c>
      <c r="O1372" s="4">
        <f>IF($A1372="","",J1372&amp;"|"&amp;K1372)</f>
        <v/>
      </c>
      <c r="P1372" s="63">
        <f>IF($A1372="","",IF(COUNTIFS(예산_원본!$T$5:$T$3004,O1372,예산_원본!$B$5:$B$3004,설정!$C$8,예산_원본!$U$5:$U$3004,L1372)&gt;0,"Y","N"))</f>
        <v/>
      </c>
      <c r="Q1372" s="63">
        <f>IF($A1372="","",IF(COUNTIF(집계!$E$7:$E$506,O1372)&gt;0,"Y","N"))</f>
        <v/>
      </c>
    </row>
    <row r="1373">
      <c r="A1373" s="60" t="n">
        <v>2026</v>
      </c>
      <c r="B1373" s="60" t="n">
        <v>6</v>
      </c>
      <c r="C1373" s="60" t="inlineStr">
        <is>
          <t>1000</t>
        </is>
      </c>
      <c r="D1373" s="60" t="n">
        <v>1502</v>
      </c>
      <c r="E1373" s="60" t="inlineStr">
        <is>
          <t>디지털마케팅</t>
        </is>
      </c>
      <c r="F1373" s="60" t="n">
        <v>62102000</v>
      </c>
      <c r="G1373" s="60" t="inlineStr">
        <is>
          <t>여비교통비-해외</t>
        </is>
      </c>
      <c r="H1373" s="61" t="n">
        <v>173830</v>
      </c>
      <c r="J1373" s="63">
        <f>IF($A1373="","",IFERROR(INDEX(부서매핑!$C$5:$C$504,MATCH($D1373&amp;"",부서매핑!$A$5:$A$504,0)),"미매핑"))</f>
        <v/>
      </c>
      <c r="K1373" s="63">
        <f>IF($A1373="","",IFERROR(INDEX(계정매핑!$C$5:$C$504,MATCH($F1373&amp;"",계정매핑!$A$5:$A$504,0)),"미매핑"))</f>
        <v/>
      </c>
      <c r="L1373" s="4">
        <f>IF($A1373="","",VALUE($A1373&amp;""))</f>
        <v/>
      </c>
      <c r="M1373" s="4">
        <f>IF($A1373="","",VALUE($B1373&amp;""))</f>
        <v/>
      </c>
      <c r="N1373" s="64">
        <f>IF($A1373="","",$H1373*설정!$C$15)</f>
        <v/>
      </c>
      <c r="O1373" s="4">
        <f>IF($A1373="","",J1373&amp;"|"&amp;K1373)</f>
        <v/>
      </c>
      <c r="P1373" s="63">
        <f>IF($A1373="","",IF(COUNTIFS(예산_원본!$T$5:$T$3004,O1373,예산_원본!$B$5:$B$3004,설정!$C$8,예산_원본!$U$5:$U$3004,L1373)&gt;0,"Y","N"))</f>
        <v/>
      </c>
      <c r="Q1373" s="63">
        <f>IF($A1373="","",IF(COUNTIF(집계!$E$7:$E$506,O1373)&gt;0,"Y","N"))</f>
        <v/>
      </c>
    </row>
    <row r="1374">
      <c r="A1374" s="60" t="n">
        <v>2026</v>
      </c>
      <c r="B1374" s="60" t="n">
        <v>6</v>
      </c>
      <c r="C1374" s="60" t="inlineStr">
        <is>
          <t>1000</t>
        </is>
      </c>
      <c r="D1374" s="60" t="n">
        <v>1502</v>
      </c>
      <c r="E1374" s="60" t="inlineStr">
        <is>
          <t>디지털마케팅</t>
        </is>
      </c>
      <c r="F1374" s="60" t="n">
        <v>62201000</v>
      </c>
      <c r="G1374" s="60" t="inlineStr">
        <is>
          <t>통신비</t>
        </is>
      </c>
      <c r="H1374" s="61" t="n">
        <v>413730</v>
      </c>
      <c r="J1374" s="63">
        <f>IF($A1374="","",IFERROR(INDEX(부서매핑!$C$5:$C$504,MATCH($D1374&amp;"",부서매핑!$A$5:$A$504,0)),"미매핑"))</f>
        <v/>
      </c>
      <c r="K1374" s="63">
        <f>IF($A1374="","",IFERROR(INDEX(계정매핑!$C$5:$C$504,MATCH($F1374&amp;"",계정매핑!$A$5:$A$504,0)),"미매핑"))</f>
        <v/>
      </c>
      <c r="L1374" s="4">
        <f>IF($A1374="","",VALUE($A1374&amp;""))</f>
        <v/>
      </c>
      <c r="M1374" s="4">
        <f>IF($A1374="","",VALUE($B1374&amp;""))</f>
        <v/>
      </c>
      <c r="N1374" s="64">
        <f>IF($A1374="","",$H1374*설정!$C$15)</f>
        <v/>
      </c>
      <c r="O1374" s="4">
        <f>IF($A1374="","",J1374&amp;"|"&amp;K1374)</f>
        <v/>
      </c>
      <c r="P1374" s="63">
        <f>IF($A1374="","",IF(COUNTIFS(예산_원본!$T$5:$T$3004,O1374,예산_원본!$B$5:$B$3004,설정!$C$8,예산_원본!$U$5:$U$3004,L1374)&gt;0,"Y","N"))</f>
        <v/>
      </c>
      <c r="Q1374" s="63">
        <f>IF($A1374="","",IF(COUNTIF(집계!$E$7:$E$506,O1374)&gt;0,"Y","N"))</f>
        <v/>
      </c>
    </row>
    <row r="1375">
      <c r="A1375" s="60" t="n">
        <v>2026</v>
      </c>
      <c r="B1375" s="60" t="n">
        <v>6</v>
      </c>
      <c r="C1375" s="60" t="inlineStr">
        <is>
          <t>1000</t>
        </is>
      </c>
      <c r="D1375" s="60" t="n">
        <v>1502</v>
      </c>
      <c r="E1375" s="60" t="inlineStr">
        <is>
          <t>디지털마케팅</t>
        </is>
      </c>
      <c r="F1375" s="60" t="n">
        <v>62301000</v>
      </c>
      <c r="G1375" s="60" t="inlineStr">
        <is>
          <t>소모품비</t>
        </is>
      </c>
      <c r="H1375" s="61" t="n">
        <v>321460</v>
      </c>
      <c r="J1375" s="63">
        <f>IF($A1375="","",IFERROR(INDEX(부서매핑!$C$5:$C$504,MATCH($D1375&amp;"",부서매핑!$A$5:$A$504,0)),"미매핑"))</f>
        <v/>
      </c>
      <c r="K1375" s="63">
        <f>IF($A1375="","",IFERROR(INDEX(계정매핑!$C$5:$C$504,MATCH($F1375&amp;"",계정매핑!$A$5:$A$504,0)),"미매핑"))</f>
        <v/>
      </c>
      <c r="L1375" s="4">
        <f>IF($A1375="","",VALUE($A1375&amp;""))</f>
        <v/>
      </c>
      <c r="M1375" s="4">
        <f>IF($A1375="","",VALUE($B1375&amp;""))</f>
        <v/>
      </c>
      <c r="N1375" s="64">
        <f>IF($A1375="","",$H1375*설정!$C$15)</f>
        <v/>
      </c>
      <c r="O1375" s="4">
        <f>IF($A1375="","",J1375&amp;"|"&amp;K1375)</f>
        <v/>
      </c>
      <c r="P1375" s="63">
        <f>IF($A1375="","",IF(COUNTIFS(예산_원본!$T$5:$T$3004,O1375,예산_원본!$B$5:$B$3004,설정!$C$8,예산_원본!$U$5:$U$3004,L1375)&gt;0,"Y","N"))</f>
        <v/>
      </c>
      <c r="Q1375" s="63">
        <f>IF($A1375="","",IF(COUNTIF(집계!$E$7:$E$506,O1375)&gt;0,"Y","N"))</f>
        <v/>
      </c>
    </row>
    <row r="1376">
      <c r="A1376" s="60" t="n">
        <v>2026</v>
      </c>
      <c r="B1376" s="60" t="n">
        <v>6</v>
      </c>
      <c r="C1376" s="60" t="inlineStr">
        <is>
          <t>1000</t>
        </is>
      </c>
      <c r="D1376" s="60" t="n">
        <v>1502</v>
      </c>
      <c r="E1376" s="60" t="inlineStr">
        <is>
          <t>디지털마케팅</t>
        </is>
      </c>
      <c r="F1376" s="60" t="n">
        <v>62401000</v>
      </c>
      <c r="G1376" s="60" t="inlineStr">
        <is>
          <t>도서인쇄비</t>
        </is>
      </c>
      <c r="H1376" s="61" t="n">
        <v>3193070</v>
      </c>
      <c r="J1376" s="63">
        <f>IF($A1376="","",IFERROR(INDEX(부서매핑!$C$5:$C$504,MATCH($D1376&amp;"",부서매핑!$A$5:$A$504,0)),"미매핑"))</f>
        <v/>
      </c>
      <c r="K1376" s="63">
        <f>IF($A1376="","",IFERROR(INDEX(계정매핑!$C$5:$C$504,MATCH($F1376&amp;"",계정매핑!$A$5:$A$504,0)),"미매핑"))</f>
        <v/>
      </c>
      <c r="L1376" s="4">
        <f>IF($A1376="","",VALUE($A1376&amp;""))</f>
        <v/>
      </c>
      <c r="M1376" s="4">
        <f>IF($A1376="","",VALUE($B1376&amp;""))</f>
        <v/>
      </c>
      <c r="N1376" s="64">
        <f>IF($A1376="","",$H1376*설정!$C$15)</f>
        <v/>
      </c>
      <c r="O1376" s="4">
        <f>IF($A1376="","",J1376&amp;"|"&amp;K1376)</f>
        <v/>
      </c>
      <c r="P1376" s="63">
        <f>IF($A1376="","",IF(COUNTIFS(예산_원본!$T$5:$T$3004,O1376,예산_원본!$B$5:$B$3004,설정!$C$8,예산_원본!$U$5:$U$3004,L1376)&gt;0,"Y","N"))</f>
        <v/>
      </c>
      <c r="Q1376" s="63">
        <f>IF($A1376="","",IF(COUNTIF(집계!$E$7:$E$506,O1376)&gt;0,"Y","N"))</f>
        <v/>
      </c>
    </row>
    <row r="1377">
      <c r="A1377" s="60" t="n">
        <v>2026</v>
      </c>
      <c r="B1377" s="60" t="n">
        <v>6</v>
      </c>
      <c r="C1377" s="60" t="inlineStr">
        <is>
          <t>1000</t>
        </is>
      </c>
      <c r="D1377" s="60" t="n">
        <v>1502</v>
      </c>
      <c r="E1377" s="60" t="inlineStr">
        <is>
          <t>디지털마케팅</t>
        </is>
      </c>
      <c r="F1377" s="60" t="n">
        <v>62501000</v>
      </c>
      <c r="G1377" s="60" t="inlineStr">
        <is>
          <t>회의비</t>
        </is>
      </c>
      <c r="H1377" s="61" t="n">
        <v>479520</v>
      </c>
      <c r="J1377" s="63">
        <f>IF($A1377="","",IFERROR(INDEX(부서매핑!$C$5:$C$504,MATCH($D1377&amp;"",부서매핑!$A$5:$A$504,0)),"미매핑"))</f>
        <v/>
      </c>
      <c r="K1377" s="63">
        <f>IF($A1377="","",IFERROR(INDEX(계정매핑!$C$5:$C$504,MATCH($F1377&amp;"",계정매핑!$A$5:$A$504,0)),"미매핑"))</f>
        <v/>
      </c>
      <c r="L1377" s="4">
        <f>IF($A1377="","",VALUE($A1377&amp;""))</f>
        <v/>
      </c>
      <c r="M1377" s="4">
        <f>IF($A1377="","",VALUE($B1377&amp;""))</f>
        <v/>
      </c>
      <c r="N1377" s="64">
        <f>IF($A1377="","",$H1377*설정!$C$15)</f>
        <v/>
      </c>
      <c r="O1377" s="4">
        <f>IF($A1377="","",J1377&amp;"|"&amp;K1377)</f>
        <v/>
      </c>
      <c r="P1377" s="63">
        <f>IF($A1377="","",IF(COUNTIFS(예산_원본!$T$5:$T$3004,O1377,예산_원본!$B$5:$B$3004,설정!$C$8,예산_원본!$U$5:$U$3004,L1377)&gt;0,"Y","N"))</f>
        <v/>
      </c>
      <c r="Q1377" s="63">
        <f>IF($A1377="","",IF(COUNTIF(집계!$E$7:$E$506,O1377)&gt;0,"Y","N"))</f>
        <v/>
      </c>
    </row>
    <row r="1378">
      <c r="A1378" s="60" t="n">
        <v>2026</v>
      </c>
      <c r="B1378" s="60" t="n">
        <v>6</v>
      </c>
      <c r="C1378" s="60" t="inlineStr">
        <is>
          <t>1000</t>
        </is>
      </c>
      <c r="D1378" s="60" t="n">
        <v>1502</v>
      </c>
      <c r="E1378" s="60" t="inlineStr">
        <is>
          <t>디지털마케팅</t>
        </is>
      </c>
      <c r="F1378" s="60" t="n">
        <v>62601000</v>
      </c>
      <c r="G1378" s="60" t="inlineStr">
        <is>
          <t>업무추진비</t>
        </is>
      </c>
      <c r="H1378" s="61" t="n">
        <v>929510</v>
      </c>
      <c r="J1378" s="63">
        <f>IF($A1378="","",IFERROR(INDEX(부서매핑!$C$5:$C$504,MATCH($D1378&amp;"",부서매핑!$A$5:$A$504,0)),"미매핑"))</f>
        <v/>
      </c>
      <c r="K1378" s="63">
        <f>IF($A1378="","",IFERROR(INDEX(계정매핑!$C$5:$C$504,MATCH($F1378&amp;"",계정매핑!$A$5:$A$504,0)),"미매핑"))</f>
        <v/>
      </c>
      <c r="L1378" s="4">
        <f>IF($A1378="","",VALUE($A1378&amp;""))</f>
        <v/>
      </c>
      <c r="M1378" s="4">
        <f>IF($A1378="","",VALUE($B1378&amp;""))</f>
        <v/>
      </c>
      <c r="N1378" s="64">
        <f>IF($A1378="","",$H1378*설정!$C$15)</f>
        <v/>
      </c>
      <c r="O1378" s="4">
        <f>IF($A1378="","",J1378&amp;"|"&amp;K1378)</f>
        <v/>
      </c>
      <c r="P1378" s="63">
        <f>IF($A1378="","",IF(COUNTIFS(예산_원본!$T$5:$T$3004,O1378,예산_원본!$B$5:$B$3004,설정!$C$8,예산_원본!$U$5:$U$3004,L1378)&gt;0,"Y","N"))</f>
        <v/>
      </c>
      <c r="Q1378" s="63">
        <f>IF($A1378="","",IF(COUNTIF(집계!$E$7:$E$506,O1378)&gt;0,"Y","N"))</f>
        <v/>
      </c>
    </row>
    <row r="1379">
      <c r="A1379" s="60" t="n">
        <v>2026</v>
      </c>
      <c r="B1379" s="60" t="n">
        <v>6</v>
      </c>
      <c r="C1379" s="60" t="inlineStr">
        <is>
          <t>1000</t>
        </is>
      </c>
      <c r="D1379" s="60" t="n">
        <v>1502</v>
      </c>
      <c r="E1379" s="60" t="inlineStr">
        <is>
          <t>디지털마케팅</t>
        </is>
      </c>
      <c r="F1379" s="60" t="n">
        <v>62701000</v>
      </c>
      <c r="G1379" s="60" t="inlineStr">
        <is>
          <t>광고선전비</t>
        </is>
      </c>
      <c r="H1379" s="61" t="n">
        <v>71129430</v>
      </c>
      <c r="J1379" s="63">
        <f>IF($A1379="","",IFERROR(INDEX(부서매핑!$C$5:$C$504,MATCH($D1379&amp;"",부서매핑!$A$5:$A$504,0)),"미매핑"))</f>
        <v/>
      </c>
      <c r="K1379" s="63">
        <f>IF($A1379="","",IFERROR(INDEX(계정매핑!$C$5:$C$504,MATCH($F1379&amp;"",계정매핑!$A$5:$A$504,0)),"미매핑"))</f>
        <v/>
      </c>
      <c r="L1379" s="4">
        <f>IF($A1379="","",VALUE($A1379&amp;""))</f>
        <v/>
      </c>
      <c r="M1379" s="4">
        <f>IF($A1379="","",VALUE($B1379&amp;""))</f>
        <v/>
      </c>
      <c r="N1379" s="64">
        <f>IF($A1379="","",$H1379*설정!$C$15)</f>
        <v/>
      </c>
      <c r="O1379" s="4">
        <f>IF($A1379="","",J1379&amp;"|"&amp;K1379)</f>
        <v/>
      </c>
      <c r="P1379" s="63">
        <f>IF($A1379="","",IF(COUNTIFS(예산_원본!$T$5:$T$3004,O1379,예산_원본!$B$5:$B$3004,설정!$C$8,예산_원본!$U$5:$U$3004,L1379)&gt;0,"Y","N"))</f>
        <v/>
      </c>
      <c r="Q1379" s="63">
        <f>IF($A1379="","",IF(COUNTIF(집계!$E$7:$E$506,O1379)&gt;0,"Y","N"))</f>
        <v/>
      </c>
    </row>
    <row r="1380">
      <c r="A1380" s="60" t="n">
        <v>2026</v>
      </c>
      <c r="B1380" s="60" t="n">
        <v>6</v>
      </c>
      <c r="C1380" s="60" t="inlineStr">
        <is>
          <t>1000</t>
        </is>
      </c>
      <c r="D1380" s="60" t="n">
        <v>1601</v>
      </c>
      <c r="E1380" s="60" t="inlineStr">
        <is>
          <t>영업지원-본사</t>
        </is>
      </c>
      <c r="F1380" s="60" t="n">
        <v>62101000</v>
      </c>
      <c r="G1380" s="60" t="inlineStr">
        <is>
          <t>여비교통비-국내</t>
        </is>
      </c>
      <c r="H1380" s="61" t="n">
        <v>4333320</v>
      </c>
      <c r="J1380" s="63">
        <f>IF($A1380="","",IFERROR(INDEX(부서매핑!$C$5:$C$504,MATCH($D1380&amp;"",부서매핑!$A$5:$A$504,0)),"미매핑"))</f>
        <v/>
      </c>
      <c r="K1380" s="63">
        <f>IF($A1380="","",IFERROR(INDEX(계정매핑!$C$5:$C$504,MATCH($F1380&amp;"",계정매핑!$A$5:$A$504,0)),"미매핑"))</f>
        <v/>
      </c>
      <c r="L1380" s="4">
        <f>IF($A1380="","",VALUE($A1380&amp;""))</f>
        <v/>
      </c>
      <c r="M1380" s="4">
        <f>IF($A1380="","",VALUE($B1380&amp;""))</f>
        <v/>
      </c>
      <c r="N1380" s="64">
        <f>IF($A1380="","",$H1380*설정!$C$15)</f>
        <v/>
      </c>
      <c r="O1380" s="4">
        <f>IF($A1380="","",J1380&amp;"|"&amp;K1380)</f>
        <v/>
      </c>
      <c r="P1380" s="63">
        <f>IF($A1380="","",IF(COUNTIFS(예산_원본!$T$5:$T$3004,O1380,예산_원본!$B$5:$B$3004,설정!$C$8,예산_원본!$U$5:$U$3004,L1380)&gt;0,"Y","N"))</f>
        <v/>
      </c>
      <c r="Q1380" s="63">
        <f>IF($A1380="","",IF(COUNTIF(집계!$E$7:$E$506,O1380)&gt;0,"Y","N"))</f>
        <v/>
      </c>
    </row>
    <row r="1381">
      <c r="A1381" s="60" t="n">
        <v>2026</v>
      </c>
      <c r="B1381" s="60" t="n">
        <v>6</v>
      </c>
      <c r="C1381" s="60" t="inlineStr">
        <is>
          <t>1000</t>
        </is>
      </c>
      <c r="D1381" s="60" t="n">
        <v>1601</v>
      </c>
      <c r="E1381" s="60" t="inlineStr">
        <is>
          <t>영업지원-본사</t>
        </is>
      </c>
      <c r="F1381" s="60" t="n">
        <v>62102000</v>
      </c>
      <c r="G1381" s="60" t="inlineStr">
        <is>
          <t>여비교통비-해외</t>
        </is>
      </c>
      <c r="H1381" s="61" t="n">
        <v>724520</v>
      </c>
      <c r="J1381" s="63">
        <f>IF($A1381="","",IFERROR(INDEX(부서매핑!$C$5:$C$504,MATCH($D1381&amp;"",부서매핑!$A$5:$A$504,0)),"미매핑"))</f>
        <v/>
      </c>
      <c r="K1381" s="63">
        <f>IF($A1381="","",IFERROR(INDEX(계정매핑!$C$5:$C$504,MATCH($F1381&amp;"",계정매핑!$A$5:$A$504,0)),"미매핑"))</f>
        <v/>
      </c>
      <c r="L1381" s="4">
        <f>IF($A1381="","",VALUE($A1381&amp;""))</f>
        <v/>
      </c>
      <c r="M1381" s="4">
        <f>IF($A1381="","",VALUE($B1381&amp;""))</f>
        <v/>
      </c>
      <c r="N1381" s="64">
        <f>IF($A1381="","",$H1381*설정!$C$15)</f>
        <v/>
      </c>
      <c r="O1381" s="4">
        <f>IF($A1381="","",J1381&amp;"|"&amp;K1381)</f>
        <v/>
      </c>
      <c r="P1381" s="63">
        <f>IF($A1381="","",IF(COUNTIFS(예산_원본!$T$5:$T$3004,O1381,예산_원본!$B$5:$B$3004,설정!$C$8,예산_원본!$U$5:$U$3004,L1381)&gt;0,"Y","N"))</f>
        <v/>
      </c>
      <c r="Q1381" s="63">
        <f>IF($A1381="","",IF(COUNTIF(집계!$E$7:$E$506,O1381)&gt;0,"Y","N"))</f>
        <v/>
      </c>
    </row>
    <row r="1382">
      <c r="A1382" s="60" t="n">
        <v>2026</v>
      </c>
      <c r="B1382" s="60" t="n">
        <v>6</v>
      </c>
      <c r="C1382" s="60" t="inlineStr">
        <is>
          <t>1000</t>
        </is>
      </c>
      <c r="D1382" s="60" t="n">
        <v>1601</v>
      </c>
      <c r="E1382" s="60" t="inlineStr">
        <is>
          <t>영업지원-본사</t>
        </is>
      </c>
      <c r="F1382" s="60" t="n">
        <v>62201000</v>
      </c>
      <c r="G1382" s="60" t="inlineStr">
        <is>
          <t>통신비</t>
        </is>
      </c>
      <c r="H1382" s="61" t="n">
        <v>1171050</v>
      </c>
      <c r="J1382" s="63">
        <f>IF($A1382="","",IFERROR(INDEX(부서매핑!$C$5:$C$504,MATCH($D1382&amp;"",부서매핑!$A$5:$A$504,0)),"미매핑"))</f>
        <v/>
      </c>
      <c r="K1382" s="63">
        <f>IF($A1382="","",IFERROR(INDEX(계정매핑!$C$5:$C$504,MATCH($F1382&amp;"",계정매핑!$A$5:$A$504,0)),"미매핑"))</f>
        <v/>
      </c>
      <c r="L1382" s="4">
        <f>IF($A1382="","",VALUE($A1382&amp;""))</f>
        <v/>
      </c>
      <c r="M1382" s="4">
        <f>IF($A1382="","",VALUE($B1382&amp;""))</f>
        <v/>
      </c>
      <c r="N1382" s="64">
        <f>IF($A1382="","",$H1382*설정!$C$15)</f>
        <v/>
      </c>
      <c r="O1382" s="4">
        <f>IF($A1382="","",J1382&amp;"|"&amp;K1382)</f>
        <v/>
      </c>
      <c r="P1382" s="63">
        <f>IF($A1382="","",IF(COUNTIFS(예산_원본!$T$5:$T$3004,O1382,예산_원본!$B$5:$B$3004,설정!$C$8,예산_원본!$U$5:$U$3004,L1382)&gt;0,"Y","N"))</f>
        <v/>
      </c>
      <c r="Q1382" s="63">
        <f>IF($A1382="","",IF(COUNTIF(집계!$E$7:$E$506,O1382)&gt;0,"Y","N"))</f>
        <v/>
      </c>
    </row>
    <row r="1383">
      <c r="A1383" s="60" t="n">
        <v>2026</v>
      </c>
      <c r="B1383" s="60" t="n">
        <v>6</v>
      </c>
      <c r="C1383" s="60" t="inlineStr">
        <is>
          <t>1000</t>
        </is>
      </c>
      <c r="D1383" s="60" t="n">
        <v>1601</v>
      </c>
      <c r="E1383" s="60" t="inlineStr">
        <is>
          <t>영업지원-본사</t>
        </is>
      </c>
      <c r="F1383" s="60" t="n">
        <v>62301000</v>
      </c>
      <c r="G1383" s="60" t="inlineStr">
        <is>
          <t>소모품비</t>
        </is>
      </c>
      <c r="H1383" s="61" t="n">
        <v>656040</v>
      </c>
      <c r="J1383" s="63">
        <f>IF($A1383="","",IFERROR(INDEX(부서매핑!$C$5:$C$504,MATCH($D1383&amp;"",부서매핑!$A$5:$A$504,0)),"미매핑"))</f>
        <v/>
      </c>
      <c r="K1383" s="63">
        <f>IF($A1383="","",IFERROR(INDEX(계정매핑!$C$5:$C$504,MATCH($F1383&amp;"",계정매핑!$A$5:$A$504,0)),"미매핑"))</f>
        <v/>
      </c>
      <c r="L1383" s="4">
        <f>IF($A1383="","",VALUE($A1383&amp;""))</f>
        <v/>
      </c>
      <c r="M1383" s="4">
        <f>IF($A1383="","",VALUE($B1383&amp;""))</f>
        <v/>
      </c>
      <c r="N1383" s="64">
        <f>IF($A1383="","",$H1383*설정!$C$15)</f>
        <v/>
      </c>
      <c r="O1383" s="4">
        <f>IF($A1383="","",J1383&amp;"|"&amp;K1383)</f>
        <v/>
      </c>
      <c r="P1383" s="63">
        <f>IF($A1383="","",IF(COUNTIFS(예산_원본!$T$5:$T$3004,O1383,예산_원본!$B$5:$B$3004,설정!$C$8,예산_원본!$U$5:$U$3004,L1383)&gt;0,"Y","N"))</f>
        <v/>
      </c>
      <c r="Q1383" s="63">
        <f>IF($A1383="","",IF(COUNTIF(집계!$E$7:$E$506,O1383)&gt;0,"Y","N"))</f>
        <v/>
      </c>
    </row>
    <row r="1384">
      <c r="A1384" s="60" t="n">
        <v>2026</v>
      </c>
      <c r="B1384" s="60" t="n">
        <v>6</v>
      </c>
      <c r="C1384" s="60" t="inlineStr">
        <is>
          <t>1000</t>
        </is>
      </c>
      <c r="D1384" s="60" t="n">
        <v>1601</v>
      </c>
      <c r="E1384" s="60" t="inlineStr">
        <is>
          <t>영업지원-본사</t>
        </is>
      </c>
      <c r="F1384" s="60" t="n">
        <v>62501000</v>
      </c>
      <c r="G1384" s="60" t="inlineStr">
        <is>
          <t>회의비</t>
        </is>
      </c>
      <c r="H1384" s="61" t="n">
        <v>997450</v>
      </c>
      <c r="J1384" s="63">
        <f>IF($A1384="","",IFERROR(INDEX(부서매핑!$C$5:$C$504,MATCH($D1384&amp;"",부서매핑!$A$5:$A$504,0)),"미매핑"))</f>
        <v/>
      </c>
      <c r="K1384" s="63">
        <f>IF($A1384="","",IFERROR(INDEX(계정매핑!$C$5:$C$504,MATCH($F1384&amp;"",계정매핑!$A$5:$A$504,0)),"미매핑"))</f>
        <v/>
      </c>
      <c r="L1384" s="4">
        <f>IF($A1384="","",VALUE($A1384&amp;""))</f>
        <v/>
      </c>
      <c r="M1384" s="4">
        <f>IF($A1384="","",VALUE($B1384&amp;""))</f>
        <v/>
      </c>
      <c r="N1384" s="64">
        <f>IF($A1384="","",$H1384*설정!$C$15)</f>
        <v/>
      </c>
      <c r="O1384" s="4">
        <f>IF($A1384="","",J1384&amp;"|"&amp;K1384)</f>
        <v/>
      </c>
      <c r="P1384" s="63">
        <f>IF($A1384="","",IF(COUNTIFS(예산_원본!$T$5:$T$3004,O1384,예산_원본!$B$5:$B$3004,설정!$C$8,예산_원본!$U$5:$U$3004,L1384)&gt;0,"Y","N"))</f>
        <v/>
      </c>
      <c r="Q1384" s="63">
        <f>IF($A1384="","",IF(COUNTIF(집계!$E$7:$E$506,O1384)&gt;0,"Y","N"))</f>
        <v/>
      </c>
    </row>
    <row r="1385">
      <c r="A1385" s="60" t="n">
        <v>2026</v>
      </c>
      <c r="B1385" s="60" t="n">
        <v>6</v>
      </c>
      <c r="C1385" s="60" t="inlineStr">
        <is>
          <t>1000</t>
        </is>
      </c>
      <c r="D1385" s="60" t="n">
        <v>1601</v>
      </c>
      <c r="E1385" s="60" t="inlineStr">
        <is>
          <t>영업지원-본사</t>
        </is>
      </c>
      <c r="F1385" s="60" t="n">
        <v>62601000</v>
      </c>
      <c r="G1385" s="60" t="inlineStr">
        <is>
          <t>업무추진비</t>
        </is>
      </c>
      <c r="H1385" s="61" t="n">
        <v>1987660</v>
      </c>
      <c r="J1385" s="63">
        <f>IF($A1385="","",IFERROR(INDEX(부서매핑!$C$5:$C$504,MATCH($D1385&amp;"",부서매핑!$A$5:$A$504,0)),"미매핑"))</f>
        <v/>
      </c>
      <c r="K1385" s="63">
        <f>IF($A1385="","",IFERROR(INDEX(계정매핑!$C$5:$C$504,MATCH($F1385&amp;"",계정매핑!$A$5:$A$504,0)),"미매핑"))</f>
        <v/>
      </c>
      <c r="L1385" s="4">
        <f>IF($A1385="","",VALUE($A1385&amp;""))</f>
        <v/>
      </c>
      <c r="M1385" s="4">
        <f>IF($A1385="","",VALUE($B1385&amp;""))</f>
        <v/>
      </c>
      <c r="N1385" s="64">
        <f>IF($A1385="","",$H1385*설정!$C$15)</f>
        <v/>
      </c>
      <c r="O1385" s="4">
        <f>IF($A1385="","",J1385&amp;"|"&amp;K1385)</f>
        <v/>
      </c>
      <c r="P1385" s="63">
        <f>IF($A1385="","",IF(COUNTIFS(예산_원본!$T$5:$T$3004,O1385,예산_원본!$B$5:$B$3004,설정!$C$8,예산_원본!$U$5:$U$3004,L1385)&gt;0,"Y","N"))</f>
        <v/>
      </c>
      <c r="Q1385" s="63">
        <f>IF($A1385="","",IF(COUNTIF(집계!$E$7:$E$506,O1385)&gt;0,"Y","N"))</f>
        <v/>
      </c>
    </row>
    <row r="1386">
      <c r="A1386" s="60" t="n">
        <v>2026</v>
      </c>
      <c r="B1386" s="60" t="n">
        <v>6</v>
      </c>
      <c r="C1386" s="60" t="inlineStr">
        <is>
          <t>1000</t>
        </is>
      </c>
      <c r="D1386" s="60" t="n">
        <v>1601</v>
      </c>
      <c r="E1386" s="60" t="inlineStr">
        <is>
          <t>영업지원-본사</t>
        </is>
      </c>
      <c r="F1386" s="60" t="n">
        <v>63101000</v>
      </c>
      <c r="G1386" s="60" t="inlineStr">
        <is>
          <t>임차료</t>
        </is>
      </c>
      <c r="H1386" s="61" t="n">
        <v>9887540</v>
      </c>
      <c r="J1386" s="63">
        <f>IF($A1386="","",IFERROR(INDEX(부서매핑!$C$5:$C$504,MATCH($D1386&amp;"",부서매핑!$A$5:$A$504,0)),"미매핑"))</f>
        <v/>
      </c>
      <c r="K1386" s="63">
        <f>IF($A1386="","",IFERROR(INDEX(계정매핑!$C$5:$C$504,MATCH($F1386&amp;"",계정매핑!$A$5:$A$504,0)),"미매핑"))</f>
        <v/>
      </c>
      <c r="L1386" s="4">
        <f>IF($A1386="","",VALUE($A1386&amp;""))</f>
        <v/>
      </c>
      <c r="M1386" s="4">
        <f>IF($A1386="","",VALUE($B1386&amp;""))</f>
        <v/>
      </c>
      <c r="N1386" s="64">
        <f>IF($A1386="","",$H1386*설정!$C$15)</f>
        <v/>
      </c>
      <c r="O1386" s="4">
        <f>IF($A1386="","",J1386&amp;"|"&amp;K1386)</f>
        <v/>
      </c>
      <c r="P1386" s="63">
        <f>IF($A1386="","",IF(COUNTIFS(예산_원본!$T$5:$T$3004,O1386,예산_원본!$B$5:$B$3004,설정!$C$8,예산_원본!$U$5:$U$3004,L1386)&gt;0,"Y","N"))</f>
        <v/>
      </c>
      <c r="Q1386" s="63">
        <f>IF($A1386="","",IF(COUNTIF(집계!$E$7:$E$506,O1386)&gt;0,"Y","N"))</f>
        <v/>
      </c>
    </row>
    <row r="1387">
      <c r="A1387" s="60" t="n">
        <v>2026</v>
      </c>
      <c r="B1387" s="60" t="n">
        <v>6</v>
      </c>
      <c r="C1387" s="60" t="inlineStr">
        <is>
          <t>1000</t>
        </is>
      </c>
      <c r="D1387" s="60" t="n">
        <v>1601</v>
      </c>
      <c r="E1387" s="60" t="inlineStr">
        <is>
          <t>영업지원-본사</t>
        </is>
      </c>
      <c r="F1387" s="60" t="n">
        <v>63201000</v>
      </c>
      <c r="G1387" s="60" t="inlineStr">
        <is>
          <t>차량유지비</t>
        </is>
      </c>
      <c r="H1387" s="61" t="n">
        <v>6461170</v>
      </c>
      <c r="J1387" s="63">
        <f>IF($A1387="","",IFERROR(INDEX(부서매핑!$C$5:$C$504,MATCH($D1387&amp;"",부서매핑!$A$5:$A$504,0)),"미매핑"))</f>
        <v/>
      </c>
      <c r="K1387" s="63">
        <f>IF($A1387="","",IFERROR(INDEX(계정매핑!$C$5:$C$504,MATCH($F1387&amp;"",계정매핑!$A$5:$A$504,0)),"미매핑"))</f>
        <v/>
      </c>
      <c r="L1387" s="4">
        <f>IF($A1387="","",VALUE($A1387&amp;""))</f>
        <v/>
      </c>
      <c r="M1387" s="4">
        <f>IF($A1387="","",VALUE($B1387&amp;""))</f>
        <v/>
      </c>
      <c r="N1387" s="64">
        <f>IF($A1387="","",$H1387*설정!$C$15)</f>
        <v/>
      </c>
      <c r="O1387" s="4">
        <f>IF($A1387="","",J1387&amp;"|"&amp;K1387)</f>
        <v/>
      </c>
      <c r="P1387" s="63">
        <f>IF($A1387="","",IF(COUNTIFS(예산_원본!$T$5:$T$3004,O1387,예산_원본!$B$5:$B$3004,설정!$C$8,예산_원본!$U$5:$U$3004,L1387)&gt;0,"Y","N"))</f>
        <v/>
      </c>
      <c r="Q1387" s="63">
        <f>IF($A1387="","",IF(COUNTIF(집계!$E$7:$E$506,O1387)&gt;0,"Y","N"))</f>
        <v/>
      </c>
    </row>
    <row r="1388">
      <c r="A1388" s="60" t="n">
        <v>2026</v>
      </c>
      <c r="B1388" s="60" t="n">
        <v>6</v>
      </c>
      <c r="C1388" s="60" t="inlineStr">
        <is>
          <t>1000</t>
        </is>
      </c>
      <c r="D1388" s="60" t="n">
        <v>1602</v>
      </c>
      <c r="E1388" s="60" t="inlineStr">
        <is>
          <t>영업지원-지역본부</t>
        </is>
      </c>
      <c r="F1388" s="60" t="n">
        <v>62101000</v>
      </c>
      <c r="G1388" s="60" t="inlineStr">
        <is>
          <t>여비교통비-국내</t>
        </is>
      </c>
      <c r="H1388" s="61" t="n">
        <v>3179430</v>
      </c>
      <c r="J1388" s="63">
        <f>IF($A1388="","",IFERROR(INDEX(부서매핑!$C$5:$C$504,MATCH($D1388&amp;"",부서매핑!$A$5:$A$504,0)),"미매핑"))</f>
        <v/>
      </c>
      <c r="K1388" s="63">
        <f>IF($A1388="","",IFERROR(INDEX(계정매핑!$C$5:$C$504,MATCH($F1388&amp;"",계정매핑!$A$5:$A$504,0)),"미매핑"))</f>
        <v/>
      </c>
      <c r="L1388" s="4">
        <f>IF($A1388="","",VALUE($A1388&amp;""))</f>
        <v/>
      </c>
      <c r="M1388" s="4">
        <f>IF($A1388="","",VALUE($B1388&amp;""))</f>
        <v/>
      </c>
      <c r="N1388" s="64">
        <f>IF($A1388="","",$H1388*설정!$C$15)</f>
        <v/>
      </c>
      <c r="O1388" s="4">
        <f>IF($A1388="","",J1388&amp;"|"&amp;K1388)</f>
        <v/>
      </c>
      <c r="P1388" s="63">
        <f>IF($A1388="","",IF(COUNTIFS(예산_원본!$T$5:$T$3004,O1388,예산_원본!$B$5:$B$3004,설정!$C$8,예산_원본!$U$5:$U$3004,L1388)&gt;0,"Y","N"))</f>
        <v/>
      </c>
      <c r="Q1388" s="63">
        <f>IF($A1388="","",IF(COUNTIF(집계!$E$7:$E$506,O1388)&gt;0,"Y","N"))</f>
        <v/>
      </c>
    </row>
    <row r="1389">
      <c r="A1389" s="60" t="n">
        <v>2026</v>
      </c>
      <c r="B1389" s="60" t="n">
        <v>6</v>
      </c>
      <c r="C1389" s="60" t="inlineStr">
        <is>
          <t>1000</t>
        </is>
      </c>
      <c r="D1389" s="60" t="n">
        <v>1602</v>
      </c>
      <c r="E1389" s="60" t="inlineStr">
        <is>
          <t>영업지원-지역본부</t>
        </is>
      </c>
      <c r="F1389" s="60" t="n">
        <v>62102000</v>
      </c>
      <c r="G1389" s="60" t="inlineStr">
        <is>
          <t>여비교통비-해외</t>
        </is>
      </c>
      <c r="H1389" s="61" t="n">
        <v>567410</v>
      </c>
      <c r="J1389" s="63">
        <f>IF($A1389="","",IFERROR(INDEX(부서매핑!$C$5:$C$504,MATCH($D1389&amp;"",부서매핑!$A$5:$A$504,0)),"미매핑"))</f>
        <v/>
      </c>
      <c r="K1389" s="63">
        <f>IF($A1389="","",IFERROR(INDEX(계정매핑!$C$5:$C$504,MATCH($F1389&amp;"",계정매핑!$A$5:$A$504,0)),"미매핑"))</f>
        <v/>
      </c>
      <c r="L1389" s="4">
        <f>IF($A1389="","",VALUE($A1389&amp;""))</f>
        <v/>
      </c>
      <c r="M1389" s="4">
        <f>IF($A1389="","",VALUE($B1389&amp;""))</f>
        <v/>
      </c>
      <c r="N1389" s="64">
        <f>IF($A1389="","",$H1389*설정!$C$15)</f>
        <v/>
      </c>
      <c r="O1389" s="4">
        <f>IF($A1389="","",J1389&amp;"|"&amp;K1389)</f>
        <v/>
      </c>
      <c r="P1389" s="63">
        <f>IF($A1389="","",IF(COUNTIFS(예산_원본!$T$5:$T$3004,O1389,예산_원본!$B$5:$B$3004,설정!$C$8,예산_원본!$U$5:$U$3004,L1389)&gt;0,"Y","N"))</f>
        <v/>
      </c>
      <c r="Q1389" s="63">
        <f>IF($A1389="","",IF(COUNTIF(집계!$E$7:$E$506,O1389)&gt;0,"Y","N"))</f>
        <v/>
      </c>
    </row>
    <row r="1390">
      <c r="A1390" s="60" t="n">
        <v>2026</v>
      </c>
      <c r="B1390" s="60" t="n">
        <v>6</v>
      </c>
      <c r="C1390" s="60" t="inlineStr">
        <is>
          <t>1000</t>
        </is>
      </c>
      <c r="D1390" s="60" t="n">
        <v>1602</v>
      </c>
      <c r="E1390" s="60" t="inlineStr">
        <is>
          <t>영업지원-지역본부</t>
        </is>
      </c>
      <c r="F1390" s="60" t="n">
        <v>62201000</v>
      </c>
      <c r="G1390" s="60" t="inlineStr">
        <is>
          <t>통신비</t>
        </is>
      </c>
      <c r="H1390" s="61" t="n">
        <v>1137630</v>
      </c>
      <c r="J1390" s="63">
        <f>IF($A1390="","",IFERROR(INDEX(부서매핑!$C$5:$C$504,MATCH($D1390&amp;"",부서매핑!$A$5:$A$504,0)),"미매핑"))</f>
        <v/>
      </c>
      <c r="K1390" s="63">
        <f>IF($A1390="","",IFERROR(INDEX(계정매핑!$C$5:$C$504,MATCH($F1390&amp;"",계정매핑!$A$5:$A$504,0)),"미매핑"))</f>
        <v/>
      </c>
      <c r="L1390" s="4">
        <f>IF($A1390="","",VALUE($A1390&amp;""))</f>
        <v/>
      </c>
      <c r="M1390" s="4">
        <f>IF($A1390="","",VALUE($B1390&amp;""))</f>
        <v/>
      </c>
      <c r="N1390" s="64">
        <f>IF($A1390="","",$H1390*설정!$C$15)</f>
        <v/>
      </c>
      <c r="O1390" s="4">
        <f>IF($A1390="","",J1390&amp;"|"&amp;K1390)</f>
        <v/>
      </c>
      <c r="P1390" s="63">
        <f>IF($A1390="","",IF(COUNTIFS(예산_원본!$T$5:$T$3004,O1390,예산_원본!$B$5:$B$3004,설정!$C$8,예산_원본!$U$5:$U$3004,L1390)&gt;0,"Y","N"))</f>
        <v/>
      </c>
      <c r="Q1390" s="63">
        <f>IF($A1390="","",IF(COUNTIF(집계!$E$7:$E$506,O1390)&gt;0,"Y","N"))</f>
        <v/>
      </c>
    </row>
    <row r="1391">
      <c r="A1391" s="60" t="n">
        <v>2026</v>
      </c>
      <c r="B1391" s="60" t="n">
        <v>6</v>
      </c>
      <c r="C1391" s="60" t="inlineStr">
        <is>
          <t>1000</t>
        </is>
      </c>
      <c r="D1391" s="60" t="n">
        <v>1602</v>
      </c>
      <c r="E1391" s="60" t="inlineStr">
        <is>
          <t>영업지원-지역본부</t>
        </is>
      </c>
      <c r="F1391" s="60" t="n">
        <v>62301000</v>
      </c>
      <c r="G1391" s="60" t="inlineStr">
        <is>
          <t>소모품비</t>
        </is>
      </c>
      <c r="H1391" s="61" t="n">
        <v>490000</v>
      </c>
      <c r="J1391" s="63">
        <f>IF($A1391="","",IFERROR(INDEX(부서매핑!$C$5:$C$504,MATCH($D1391&amp;"",부서매핑!$A$5:$A$504,0)),"미매핑"))</f>
        <v/>
      </c>
      <c r="K1391" s="63">
        <f>IF($A1391="","",IFERROR(INDEX(계정매핑!$C$5:$C$504,MATCH($F1391&amp;"",계정매핑!$A$5:$A$504,0)),"미매핑"))</f>
        <v/>
      </c>
      <c r="L1391" s="4">
        <f>IF($A1391="","",VALUE($A1391&amp;""))</f>
        <v/>
      </c>
      <c r="M1391" s="4">
        <f>IF($A1391="","",VALUE($B1391&amp;""))</f>
        <v/>
      </c>
      <c r="N1391" s="64">
        <f>IF($A1391="","",$H1391*설정!$C$15)</f>
        <v/>
      </c>
      <c r="O1391" s="4">
        <f>IF($A1391="","",J1391&amp;"|"&amp;K1391)</f>
        <v/>
      </c>
      <c r="P1391" s="63">
        <f>IF($A1391="","",IF(COUNTIFS(예산_원본!$T$5:$T$3004,O1391,예산_원본!$B$5:$B$3004,설정!$C$8,예산_원본!$U$5:$U$3004,L1391)&gt;0,"Y","N"))</f>
        <v/>
      </c>
      <c r="Q1391" s="63">
        <f>IF($A1391="","",IF(COUNTIF(집계!$E$7:$E$506,O1391)&gt;0,"Y","N"))</f>
        <v/>
      </c>
    </row>
    <row r="1392">
      <c r="A1392" s="60" t="n">
        <v>2026</v>
      </c>
      <c r="B1392" s="60" t="n">
        <v>6</v>
      </c>
      <c r="C1392" s="60" t="inlineStr">
        <is>
          <t>1000</t>
        </is>
      </c>
      <c r="D1392" s="60" t="n">
        <v>1602</v>
      </c>
      <c r="E1392" s="60" t="inlineStr">
        <is>
          <t>영업지원-지역본부</t>
        </is>
      </c>
      <c r="F1392" s="60" t="n">
        <v>62501000</v>
      </c>
      <c r="G1392" s="60" t="inlineStr">
        <is>
          <t>회의비</t>
        </is>
      </c>
      <c r="H1392" s="61" t="n">
        <v>748300</v>
      </c>
      <c r="J1392" s="63">
        <f>IF($A1392="","",IFERROR(INDEX(부서매핑!$C$5:$C$504,MATCH($D1392&amp;"",부서매핑!$A$5:$A$504,0)),"미매핑"))</f>
        <v/>
      </c>
      <c r="K1392" s="63">
        <f>IF($A1392="","",IFERROR(INDEX(계정매핑!$C$5:$C$504,MATCH($F1392&amp;"",계정매핑!$A$5:$A$504,0)),"미매핑"))</f>
        <v/>
      </c>
      <c r="L1392" s="4">
        <f>IF($A1392="","",VALUE($A1392&amp;""))</f>
        <v/>
      </c>
      <c r="M1392" s="4">
        <f>IF($A1392="","",VALUE($B1392&amp;""))</f>
        <v/>
      </c>
      <c r="N1392" s="64">
        <f>IF($A1392="","",$H1392*설정!$C$15)</f>
        <v/>
      </c>
      <c r="O1392" s="4">
        <f>IF($A1392="","",J1392&amp;"|"&amp;K1392)</f>
        <v/>
      </c>
      <c r="P1392" s="63">
        <f>IF($A1392="","",IF(COUNTIFS(예산_원본!$T$5:$T$3004,O1392,예산_원본!$B$5:$B$3004,설정!$C$8,예산_원본!$U$5:$U$3004,L1392)&gt;0,"Y","N"))</f>
        <v/>
      </c>
      <c r="Q1392" s="63">
        <f>IF($A1392="","",IF(COUNTIF(집계!$E$7:$E$506,O1392)&gt;0,"Y","N"))</f>
        <v/>
      </c>
    </row>
    <row r="1393">
      <c r="A1393" s="60" t="n">
        <v>2026</v>
      </c>
      <c r="B1393" s="60" t="n">
        <v>6</v>
      </c>
      <c r="C1393" s="60" t="inlineStr">
        <is>
          <t>1000</t>
        </is>
      </c>
      <c r="D1393" s="60" t="n">
        <v>1602</v>
      </c>
      <c r="E1393" s="60" t="inlineStr">
        <is>
          <t>영업지원-지역본부</t>
        </is>
      </c>
      <c r="F1393" s="60" t="n">
        <v>62601000</v>
      </c>
      <c r="G1393" s="60" t="inlineStr">
        <is>
          <t>업무추진비</t>
        </is>
      </c>
      <c r="H1393" s="61" t="n">
        <v>1484440</v>
      </c>
      <c r="J1393" s="63">
        <f>IF($A1393="","",IFERROR(INDEX(부서매핑!$C$5:$C$504,MATCH($D1393&amp;"",부서매핑!$A$5:$A$504,0)),"미매핑"))</f>
        <v/>
      </c>
      <c r="K1393" s="63">
        <f>IF($A1393="","",IFERROR(INDEX(계정매핑!$C$5:$C$504,MATCH($F1393&amp;"",계정매핑!$A$5:$A$504,0)),"미매핑"))</f>
        <v/>
      </c>
      <c r="L1393" s="4">
        <f>IF($A1393="","",VALUE($A1393&amp;""))</f>
        <v/>
      </c>
      <c r="M1393" s="4">
        <f>IF($A1393="","",VALUE($B1393&amp;""))</f>
        <v/>
      </c>
      <c r="N1393" s="64">
        <f>IF($A1393="","",$H1393*설정!$C$15)</f>
        <v/>
      </c>
      <c r="O1393" s="4">
        <f>IF($A1393="","",J1393&amp;"|"&amp;K1393)</f>
        <v/>
      </c>
      <c r="P1393" s="63">
        <f>IF($A1393="","",IF(COUNTIFS(예산_원본!$T$5:$T$3004,O1393,예산_원본!$B$5:$B$3004,설정!$C$8,예산_원본!$U$5:$U$3004,L1393)&gt;0,"Y","N"))</f>
        <v/>
      </c>
      <c r="Q1393" s="63">
        <f>IF($A1393="","",IF(COUNTIF(집계!$E$7:$E$506,O1393)&gt;0,"Y","N"))</f>
        <v/>
      </c>
    </row>
    <row r="1394">
      <c r="A1394" s="60" t="n">
        <v>2026</v>
      </c>
      <c r="B1394" s="60" t="n">
        <v>6</v>
      </c>
      <c r="C1394" s="60" t="inlineStr">
        <is>
          <t>1000</t>
        </is>
      </c>
      <c r="D1394" s="60" t="n">
        <v>1602</v>
      </c>
      <c r="E1394" s="60" t="inlineStr">
        <is>
          <t>영업지원-지역본부</t>
        </is>
      </c>
      <c r="F1394" s="60" t="n">
        <v>63101000</v>
      </c>
      <c r="G1394" s="60" t="inlineStr">
        <is>
          <t>임차료</t>
        </is>
      </c>
      <c r="H1394" s="61" t="n">
        <v>7423570</v>
      </c>
      <c r="J1394" s="63">
        <f>IF($A1394="","",IFERROR(INDEX(부서매핑!$C$5:$C$504,MATCH($D1394&amp;"",부서매핑!$A$5:$A$504,0)),"미매핑"))</f>
        <v/>
      </c>
      <c r="K1394" s="63">
        <f>IF($A1394="","",IFERROR(INDEX(계정매핑!$C$5:$C$504,MATCH($F1394&amp;"",계정매핑!$A$5:$A$504,0)),"미매핑"))</f>
        <v/>
      </c>
      <c r="L1394" s="4">
        <f>IF($A1394="","",VALUE($A1394&amp;""))</f>
        <v/>
      </c>
      <c r="M1394" s="4">
        <f>IF($A1394="","",VALUE($B1394&amp;""))</f>
        <v/>
      </c>
      <c r="N1394" s="64">
        <f>IF($A1394="","",$H1394*설정!$C$15)</f>
        <v/>
      </c>
      <c r="O1394" s="4">
        <f>IF($A1394="","",J1394&amp;"|"&amp;K1394)</f>
        <v/>
      </c>
      <c r="P1394" s="63">
        <f>IF($A1394="","",IF(COUNTIFS(예산_원본!$T$5:$T$3004,O1394,예산_원본!$B$5:$B$3004,설정!$C$8,예산_원본!$U$5:$U$3004,L1394)&gt;0,"Y","N"))</f>
        <v/>
      </c>
      <c r="Q1394" s="63">
        <f>IF($A1394="","",IF(COUNTIF(집계!$E$7:$E$506,O1394)&gt;0,"Y","N"))</f>
        <v/>
      </c>
    </row>
    <row r="1395">
      <c r="A1395" s="60" t="n">
        <v>2026</v>
      </c>
      <c r="B1395" s="60" t="n">
        <v>6</v>
      </c>
      <c r="C1395" s="60" t="inlineStr">
        <is>
          <t>1000</t>
        </is>
      </c>
      <c r="D1395" s="60" t="n">
        <v>1602</v>
      </c>
      <c r="E1395" s="60" t="inlineStr">
        <is>
          <t>영업지원-지역본부</t>
        </is>
      </c>
      <c r="F1395" s="60" t="n">
        <v>63201000</v>
      </c>
      <c r="G1395" s="60" t="inlineStr">
        <is>
          <t>차량유지비</t>
        </is>
      </c>
      <c r="H1395" s="61" t="n">
        <v>5188100</v>
      </c>
      <c r="J1395" s="63">
        <f>IF($A1395="","",IFERROR(INDEX(부서매핑!$C$5:$C$504,MATCH($D1395&amp;"",부서매핑!$A$5:$A$504,0)),"미매핑"))</f>
        <v/>
      </c>
      <c r="K1395" s="63">
        <f>IF($A1395="","",IFERROR(INDEX(계정매핑!$C$5:$C$504,MATCH($F1395&amp;"",계정매핑!$A$5:$A$504,0)),"미매핑"))</f>
        <v/>
      </c>
      <c r="L1395" s="4">
        <f>IF($A1395="","",VALUE($A1395&amp;""))</f>
        <v/>
      </c>
      <c r="M1395" s="4">
        <f>IF($A1395="","",VALUE($B1395&amp;""))</f>
        <v/>
      </c>
      <c r="N1395" s="64">
        <f>IF($A1395="","",$H1395*설정!$C$15)</f>
        <v/>
      </c>
      <c r="O1395" s="4">
        <f>IF($A1395="","",J1395&amp;"|"&amp;K1395)</f>
        <v/>
      </c>
      <c r="P1395" s="63">
        <f>IF($A1395="","",IF(COUNTIFS(예산_원본!$T$5:$T$3004,O1395,예산_원본!$B$5:$B$3004,설정!$C$8,예산_원본!$U$5:$U$3004,L1395)&gt;0,"Y","N"))</f>
        <v/>
      </c>
      <c r="Q1395" s="63">
        <f>IF($A1395="","",IF(COUNTIF(집계!$E$7:$E$506,O1395)&gt;0,"Y","N"))</f>
        <v/>
      </c>
    </row>
    <row r="1396">
      <c r="A1396" s="60" t="n">
        <v>2026</v>
      </c>
      <c r="B1396" s="60" t="n">
        <v>6</v>
      </c>
      <c r="C1396" s="60" t="inlineStr">
        <is>
          <t>1000</t>
        </is>
      </c>
      <c r="D1396" s="60" t="n">
        <v>1701</v>
      </c>
      <c r="E1396" s="60" t="inlineStr">
        <is>
          <t>IT운영</t>
        </is>
      </c>
      <c r="F1396" s="60" t="n">
        <v>62101000</v>
      </c>
      <c r="G1396" s="60" t="inlineStr">
        <is>
          <t>여비교통비-국내</t>
        </is>
      </c>
      <c r="H1396" s="61" t="n">
        <v>923160</v>
      </c>
      <c r="J1396" s="63">
        <f>IF($A1396="","",IFERROR(INDEX(부서매핑!$C$5:$C$504,MATCH($D1396&amp;"",부서매핑!$A$5:$A$504,0)),"미매핑"))</f>
        <v/>
      </c>
      <c r="K1396" s="63">
        <f>IF($A1396="","",IFERROR(INDEX(계정매핑!$C$5:$C$504,MATCH($F1396&amp;"",계정매핑!$A$5:$A$504,0)),"미매핑"))</f>
        <v/>
      </c>
      <c r="L1396" s="4">
        <f>IF($A1396="","",VALUE($A1396&amp;""))</f>
        <v/>
      </c>
      <c r="M1396" s="4">
        <f>IF($A1396="","",VALUE($B1396&amp;""))</f>
        <v/>
      </c>
      <c r="N1396" s="64">
        <f>IF($A1396="","",$H1396*설정!$C$15)</f>
        <v/>
      </c>
      <c r="O1396" s="4">
        <f>IF($A1396="","",J1396&amp;"|"&amp;K1396)</f>
        <v/>
      </c>
      <c r="P1396" s="63">
        <f>IF($A1396="","",IF(COUNTIFS(예산_원본!$T$5:$T$3004,O1396,예산_원본!$B$5:$B$3004,설정!$C$8,예산_원본!$U$5:$U$3004,L1396)&gt;0,"Y","N"))</f>
        <v/>
      </c>
      <c r="Q1396" s="63">
        <f>IF($A1396="","",IF(COUNTIF(집계!$E$7:$E$506,O1396)&gt;0,"Y","N"))</f>
        <v/>
      </c>
    </row>
    <row r="1397">
      <c r="A1397" s="60" t="n">
        <v>2026</v>
      </c>
      <c r="B1397" s="60" t="n">
        <v>6</v>
      </c>
      <c r="C1397" s="60" t="inlineStr">
        <is>
          <t>1000</t>
        </is>
      </c>
      <c r="D1397" s="60" t="n">
        <v>1701</v>
      </c>
      <c r="E1397" s="60" t="inlineStr">
        <is>
          <t>IT운영</t>
        </is>
      </c>
      <c r="F1397" s="60" t="n">
        <v>62102000</v>
      </c>
      <c r="G1397" s="60" t="inlineStr">
        <is>
          <t>여비교통비-해외</t>
        </is>
      </c>
      <c r="H1397" s="61" t="n">
        <v>160630</v>
      </c>
      <c r="J1397" s="63">
        <f>IF($A1397="","",IFERROR(INDEX(부서매핑!$C$5:$C$504,MATCH($D1397&amp;"",부서매핑!$A$5:$A$504,0)),"미매핑"))</f>
        <v/>
      </c>
      <c r="K1397" s="63">
        <f>IF($A1397="","",IFERROR(INDEX(계정매핑!$C$5:$C$504,MATCH($F1397&amp;"",계정매핑!$A$5:$A$504,0)),"미매핑"))</f>
        <v/>
      </c>
      <c r="L1397" s="4">
        <f>IF($A1397="","",VALUE($A1397&amp;""))</f>
        <v/>
      </c>
      <c r="M1397" s="4">
        <f>IF($A1397="","",VALUE($B1397&amp;""))</f>
        <v/>
      </c>
      <c r="N1397" s="64">
        <f>IF($A1397="","",$H1397*설정!$C$15)</f>
        <v/>
      </c>
      <c r="O1397" s="4">
        <f>IF($A1397="","",J1397&amp;"|"&amp;K1397)</f>
        <v/>
      </c>
      <c r="P1397" s="63">
        <f>IF($A1397="","",IF(COUNTIFS(예산_원본!$T$5:$T$3004,O1397,예산_원본!$B$5:$B$3004,설정!$C$8,예산_원본!$U$5:$U$3004,L1397)&gt;0,"Y","N"))</f>
        <v/>
      </c>
      <c r="Q1397" s="63">
        <f>IF($A1397="","",IF(COUNTIF(집계!$E$7:$E$506,O1397)&gt;0,"Y","N"))</f>
        <v/>
      </c>
    </row>
    <row r="1398">
      <c r="A1398" s="60" t="n">
        <v>2026</v>
      </c>
      <c r="B1398" s="60" t="n">
        <v>6</v>
      </c>
      <c r="C1398" s="60" t="inlineStr">
        <is>
          <t>1000</t>
        </is>
      </c>
      <c r="D1398" s="60" t="n">
        <v>1701</v>
      </c>
      <c r="E1398" s="60" t="inlineStr">
        <is>
          <t>IT운영</t>
        </is>
      </c>
      <c r="F1398" s="60" t="n">
        <v>62201000</v>
      </c>
      <c r="G1398" s="60" t="inlineStr">
        <is>
          <t>통신비</t>
        </is>
      </c>
      <c r="H1398" s="61" t="n">
        <v>16977040</v>
      </c>
      <c r="J1398" s="63">
        <f>IF($A1398="","",IFERROR(INDEX(부서매핑!$C$5:$C$504,MATCH($D1398&amp;"",부서매핑!$A$5:$A$504,0)),"미매핑"))</f>
        <v/>
      </c>
      <c r="K1398" s="63">
        <f>IF($A1398="","",IFERROR(INDEX(계정매핑!$C$5:$C$504,MATCH($F1398&amp;"",계정매핑!$A$5:$A$504,0)),"미매핑"))</f>
        <v/>
      </c>
      <c r="L1398" s="4">
        <f>IF($A1398="","",VALUE($A1398&amp;""))</f>
        <v/>
      </c>
      <c r="M1398" s="4">
        <f>IF($A1398="","",VALUE($B1398&amp;""))</f>
        <v/>
      </c>
      <c r="N1398" s="64">
        <f>IF($A1398="","",$H1398*설정!$C$15)</f>
        <v/>
      </c>
      <c r="O1398" s="4">
        <f>IF($A1398="","",J1398&amp;"|"&amp;K1398)</f>
        <v/>
      </c>
      <c r="P1398" s="63">
        <f>IF($A1398="","",IF(COUNTIFS(예산_원본!$T$5:$T$3004,O1398,예산_원본!$B$5:$B$3004,설정!$C$8,예산_원본!$U$5:$U$3004,L1398)&gt;0,"Y","N"))</f>
        <v/>
      </c>
      <c r="Q1398" s="63">
        <f>IF($A1398="","",IF(COUNTIF(집계!$E$7:$E$506,O1398)&gt;0,"Y","N"))</f>
        <v/>
      </c>
    </row>
    <row r="1399">
      <c r="A1399" s="60" t="n">
        <v>2026</v>
      </c>
      <c r="B1399" s="60" t="n">
        <v>6</v>
      </c>
      <c r="C1399" s="60" t="inlineStr">
        <is>
          <t>1000</t>
        </is>
      </c>
      <c r="D1399" s="60" t="n">
        <v>1701</v>
      </c>
      <c r="E1399" s="60" t="inlineStr">
        <is>
          <t>IT운영</t>
        </is>
      </c>
      <c r="F1399" s="60" t="n">
        <v>62301000</v>
      </c>
      <c r="G1399" s="60" t="inlineStr">
        <is>
          <t>소모품비</t>
        </is>
      </c>
      <c r="H1399" s="61" t="n">
        <v>870600</v>
      </c>
      <c r="J1399" s="63">
        <f>IF($A1399="","",IFERROR(INDEX(부서매핑!$C$5:$C$504,MATCH($D1399&amp;"",부서매핑!$A$5:$A$504,0)),"미매핑"))</f>
        <v/>
      </c>
      <c r="K1399" s="63">
        <f>IF($A1399="","",IFERROR(INDEX(계정매핑!$C$5:$C$504,MATCH($F1399&amp;"",계정매핑!$A$5:$A$504,0)),"미매핑"))</f>
        <v/>
      </c>
      <c r="L1399" s="4">
        <f>IF($A1399="","",VALUE($A1399&amp;""))</f>
        <v/>
      </c>
      <c r="M1399" s="4">
        <f>IF($A1399="","",VALUE($B1399&amp;""))</f>
        <v/>
      </c>
      <c r="N1399" s="64">
        <f>IF($A1399="","",$H1399*설정!$C$15)</f>
        <v/>
      </c>
      <c r="O1399" s="4">
        <f>IF($A1399="","",J1399&amp;"|"&amp;K1399)</f>
        <v/>
      </c>
      <c r="P1399" s="63">
        <f>IF($A1399="","",IF(COUNTIFS(예산_원본!$T$5:$T$3004,O1399,예산_원본!$B$5:$B$3004,설정!$C$8,예산_원본!$U$5:$U$3004,L1399)&gt;0,"Y","N"))</f>
        <v/>
      </c>
      <c r="Q1399" s="63">
        <f>IF($A1399="","",IF(COUNTIF(집계!$E$7:$E$506,O1399)&gt;0,"Y","N"))</f>
        <v/>
      </c>
    </row>
    <row r="1400">
      <c r="A1400" s="60" t="n">
        <v>2026</v>
      </c>
      <c r="B1400" s="60" t="n">
        <v>6</v>
      </c>
      <c r="C1400" s="60" t="inlineStr">
        <is>
          <t>1000</t>
        </is>
      </c>
      <c r="D1400" s="60" t="n">
        <v>1701</v>
      </c>
      <c r="E1400" s="60" t="inlineStr">
        <is>
          <t>IT운영</t>
        </is>
      </c>
      <c r="F1400" s="60" t="n">
        <v>62501000</v>
      </c>
      <c r="G1400" s="60" t="inlineStr">
        <is>
          <t>회의비</t>
        </is>
      </c>
      <c r="H1400" s="61" t="n">
        <v>368710</v>
      </c>
      <c r="J1400" s="63">
        <f>IF($A1400="","",IFERROR(INDEX(부서매핑!$C$5:$C$504,MATCH($D1400&amp;"",부서매핑!$A$5:$A$504,0)),"미매핑"))</f>
        <v/>
      </c>
      <c r="K1400" s="63">
        <f>IF($A1400="","",IFERROR(INDEX(계정매핑!$C$5:$C$504,MATCH($F1400&amp;"",계정매핑!$A$5:$A$504,0)),"미매핑"))</f>
        <v/>
      </c>
      <c r="L1400" s="4">
        <f>IF($A1400="","",VALUE($A1400&amp;""))</f>
        <v/>
      </c>
      <c r="M1400" s="4">
        <f>IF($A1400="","",VALUE($B1400&amp;""))</f>
        <v/>
      </c>
      <c r="N1400" s="64">
        <f>IF($A1400="","",$H1400*설정!$C$15)</f>
        <v/>
      </c>
      <c r="O1400" s="4">
        <f>IF($A1400="","",J1400&amp;"|"&amp;K1400)</f>
        <v/>
      </c>
      <c r="P1400" s="63">
        <f>IF($A1400="","",IF(COUNTIFS(예산_원본!$T$5:$T$3004,O1400,예산_원본!$B$5:$B$3004,설정!$C$8,예산_원본!$U$5:$U$3004,L1400)&gt;0,"Y","N"))</f>
        <v/>
      </c>
      <c r="Q1400" s="63">
        <f>IF($A1400="","",IF(COUNTIF(집계!$E$7:$E$506,O1400)&gt;0,"Y","N"))</f>
        <v/>
      </c>
    </row>
    <row r="1401">
      <c r="A1401" s="60" t="n">
        <v>2026</v>
      </c>
      <c r="B1401" s="60" t="n">
        <v>6</v>
      </c>
      <c r="C1401" s="60" t="inlineStr">
        <is>
          <t>1000</t>
        </is>
      </c>
      <c r="D1401" s="60" t="n">
        <v>1701</v>
      </c>
      <c r="E1401" s="60" t="inlineStr">
        <is>
          <t>IT운영</t>
        </is>
      </c>
      <c r="F1401" s="60" t="n">
        <v>63001000</v>
      </c>
      <c r="G1401" s="60" t="inlineStr">
        <is>
          <t>전산운영비-SW유지보수</t>
        </is>
      </c>
      <c r="H1401" s="61" t="n">
        <v>116326870</v>
      </c>
      <c r="J1401" s="63">
        <f>IF($A1401="","",IFERROR(INDEX(부서매핑!$C$5:$C$504,MATCH($D1401&amp;"",부서매핑!$A$5:$A$504,0)),"미매핑"))</f>
        <v/>
      </c>
      <c r="K1401" s="63">
        <f>IF($A1401="","",IFERROR(INDEX(계정매핑!$C$5:$C$504,MATCH($F1401&amp;"",계정매핑!$A$5:$A$504,0)),"미매핑"))</f>
        <v/>
      </c>
      <c r="L1401" s="4">
        <f>IF($A1401="","",VALUE($A1401&amp;""))</f>
        <v/>
      </c>
      <c r="M1401" s="4">
        <f>IF($A1401="","",VALUE($B1401&amp;""))</f>
        <v/>
      </c>
      <c r="N1401" s="64">
        <f>IF($A1401="","",$H1401*설정!$C$15)</f>
        <v/>
      </c>
      <c r="O1401" s="4">
        <f>IF($A1401="","",J1401&amp;"|"&amp;K1401)</f>
        <v/>
      </c>
      <c r="P1401" s="63">
        <f>IF($A1401="","",IF(COUNTIFS(예산_원본!$T$5:$T$3004,O1401,예산_원본!$B$5:$B$3004,설정!$C$8,예산_원본!$U$5:$U$3004,L1401)&gt;0,"Y","N"))</f>
        <v/>
      </c>
      <c r="Q1401" s="63">
        <f>IF($A1401="","",IF(COUNTIF(집계!$E$7:$E$506,O1401)&gt;0,"Y","N"))</f>
        <v/>
      </c>
    </row>
    <row r="1402">
      <c r="A1402" s="60" t="n">
        <v>2026</v>
      </c>
      <c r="B1402" s="60" t="n">
        <v>6</v>
      </c>
      <c r="C1402" s="60" t="inlineStr">
        <is>
          <t>1000</t>
        </is>
      </c>
      <c r="D1402" s="60" t="n">
        <v>1701</v>
      </c>
      <c r="E1402" s="60" t="inlineStr">
        <is>
          <t>IT운영</t>
        </is>
      </c>
      <c r="F1402" s="60" t="n">
        <v>63002000</v>
      </c>
      <c r="G1402" s="60" t="inlineStr">
        <is>
          <t>전산운영비-클라우드</t>
        </is>
      </c>
      <c r="H1402" s="61" t="n">
        <v>90858820</v>
      </c>
      <c r="J1402" s="63">
        <f>IF($A1402="","",IFERROR(INDEX(부서매핑!$C$5:$C$504,MATCH($D1402&amp;"",부서매핑!$A$5:$A$504,0)),"미매핑"))</f>
        <v/>
      </c>
      <c r="K1402" s="63">
        <f>IF($A1402="","",IFERROR(INDEX(계정매핑!$C$5:$C$504,MATCH($F1402&amp;"",계정매핑!$A$5:$A$504,0)),"미매핑"))</f>
        <v/>
      </c>
      <c r="L1402" s="4">
        <f>IF($A1402="","",VALUE($A1402&amp;""))</f>
        <v/>
      </c>
      <c r="M1402" s="4">
        <f>IF($A1402="","",VALUE($B1402&amp;""))</f>
        <v/>
      </c>
      <c r="N1402" s="64">
        <f>IF($A1402="","",$H1402*설정!$C$15)</f>
        <v/>
      </c>
      <c r="O1402" s="4">
        <f>IF($A1402="","",J1402&amp;"|"&amp;K1402)</f>
        <v/>
      </c>
      <c r="P1402" s="63">
        <f>IF($A1402="","",IF(COUNTIFS(예산_원본!$T$5:$T$3004,O1402,예산_원본!$B$5:$B$3004,설정!$C$8,예산_원본!$U$5:$U$3004,L1402)&gt;0,"Y","N"))</f>
        <v/>
      </c>
      <c r="Q1402" s="63">
        <f>IF($A1402="","",IF(COUNTIF(집계!$E$7:$E$506,O1402)&gt;0,"Y","N"))</f>
        <v/>
      </c>
    </row>
    <row r="1403">
      <c r="A1403" s="60" t="n">
        <v>2026</v>
      </c>
      <c r="B1403" s="60" t="n">
        <v>6</v>
      </c>
      <c r="C1403" s="60" t="inlineStr">
        <is>
          <t>1000</t>
        </is>
      </c>
      <c r="D1403" s="60" t="n">
        <v>1801</v>
      </c>
      <c r="E1403" s="60" t="inlineStr">
        <is>
          <t>고객서비스</t>
        </is>
      </c>
      <c r="F1403" s="60" t="n">
        <v>62101000</v>
      </c>
      <c r="G1403" s="60" t="inlineStr">
        <is>
          <t>여비교통비-국내</t>
        </is>
      </c>
      <c r="H1403" s="61" t="n">
        <v>791260</v>
      </c>
      <c r="J1403" s="63">
        <f>IF($A1403="","",IFERROR(INDEX(부서매핑!$C$5:$C$504,MATCH($D1403&amp;"",부서매핑!$A$5:$A$504,0)),"미매핑"))</f>
        <v/>
      </c>
      <c r="K1403" s="63">
        <f>IF($A1403="","",IFERROR(INDEX(계정매핑!$C$5:$C$504,MATCH($F1403&amp;"",계정매핑!$A$5:$A$504,0)),"미매핑"))</f>
        <v/>
      </c>
      <c r="L1403" s="4">
        <f>IF($A1403="","",VALUE($A1403&amp;""))</f>
        <v/>
      </c>
      <c r="M1403" s="4">
        <f>IF($A1403="","",VALUE($B1403&amp;""))</f>
        <v/>
      </c>
      <c r="N1403" s="64">
        <f>IF($A1403="","",$H1403*설정!$C$15)</f>
        <v/>
      </c>
      <c r="O1403" s="4">
        <f>IF($A1403="","",J1403&amp;"|"&amp;K1403)</f>
        <v/>
      </c>
      <c r="P1403" s="63">
        <f>IF($A1403="","",IF(COUNTIFS(예산_원본!$T$5:$T$3004,O1403,예산_원본!$B$5:$B$3004,설정!$C$8,예산_원본!$U$5:$U$3004,L1403)&gt;0,"Y","N"))</f>
        <v/>
      </c>
      <c r="Q1403" s="63">
        <f>IF($A1403="","",IF(COUNTIF(집계!$E$7:$E$506,O1403)&gt;0,"Y","N"))</f>
        <v/>
      </c>
    </row>
    <row r="1404">
      <c r="A1404" s="60" t="n">
        <v>2026</v>
      </c>
      <c r="B1404" s="60" t="n">
        <v>6</v>
      </c>
      <c r="C1404" s="60" t="inlineStr">
        <is>
          <t>1000</t>
        </is>
      </c>
      <c r="D1404" s="60" t="n">
        <v>1801</v>
      </c>
      <c r="E1404" s="60" t="inlineStr">
        <is>
          <t>고객서비스</t>
        </is>
      </c>
      <c r="F1404" s="60" t="n">
        <v>62102000</v>
      </c>
      <c r="G1404" s="60" t="inlineStr">
        <is>
          <t>여비교통비-해외</t>
        </is>
      </c>
      <c r="H1404" s="61" t="n">
        <v>152890</v>
      </c>
      <c r="J1404" s="63">
        <f>IF($A1404="","",IFERROR(INDEX(부서매핑!$C$5:$C$504,MATCH($D1404&amp;"",부서매핑!$A$5:$A$504,0)),"미매핑"))</f>
        <v/>
      </c>
      <c r="K1404" s="63">
        <f>IF($A1404="","",IFERROR(INDEX(계정매핑!$C$5:$C$504,MATCH($F1404&amp;"",계정매핑!$A$5:$A$504,0)),"미매핑"))</f>
        <v/>
      </c>
      <c r="L1404" s="4">
        <f>IF($A1404="","",VALUE($A1404&amp;""))</f>
        <v/>
      </c>
      <c r="M1404" s="4">
        <f>IF($A1404="","",VALUE($B1404&amp;""))</f>
        <v/>
      </c>
      <c r="N1404" s="64">
        <f>IF($A1404="","",$H1404*설정!$C$15)</f>
        <v/>
      </c>
      <c r="O1404" s="4">
        <f>IF($A1404="","",J1404&amp;"|"&amp;K1404)</f>
        <v/>
      </c>
      <c r="P1404" s="63">
        <f>IF($A1404="","",IF(COUNTIFS(예산_원본!$T$5:$T$3004,O1404,예산_원본!$B$5:$B$3004,설정!$C$8,예산_원본!$U$5:$U$3004,L1404)&gt;0,"Y","N"))</f>
        <v/>
      </c>
      <c r="Q1404" s="63">
        <f>IF($A1404="","",IF(COUNTIF(집계!$E$7:$E$506,O1404)&gt;0,"Y","N"))</f>
        <v/>
      </c>
    </row>
    <row r="1405">
      <c r="A1405" s="60" t="n">
        <v>2026</v>
      </c>
      <c r="B1405" s="60" t="n">
        <v>6</v>
      </c>
      <c r="C1405" s="60" t="inlineStr">
        <is>
          <t>1000</t>
        </is>
      </c>
      <c r="D1405" s="60" t="n">
        <v>1801</v>
      </c>
      <c r="E1405" s="60" t="inlineStr">
        <is>
          <t>고객서비스</t>
        </is>
      </c>
      <c r="F1405" s="60" t="n">
        <v>62201000</v>
      </c>
      <c r="G1405" s="60" t="inlineStr">
        <is>
          <t>통신비</t>
        </is>
      </c>
      <c r="H1405" s="61" t="n">
        <v>21192150</v>
      </c>
      <c r="J1405" s="63">
        <f>IF($A1405="","",IFERROR(INDEX(부서매핑!$C$5:$C$504,MATCH($D1405&amp;"",부서매핑!$A$5:$A$504,0)),"미매핑"))</f>
        <v/>
      </c>
      <c r="K1405" s="63">
        <f>IF($A1405="","",IFERROR(INDEX(계정매핑!$C$5:$C$504,MATCH($F1405&amp;"",계정매핑!$A$5:$A$504,0)),"미매핑"))</f>
        <v/>
      </c>
      <c r="L1405" s="4">
        <f>IF($A1405="","",VALUE($A1405&amp;""))</f>
        <v/>
      </c>
      <c r="M1405" s="4">
        <f>IF($A1405="","",VALUE($B1405&amp;""))</f>
        <v/>
      </c>
      <c r="N1405" s="64">
        <f>IF($A1405="","",$H1405*설정!$C$15)</f>
        <v/>
      </c>
      <c r="O1405" s="4">
        <f>IF($A1405="","",J1405&amp;"|"&amp;K1405)</f>
        <v/>
      </c>
      <c r="P1405" s="63">
        <f>IF($A1405="","",IF(COUNTIFS(예산_원본!$T$5:$T$3004,O1405,예산_원본!$B$5:$B$3004,설정!$C$8,예산_원본!$U$5:$U$3004,L1405)&gt;0,"Y","N"))</f>
        <v/>
      </c>
      <c r="Q1405" s="63">
        <f>IF($A1405="","",IF(COUNTIF(집계!$E$7:$E$506,O1405)&gt;0,"Y","N"))</f>
        <v/>
      </c>
    </row>
    <row r="1406">
      <c r="A1406" s="60" t="n">
        <v>2026</v>
      </c>
      <c r="B1406" s="60" t="n">
        <v>6</v>
      </c>
      <c r="C1406" s="60" t="inlineStr">
        <is>
          <t>1000</t>
        </is>
      </c>
      <c r="D1406" s="60" t="n">
        <v>1801</v>
      </c>
      <c r="E1406" s="60" t="inlineStr">
        <is>
          <t>고객서비스</t>
        </is>
      </c>
      <c r="F1406" s="60" t="n">
        <v>62301000</v>
      </c>
      <c r="G1406" s="60" t="inlineStr">
        <is>
          <t>소모품비</t>
        </is>
      </c>
      <c r="H1406" s="61" t="n">
        <v>1323590</v>
      </c>
      <c r="J1406" s="63">
        <f>IF($A1406="","",IFERROR(INDEX(부서매핑!$C$5:$C$504,MATCH($D1406&amp;"",부서매핑!$A$5:$A$504,0)),"미매핑"))</f>
        <v/>
      </c>
      <c r="K1406" s="63">
        <f>IF($A1406="","",IFERROR(INDEX(계정매핑!$C$5:$C$504,MATCH($F1406&amp;"",계정매핑!$A$5:$A$504,0)),"미매핑"))</f>
        <v/>
      </c>
      <c r="L1406" s="4">
        <f>IF($A1406="","",VALUE($A1406&amp;""))</f>
        <v/>
      </c>
      <c r="M1406" s="4">
        <f>IF($A1406="","",VALUE($B1406&amp;""))</f>
        <v/>
      </c>
      <c r="N1406" s="64">
        <f>IF($A1406="","",$H1406*설정!$C$15)</f>
        <v/>
      </c>
      <c r="O1406" s="4">
        <f>IF($A1406="","",J1406&amp;"|"&amp;K1406)</f>
        <v/>
      </c>
      <c r="P1406" s="63">
        <f>IF($A1406="","",IF(COUNTIFS(예산_원본!$T$5:$T$3004,O1406,예산_원본!$B$5:$B$3004,설정!$C$8,예산_원본!$U$5:$U$3004,L1406)&gt;0,"Y","N"))</f>
        <v/>
      </c>
      <c r="Q1406" s="63">
        <f>IF($A1406="","",IF(COUNTIF(집계!$E$7:$E$506,O1406)&gt;0,"Y","N"))</f>
        <v/>
      </c>
    </row>
    <row r="1407">
      <c r="A1407" s="60" t="n">
        <v>2026</v>
      </c>
      <c r="B1407" s="60" t="n">
        <v>6</v>
      </c>
      <c r="C1407" s="60" t="inlineStr">
        <is>
          <t>1000</t>
        </is>
      </c>
      <c r="D1407" s="60" t="n">
        <v>1801</v>
      </c>
      <c r="E1407" s="60" t="inlineStr">
        <is>
          <t>고객서비스</t>
        </is>
      </c>
      <c r="F1407" s="60" t="n">
        <v>62401000</v>
      </c>
      <c r="G1407" s="60" t="inlineStr">
        <is>
          <t>도서인쇄비</t>
        </is>
      </c>
      <c r="H1407" s="61" t="n">
        <v>8251620</v>
      </c>
      <c r="J1407" s="63">
        <f>IF($A1407="","",IFERROR(INDEX(부서매핑!$C$5:$C$504,MATCH($D1407&amp;"",부서매핑!$A$5:$A$504,0)),"미매핑"))</f>
        <v/>
      </c>
      <c r="K1407" s="63">
        <f>IF($A1407="","",IFERROR(INDEX(계정매핑!$C$5:$C$504,MATCH($F1407&amp;"",계정매핑!$A$5:$A$504,0)),"미매핑"))</f>
        <v/>
      </c>
      <c r="L1407" s="4">
        <f>IF($A1407="","",VALUE($A1407&amp;""))</f>
        <v/>
      </c>
      <c r="M1407" s="4">
        <f>IF($A1407="","",VALUE($B1407&amp;""))</f>
        <v/>
      </c>
      <c r="N1407" s="64">
        <f>IF($A1407="","",$H1407*설정!$C$15)</f>
        <v/>
      </c>
      <c r="O1407" s="4">
        <f>IF($A1407="","",J1407&amp;"|"&amp;K1407)</f>
        <v/>
      </c>
      <c r="P1407" s="63">
        <f>IF($A1407="","",IF(COUNTIFS(예산_원본!$T$5:$T$3004,O1407,예산_원본!$B$5:$B$3004,설정!$C$8,예산_원본!$U$5:$U$3004,L1407)&gt;0,"Y","N"))</f>
        <v/>
      </c>
      <c r="Q1407" s="63">
        <f>IF($A1407="","",IF(COUNTIF(집계!$E$7:$E$506,O1407)&gt;0,"Y","N"))</f>
        <v/>
      </c>
    </row>
    <row r="1408">
      <c r="A1408" s="60" t="n">
        <v>2026</v>
      </c>
      <c r="B1408" s="60" t="n">
        <v>6</v>
      </c>
      <c r="C1408" s="60" t="inlineStr">
        <is>
          <t>1000</t>
        </is>
      </c>
      <c r="D1408" s="60" t="n">
        <v>1801</v>
      </c>
      <c r="E1408" s="60" t="inlineStr">
        <is>
          <t>고객서비스</t>
        </is>
      </c>
      <c r="F1408" s="60" t="n">
        <v>62501000</v>
      </c>
      <c r="G1408" s="60" t="inlineStr">
        <is>
          <t>회의비</t>
        </is>
      </c>
      <c r="H1408" s="61" t="n">
        <v>452630</v>
      </c>
      <c r="J1408" s="63">
        <f>IF($A1408="","",IFERROR(INDEX(부서매핑!$C$5:$C$504,MATCH($D1408&amp;"",부서매핑!$A$5:$A$504,0)),"미매핑"))</f>
        <v/>
      </c>
      <c r="K1408" s="63">
        <f>IF($A1408="","",IFERROR(INDEX(계정매핑!$C$5:$C$504,MATCH($F1408&amp;"",계정매핑!$A$5:$A$504,0)),"미매핑"))</f>
        <v/>
      </c>
      <c r="L1408" s="4">
        <f>IF($A1408="","",VALUE($A1408&amp;""))</f>
        <v/>
      </c>
      <c r="M1408" s="4">
        <f>IF($A1408="","",VALUE($B1408&amp;""))</f>
        <v/>
      </c>
      <c r="N1408" s="64">
        <f>IF($A1408="","",$H1408*설정!$C$15)</f>
        <v/>
      </c>
      <c r="O1408" s="4">
        <f>IF($A1408="","",J1408&amp;"|"&amp;K1408)</f>
        <v/>
      </c>
      <c r="P1408" s="63">
        <f>IF($A1408="","",IF(COUNTIFS(예산_원본!$T$5:$T$3004,O1408,예산_원본!$B$5:$B$3004,설정!$C$8,예산_원본!$U$5:$U$3004,L1408)&gt;0,"Y","N"))</f>
        <v/>
      </c>
      <c r="Q1408" s="63">
        <f>IF($A1408="","",IF(COUNTIF(집계!$E$7:$E$506,O1408)&gt;0,"Y","N"))</f>
        <v/>
      </c>
    </row>
    <row r="1409">
      <c r="A1409" s="60" t="n">
        <v>2026</v>
      </c>
      <c r="B1409" s="60" t="n">
        <v>6</v>
      </c>
      <c r="C1409" s="60" t="inlineStr">
        <is>
          <t>1000</t>
        </is>
      </c>
      <c r="D1409" s="60" t="n">
        <v>1801</v>
      </c>
      <c r="E1409" s="60" t="inlineStr">
        <is>
          <t>고객서비스</t>
        </is>
      </c>
      <c r="F1409" s="60" t="n">
        <v>62901000</v>
      </c>
      <c r="G1409" s="60" t="inlineStr">
        <is>
          <t>지급수수료-컨설팅</t>
        </is>
      </c>
      <c r="H1409" s="61" t="n">
        <v>32625480</v>
      </c>
      <c r="J1409" s="63">
        <f>IF($A1409="","",IFERROR(INDEX(부서매핑!$C$5:$C$504,MATCH($D1409&amp;"",부서매핑!$A$5:$A$504,0)),"미매핑"))</f>
        <v/>
      </c>
      <c r="K1409" s="63">
        <f>IF($A1409="","",IFERROR(INDEX(계정매핑!$C$5:$C$504,MATCH($F1409&amp;"",계정매핑!$A$5:$A$504,0)),"미매핑"))</f>
        <v/>
      </c>
      <c r="L1409" s="4">
        <f>IF($A1409="","",VALUE($A1409&amp;""))</f>
        <v/>
      </c>
      <c r="M1409" s="4">
        <f>IF($A1409="","",VALUE($B1409&amp;""))</f>
        <v/>
      </c>
      <c r="N1409" s="64">
        <f>IF($A1409="","",$H1409*설정!$C$15)</f>
        <v/>
      </c>
      <c r="O1409" s="4">
        <f>IF($A1409="","",J1409&amp;"|"&amp;K1409)</f>
        <v/>
      </c>
      <c r="P1409" s="63">
        <f>IF($A1409="","",IF(COUNTIFS(예산_원본!$T$5:$T$3004,O1409,예산_원본!$B$5:$B$3004,설정!$C$8,예산_원본!$U$5:$U$3004,L1409)&gt;0,"Y","N"))</f>
        <v/>
      </c>
      <c r="Q1409" s="63">
        <f>IF($A1409="","",IF(COUNTIF(집계!$E$7:$E$506,O1409)&gt;0,"Y","N"))</f>
        <v/>
      </c>
    </row>
    <row r="1410">
      <c r="A1410" s="60" t="n">
        <v>2026</v>
      </c>
      <c r="B1410" s="60" t="n">
        <v>6</v>
      </c>
      <c r="C1410" s="60" t="inlineStr">
        <is>
          <t>1000</t>
        </is>
      </c>
      <c r="D1410" s="60" t="n">
        <v>1801</v>
      </c>
      <c r="E1410" s="60" t="inlineStr">
        <is>
          <t>고객서비스</t>
        </is>
      </c>
      <c r="F1410" s="60" t="n">
        <v>62902000</v>
      </c>
      <c r="G1410" s="60" t="inlineStr">
        <is>
          <t>지급수수료-기타</t>
        </is>
      </c>
      <c r="H1410" s="61" t="n">
        <v>13626520</v>
      </c>
      <c r="J1410" s="63">
        <f>IF($A1410="","",IFERROR(INDEX(부서매핑!$C$5:$C$504,MATCH($D1410&amp;"",부서매핑!$A$5:$A$504,0)),"미매핑"))</f>
        <v/>
      </c>
      <c r="K1410" s="63">
        <f>IF($A1410="","",IFERROR(INDEX(계정매핑!$C$5:$C$504,MATCH($F1410&amp;"",계정매핑!$A$5:$A$504,0)),"미매핑"))</f>
        <v/>
      </c>
      <c r="L1410" s="4">
        <f>IF($A1410="","",VALUE($A1410&amp;""))</f>
        <v/>
      </c>
      <c r="M1410" s="4">
        <f>IF($A1410="","",VALUE($B1410&amp;""))</f>
        <v/>
      </c>
      <c r="N1410" s="64">
        <f>IF($A1410="","",$H1410*설정!$C$15)</f>
        <v/>
      </c>
      <c r="O1410" s="4">
        <f>IF($A1410="","",J1410&amp;"|"&amp;K1410)</f>
        <v/>
      </c>
      <c r="P1410" s="63">
        <f>IF($A1410="","",IF(COUNTIFS(예산_원본!$T$5:$T$3004,O1410,예산_원본!$B$5:$B$3004,설정!$C$8,예산_원본!$U$5:$U$3004,L1410)&gt;0,"Y","N"))</f>
        <v/>
      </c>
      <c r="Q1410" s="63">
        <f>IF($A1410="","",IF(COUNTIF(집계!$E$7:$E$506,O1410)&gt;0,"Y","N"))</f>
        <v/>
      </c>
    </row>
    <row r="1411">
      <c r="A1411" s="60" t="n">
        <v>2026</v>
      </c>
      <c r="B1411" s="60" t="n">
        <v>7</v>
      </c>
      <c r="C1411" s="60" t="inlineStr">
        <is>
          <t>1000</t>
        </is>
      </c>
      <c r="D1411" s="60" t="n">
        <v>1101</v>
      </c>
      <c r="E1411" s="60" t="inlineStr">
        <is>
          <t>경영기획</t>
        </is>
      </c>
      <c r="F1411" s="60" t="n">
        <v>62101000</v>
      </c>
      <c r="G1411" s="60" t="inlineStr">
        <is>
          <t>여비교통비-국내</t>
        </is>
      </c>
      <c r="H1411" s="61" t="n">
        <v>2185980</v>
      </c>
      <c r="J1411" s="63">
        <f>IF($A1411="","",IFERROR(INDEX(부서매핑!$C$5:$C$504,MATCH($D1411&amp;"",부서매핑!$A$5:$A$504,0)),"미매핑"))</f>
        <v/>
      </c>
      <c r="K1411" s="63">
        <f>IF($A1411="","",IFERROR(INDEX(계정매핑!$C$5:$C$504,MATCH($F1411&amp;"",계정매핑!$A$5:$A$504,0)),"미매핑"))</f>
        <v/>
      </c>
      <c r="L1411" s="4">
        <f>IF($A1411="","",VALUE($A1411&amp;""))</f>
        <v/>
      </c>
      <c r="M1411" s="4">
        <f>IF($A1411="","",VALUE($B1411&amp;""))</f>
        <v/>
      </c>
      <c r="N1411" s="64">
        <f>IF($A1411="","",$H1411*설정!$C$15)</f>
        <v/>
      </c>
      <c r="O1411" s="4">
        <f>IF($A1411="","",J1411&amp;"|"&amp;K1411)</f>
        <v/>
      </c>
      <c r="P1411" s="63">
        <f>IF($A1411="","",IF(COUNTIFS(예산_원본!$T$5:$T$3004,O1411,예산_원본!$B$5:$B$3004,설정!$C$8,예산_원본!$U$5:$U$3004,L1411)&gt;0,"Y","N"))</f>
        <v/>
      </c>
      <c r="Q1411" s="63">
        <f>IF($A1411="","",IF(COUNTIF(집계!$E$7:$E$506,O1411)&gt;0,"Y","N"))</f>
        <v/>
      </c>
    </row>
    <row r="1412">
      <c r="A1412" s="60" t="n">
        <v>2026</v>
      </c>
      <c r="B1412" s="60" t="n">
        <v>7</v>
      </c>
      <c r="C1412" s="60" t="inlineStr">
        <is>
          <t>1000</t>
        </is>
      </c>
      <c r="D1412" s="60" t="n">
        <v>1101</v>
      </c>
      <c r="E1412" s="60" t="inlineStr">
        <is>
          <t>경영기획</t>
        </is>
      </c>
      <c r="F1412" s="60" t="n">
        <v>62102000</v>
      </c>
      <c r="G1412" s="60" t="inlineStr">
        <is>
          <t>여비교통비-해외</t>
        </is>
      </c>
      <c r="H1412" s="61" t="n">
        <v>392950</v>
      </c>
      <c r="J1412" s="63">
        <f>IF($A1412="","",IFERROR(INDEX(부서매핑!$C$5:$C$504,MATCH($D1412&amp;"",부서매핑!$A$5:$A$504,0)),"미매핑"))</f>
        <v/>
      </c>
      <c r="K1412" s="63">
        <f>IF($A1412="","",IFERROR(INDEX(계정매핑!$C$5:$C$504,MATCH($F1412&amp;"",계정매핑!$A$5:$A$504,0)),"미매핑"))</f>
        <v/>
      </c>
      <c r="L1412" s="4">
        <f>IF($A1412="","",VALUE($A1412&amp;""))</f>
        <v/>
      </c>
      <c r="M1412" s="4">
        <f>IF($A1412="","",VALUE($B1412&amp;""))</f>
        <v/>
      </c>
      <c r="N1412" s="64">
        <f>IF($A1412="","",$H1412*설정!$C$15)</f>
        <v/>
      </c>
      <c r="O1412" s="4">
        <f>IF($A1412="","",J1412&amp;"|"&amp;K1412)</f>
        <v/>
      </c>
      <c r="P1412" s="63">
        <f>IF($A1412="","",IF(COUNTIFS(예산_원본!$T$5:$T$3004,O1412,예산_원본!$B$5:$B$3004,설정!$C$8,예산_원본!$U$5:$U$3004,L1412)&gt;0,"Y","N"))</f>
        <v/>
      </c>
      <c r="Q1412" s="63">
        <f>IF($A1412="","",IF(COUNTIF(집계!$E$7:$E$506,O1412)&gt;0,"Y","N"))</f>
        <v/>
      </c>
    </row>
    <row r="1413">
      <c r="A1413" s="60" t="n">
        <v>2026</v>
      </c>
      <c r="B1413" s="60" t="n">
        <v>7</v>
      </c>
      <c r="C1413" s="60" t="inlineStr">
        <is>
          <t>1000</t>
        </is>
      </c>
      <c r="D1413" s="60" t="n">
        <v>1101</v>
      </c>
      <c r="E1413" s="60" t="inlineStr">
        <is>
          <t>경영기획</t>
        </is>
      </c>
      <c r="F1413" s="60" t="n">
        <v>62201000</v>
      </c>
      <c r="G1413" s="60" t="inlineStr">
        <is>
          <t>통신비</t>
        </is>
      </c>
      <c r="H1413" s="61" t="n">
        <v>790820</v>
      </c>
      <c r="J1413" s="63">
        <f>IF($A1413="","",IFERROR(INDEX(부서매핑!$C$5:$C$504,MATCH($D1413&amp;"",부서매핑!$A$5:$A$504,0)),"미매핑"))</f>
        <v/>
      </c>
      <c r="K1413" s="63">
        <f>IF($A1413="","",IFERROR(INDEX(계정매핑!$C$5:$C$504,MATCH($F1413&amp;"",계정매핑!$A$5:$A$504,0)),"미매핑"))</f>
        <v/>
      </c>
      <c r="L1413" s="4">
        <f>IF($A1413="","",VALUE($A1413&amp;""))</f>
        <v/>
      </c>
      <c r="M1413" s="4">
        <f>IF($A1413="","",VALUE($B1413&amp;""))</f>
        <v/>
      </c>
      <c r="N1413" s="64">
        <f>IF($A1413="","",$H1413*설정!$C$15)</f>
        <v/>
      </c>
      <c r="O1413" s="4">
        <f>IF($A1413="","",J1413&amp;"|"&amp;K1413)</f>
        <v/>
      </c>
      <c r="P1413" s="63">
        <f>IF($A1413="","",IF(COUNTIFS(예산_원본!$T$5:$T$3004,O1413,예산_원본!$B$5:$B$3004,설정!$C$8,예산_원본!$U$5:$U$3004,L1413)&gt;0,"Y","N"))</f>
        <v/>
      </c>
      <c r="Q1413" s="63">
        <f>IF($A1413="","",IF(COUNTIF(집계!$E$7:$E$506,O1413)&gt;0,"Y","N"))</f>
        <v/>
      </c>
    </row>
    <row r="1414">
      <c r="A1414" s="60" t="n">
        <v>2026</v>
      </c>
      <c r="B1414" s="60" t="n">
        <v>7</v>
      </c>
      <c r="C1414" s="60" t="inlineStr">
        <is>
          <t>1000</t>
        </is>
      </c>
      <c r="D1414" s="60" t="n">
        <v>1101</v>
      </c>
      <c r="E1414" s="60" t="inlineStr">
        <is>
          <t>경영기획</t>
        </is>
      </c>
      <c r="F1414" s="60" t="n">
        <v>62301000</v>
      </c>
      <c r="G1414" s="60" t="inlineStr">
        <is>
          <t>소모품비</t>
        </is>
      </c>
      <c r="H1414" s="61" t="n">
        <v>420770</v>
      </c>
      <c r="J1414" s="63">
        <f>IF($A1414="","",IFERROR(INDEX(부서매핑!$C$5:$C$504,MATCH($D1414&amp;"",부서매핑!$A$5:$A$504,0)),"미매핑"))</f>
        <v/>
      </c>
      <c r="K1414" s="63">
        <f>IF($A1414="","",IFERROR(INDEX(계정매핑!$C$5:$C$504,MATCH($F1414&amp;"",계정매핑!$A$5:$A$504,0)),"미매핑"))</f>
        <v/>
      </c>
      <c r="L1414" s="4">
        <f>IF($A1414="","",VALUE($A1414&amp;""))</f>
        <v/>
      </c>
      <c r="M1414" s="4">
        <f>IF($A1414="","",VALUE($B1414&amp;""))</f>
        <v/>
      </c>
      <c r="N1414" s="64">
        <f>IF($A1414="","",$H1414*설정!$C$15)</f>
        <v/>
      </c>
      <c r="O1414" s="4">
        <f>IF($A1414="","",J1414&amp;"|"&amp;K1414)</f>
        <v/>
      </c>
      <c r="P1414" s="63">
        <f>IF($A1414="","",IF(COUNTIFS(예산_원본!$T$5:$T$3004,O1414,예산_원본!$B$5:$B$3004,설정!$C$8,예산_원본!$U$5:$U$3004,L1414)&gt;0,"Y","N"))</f>
        <v/>
      </c>
      <c r="Q1414" s="63">
        <f>IF($A1414="","",IF(COUNTIF(집계!$E$7:$E$506,O1414)&gt;0,"Y","N"))</f>
        <v/>
      </c>
    </row>
    <row r="1415">
      <c r="A1415" s="60" t="n">
        <v>2026</v>
      </c>
      <c r="B1415" s="60" t="n">
        <v>7</v>
      </c>
      <c r="C1415" s="60" t="inlineStr">
        <is>
          <t>1000</t>
        </is>
      </c>
      <c r="D1415" s="60" t="n">
        <v>1101</v>
      </c>
      <c r="E1415" s="60" t="inlineStr">
        <is>
          <t>경영기획</t>
        </is>
      </c>
      <c r="F1415" s="60" t="n">
        <v>62501000</v>
      </c>
      <c r="G1415" s="60" t="inlineStr">
        <is>
          <t>회의비</t>
        </is>
      </c>
      <c r="H1415" s="61" t="n">
        <v>884010</v>
      </c>
      <c r="J1415" s="63">
        <f>IF($A1415="","",IFERROR(INDEX(부서매핑!$C$5:$C$504,MATCH($D1415&amp;"",부서매핑!$A$5:$A$504,0)),"미매핑"))</f>
        <v/>
      </c>
      <c r="K1415" s="63">
        <f>IF($A1415="","",IFERROR(INDEX(계정매핑!$C$5:$C$504,MATCH($F1415&amp;"",계정매핑!$A$5:$A$504,0)),"미매핑"))</f>
        <v/>
      </c>
      <c r="L1415" s="4">
        <f>IF($A1415="","",VALUE($A1415&amp;""))</f>
        <v/>
      </c>
      <c r="M1415" s="4">
        <f>IF($A1415="","",VALUE($B1415&amp;""))</f>
        <v/>
      </c>
      <c r="N1415" s="64">
        <f>IF($A1415="","",$H1415*설정!$C$15)</f>
        <v/>
      </c>
      <c r="O1415" s="4">
        <f>IF($A1415="","",J1415&amp;"|"&amp;K1415)</f>
        <v/>
      </c>
      <c r="P1415" s="63">
        <f>IF($A1415="","",IF(COUNTIFS(예산_원본!$T$5:$T$3004,O1415,예산_원본!$B$5:$B$3004,설정!$C$8,예산_원본!$U$5:$U$3004,L1415)&gt;0,"Y","N"))</f>
        <v/>
      </c>
      <c r="Q1415" s="63">
        <f>IF($A1415="","",IF(COUNTIF(집계!$E$7:$E$506,O1415)&gt;0,"Y","N"))</f>
        <v/>
      </c>
    </row>
    <row r="1416">
      <c r="A1416" s="60" t="n">
        <v>2026</v>
      </c>
      <c r="B1416" s="60" t="n">
        <v>7</v>
      </c>
      <c r="C1416" s="60" t="inlineStr">
        <is>
          <t>1000</t>
        </is>
      </c>
      <c r="D1416" s="60" t="n">
        <v>1101</v>
      </c>
      <c r="E1416" s="60" t="inlineStr">
        <is>
          <t>경영기획</t>
        </is>
      </c>
      <c r="F1416" s="60" t="n">
        <v>62601000</v>
      </c>
      <c r="G1416" s="60" t="inlineStr">
        <is>
          <t>업무추진비</t>
        </is>
      </c>
      <c r="H1416" s="61" t="n">
        <v>3395360</v>
      </c>
      <c r="J1416" s="63">
        <f>IF($A1416="","",IFERROR(INDEX(부서매핑!$C$5:$C$504,MATCH($D1416&amp;"",부서매핑!$A$5:$A$504,0)),"미매핑"))</f>
        <v/>
      </c>
      <c r="K1416" s="63">
        <f>IF($A1416="","",IFERROR(INDEX(계정매핑!$C$5:$C$504,MATCH($F1416&amp;"",계정매핑!$A$5:$A$504,0)),"미매핑"))</f>
        <v/>
      </c>
      <c r="L1416" s="4">
        <f>IF($A1416="","",VALUE($A1416&amp;""))</f>
        <v/>
      </c>
      <c r="M1416" s="4">
        <f>IF($A1416="","",VALUE($B1416&amp;""))</f>
        <v/>
      </c>
      <c r="N1416" s="64">
        <f>IF($A1416="","",$H1416*설정!$C$15)</f>
        <v/>
      </c>
      <c r="O1416" s="4">
        <f>IF($A1416="","",J1416&amp;"|"&amp;K1416)</f>
        <v/>
      </c>
      <c r="P1416" s="63">
        <f>IF($A1416="","",IF(COUNTIFS(예산_원본!$T$5:$T$3004,O1416,예산_원본!$B$5:$B$3004,설정!$C$8,예산_원본!$U$5:$U$3004,L1416)&gt;0,"Y","N"))</f>
        <v/>
      </c>
      <c r="Q1416" s="63">
        <f>IF($A1416="","",IF(COUNTIF(집계!$E$7:$E$506,O1416)&gt;0,"Y","N"))</f>
        <v/>
      </c>
    </row>
    <row r="1417">
      <c r="A1417" s="60" t="n">
        <v>2026</v>
      </c>
      <c r="B1417" s="60" t="n">
        <v>7</v>
      </c>
      <c r="C1417" s="60" t="inlineStr">
        <is>
          <t>1000</t>
        </is>
      </c>
      <c r="D1417" s="60" t="n">
        <v>1101</v>
      </c>
      <c r="E1417" s="60" t="inlineStr">
        <is>
          <t>경영기획</t>
        </is>
      </c>
      <c r="F1417" s="60" t="n">
        <v>62901000</v>
      </c>
      <c r="G1417" s="60" t="inlineStr">
        <is>
          <t>지급수수료-컨설팅</t>
        </is>
      </c>
      <c r="H1417" s="61" t="n">
        <v>15110370</v>
      </c>
      <c r="J1417" s="63">
        <f>IF($A1417="","",IFERROR(INDEX(부서매핑!$C$5:$C$504,MATCH($D1417&amp;"",부서매핑!$A$5:$A$504,0)),"미매핑"))</f>
        <v/>
      </c>
      <c r="K1417" s="63">
        <f>IF($A1417="","",IFERROR(INDEX(계정매핑!$C$5:$C$504,MATCH($F1417&amp;"",계정매핑!$A$5:$A$504,0)),"미매핑"))</f>
        <v/>
      </c>
      <c r="L1417" s="4">
        <f>IF($A1417="","",VALUE($A1417&amp;""))</f>
        <v/>
      </c>
      <c r="M1417" s="4">
        <f>IF($A1417="","",VALUE($B1417&amp;""))</f>
        <v/>
      </c>
      <c r="N1417" s="64">
        <f>IF($A1417="","",$H1417*설정!$C$15)</f>
        <v/>
      </c>
      <c r="O1417" s="4">
        <f>IF($A1417="","",J1417&amp;"|"&amp;K1417)</f>
        <v/>
      </c>
      <c r="P1417" s="63">
        <f>IF($A1417="","",IF(COUNTIFS(예산_원본!$T$5:$T$3004,O1417,예산_원본!$B$5:$B$3004,설정!$C$8,예산_원본!$U$5:$U$3004,L1417)&gt;0,"Y","N"))</f>
        <v/>
      </c>
      <c r="Q1417" s="63">
        <f>IF($A1417="","",IF(COUNTIF(집계!$E$7:$E$506,O1417)&gt;0,"Y","N"))</f>
        <v/>
      </c>
    </row>
    <row r="1418">
      <c r="A1418" s="60" t="n">
        <v>2026</v>
      </c>
      <c r="B1418" s="60" t="n">
        <v>7</v>
      </c>
      <c r="C1418" s="60" t="inlineStr">
        <is>
          <t>1000</t>
        </is>
      </c>
      <c r="D1418" s="60" t="n">
        <v>1101</v>
      </c>
      <c r="E1418" s="60" t="inlineStr">
        <is>
          <t>경영기획</t>
        </is>
      </c>
      <c r="F1418" s="60" t="n">
        <v>62902000</v>
      </c>
      <c r="G1418" s="60" t="inlineStr">
        <is>
          <t>지급수수료-기타</t>
        </is>
      </c>
      <c r="H1418" s="61" t="n">
        <v>6614470</v>
      </c>
      <c r="J1418" s="63">
        <f>IF($A1418="","",IFERROR(INDEX(부서매핑!$C$5:$C$504,MATCH($D1418&amp;"",부서매핑!$A$5:$A$504,0)),"미매핑"))</f>
        <v/>
      </c>
      <c r="K1418" s="63">
        <f>IF($A1418="","",IFERROR(INDEX(계정매핑!$C$5:$C$504,MATCH($F1418&amp;"",계정매핑!$A$5:$A$504,0)),"미매핑"))</f>
        <v/>
      </c>
      <c r="L1418" s="4">
        <f>IF($A1418="","",VALUE($A1418&amp;""))</f>
        <v/>
      </c>
      <c r="M1418" s="4">
        <f>IF($A1418="","",VALUE($B1418&amp;""))</f>
        <v/>
      </c>
      <c r="N1418" s="64">
        <f>IF($A1418="","",$H1418*설정!$C$15)</f>
        <v/>
      </c>
      <c r="O1418" s="4">
        <f>IF($A1418="","",J1418&amp;"|"&amp;K1418)</f>
        <v/>
      </c>
      <c r="P1418" s="63">
        <f>IF($A1418="","",IF(COUNTIFS(예산_원본!$T$5:$T$3004,O1418,예산_원본!$B$5:$B$3004,설정!$C$8,예산_원본!$U$5:$U$3004,L1418)&gt;0,"Y","N"))</f>
        <v/>
      </c>
      <c r="Q1418" s="63">
        <f>IF($A1418="","",IF(COUNTIF(집계!$E$7:$E$506,O1418)&gt;0,"Y","N"))</f>
        <v/>
      </c>
    </row>
    <row r="1419">
      <c r="A1419" s="60" t="n">
        <v>2026</v>
      </c>
      <c r="B1419" s="60" t="n">
        <v>7</v>
      </c>
      <c r="C1419" s="60" t="inlineStr">
        <is>
          <t>1000</t>
        </is>
      </c>
      <c r="D1419" s="60" t="n">
        <v>1201</v>
      </c>
      <c r="E1419" s="60" t="inlineStr">
        <is>
          <t>재무회계</t>
        </is>
      </c>
      <c r="F1419" s="60" t="n">
        <v>62101000</v>
      </c>
      <c r="G1419" s="60" t="inlineStr">
        <is>
          <t>여비교통비-국내</t>
        </is>
      </c>
      <c r="H1419" s="61" t="n">
        <v>1159540</v>
      </c>
      <c r="J1419" s="63">
        <f>IF($A1419="","",IFERROR(INDEX(부서매핑!$C$5:$C$504,MATCH($D1419&amp;"",부서매핑!$A$5:$A$504,0)),"미매핑"))</f>
        <v/>
      </c>
      <c r="K1419" s="63">
        <f>IF($A1419="","",IFERROR(INDEX(계정매핑!$C$5:$C$504,MATCH($F1419&amp;"",계정매핑!$A$5:$A$504,0)),"미매핑"))</f>
        <v/>
      </c>
      <c r="L1419" s="4">
        <f>IF($A1419="","",VALUE($A1419&amp;""))</f>
        <v/>
      </c>
      <c r="M1419" s="4">
        <f>IF($A1419="","",VALUE($B1419&amp;""))</f>
        <v/>
      </c>
      <c r="N1419" s="64">
        <f>IF($A1419="","",$H1419*설정!$C$15)</f>
        <v/>
      </c>
      <c r="O1419" s="4">
        <f>IF($A1419="","",J1419&amp;"|"&amp;K1419)</f>
        <v/>
      </c>
      <c r="P1419" s="63">
        <f>IF($A1419="","",IF(COUNTIFS(예산_원본!$T$5:$T$3004,O1419,예산_원본!$B$5:$B$3004,설정!$C$8,예산_원본!$U$5:$U$3004,L1419)&gt;0,"Y","N"))</f>
        <v/>
      </c>
      <c r="Q1419" s="63">
        <f>IF($A1419="","",IF(COUNTIF(집계!$E$7:$E$506,O1419)&gt;0,"Y","N"))</f>
        <v/>
      </c>
    </row>
    <row r="1420">
      <c r="A1420" s="60" t="n">
        <v>2026</v>
      </c>
      <c r="B1420" s="60" t="n">
        <v>7</v>
      </c>
      <c r="C1420" s="60" t="inlineStr">
        <is>
          <t>1000</t>
        </is>
      </c>
      <c r="D1420" s="60" t="n">
        <v>1201</v>
      </c>
      <c r="E1420" s="60" t="inlineStr">
        <is>
          <t>재무회계</t>
        </is>
      </c>
      <c r="F1420" s="60" t="n">
        <v>62102000</v>
      </c>
      <c r="G1420" s="60" t="inlineStr">
        <is>
          <t>여비교통비-해외</t>
        </is>
      </c>
      <c r="H1420" s="61" t="n">
        <v>199050</v>
      </c>
      <c r="J1420" s="63">
        <f>IF($A1420="","",IFERROR(INDEX(부서매핑!$C$5:$C$504,MATCH($D1420&amp;"",부서매핑!$A$5:$A$504,0)),"미매핑"))</f>
        <v/>
      </c>
      <c r="K1420" s="63">
        <f>IF($A1420="","",IFERROR(INDEX(계정매핑!$C$5:$C$504,MATCH($F1420&amp;"",계정매핑!$A$5:$A$504,0)),"미매핑"))</f>
        <v/>
      </c>
      <c r="L1420" s="4">
        <f>IF($A1420="","",VALUE($A1420&amp;""))</f>
        <v/>
      </c>
      <c r="M1420" s="4">
        <f>IF($A1420="","",VALUE($B1420&amp;""))</f>
        <v/>
      </c>
      <c r="N1420" s="64">
        <f>IF($A1420="","",$H1420*설정!$C$15)</f>
        <v/>
      </c>
      <c r="O1420" s="4">
        <f>IF($A1420="","",J1420&amp;"|"&amp;K1420)</f>
        <v/>
      </c>
      <c r="P1420" s="63">
        <f>IF($A1420="","",IF(COUNTIFS(예산_원본!$T$5:$T$3004,O1420,예산_원본!$B$5:$B$3004,설정!$C$8,예산_원본!$U$5:$U$3004,L1420)&gt;0,"Y","N"))</f>
        <v/>
      </c>
      <c r="Q1420" s="63">
        <f>IF($A1420="","",IF(COUNTIF(집계!$E$7:$E$506,O1420)&gt;0,"Y","N"))</f>
        <v/>
      </c>
    </row>
    <row r="1421">
      <c r="A1421" s="60" t="n">
        <v>2026</v>
      </c>
      <c r="B1421" s="60" t="n">
        <v>7</v>
      </c>
      <c r="C1421" s="60" t="inlineStr">
        <is>
          <t>1000</t>
        </is>
      </c>
      <c r="D1421" s="60" t="n">
        <v>1201</v>
      </c>
      <c r="E1421" s="60" t="inlineStr">
        <is>
          <t>재무회계</t>
        </is>
      </c>
      <c r="F1421" s="60" t="n">
        <v>62201000</v>
      </c>
      <c r="G1421" s="60" t="inlineStr">
        <is>
          <t>통신비</t>
        </is>
      </c>
      <c r="H1421" s="61" t="n">
        <v>508930</v>
      </c>
      <c r="J1421" s="63">
        <f>IF($A1421="","",IFERROR(INDEX(부서매핑!$C$5:$C$504,MATCH($D1421&amp;"",부서매핑!$A$5:$A$504,0)),"미매핑"))</f>
        <v/>
      </c>
      <c r="K1421" s="63">
        <f>IF($A1421="","",IFERROR(INDEX(계정매핑!$C$5:$C$504,MATCH($F1421&amp;"",계정매핑!$A$5:$A$504,0)),"미매핑"))</f>
        <v/>
      </c>
      <c r="L1421" s="4">
        <f>IF($A1421="","",VALUE($A1421&amp;""))</f>
        <v/>
      </c>
      <c r="M1421" s="4">
        <f>IF($A1421="","",VALUE($B1421&amp;""))</f>
        <v/>
      </c>
      <c r="N1421" s="64">
        <f>IF($A1421="","",$H1421*설정!$C$15)</f>
        <v/>
      </c>
      <c r="O1421" s="4">
        <f>IF($A1421="","",J1421&amp;"|"&amp;K1421)</f>
        <v/>
      </c>
      <c r="P1421" s="63">
        <f>IF($A1421="","",IF(COUNTIFS(예산_원본!$T$5:$T$3004,O1421,예산_원본!$B$5:$B$3004,설정!$C$8,예산_원본!$U$5:$U$3004,L1421)&gt;0,"Y","N"))</f>
        <v/>
      </c>
      <c r="Q1421" s="63">
        <f>IF($A1421="","",IF(COUNTIF(집계!$E$7:$E$506,O1421)&gt;0,"Y","N"))</f>
        <v/>
      </c>
    </row>
    <row r="1422">
      <c r="A1422" s="60" t="n">
        <v>2026</v>
      </c>
      <c r="B1422" s="60" t="n">
        <v>7</v>
      </c>
      <c r="C1422" s="60" t="inlineStr">
        <is>
          <t>1000</t>
        </is>
      </c>
      <c r="D1422" s="60" t="n">
        <v>1201</v>
      </c>
      <c r="E1422" s="60" t="inlineStr">
        <is>
          <t>재무회계</t>
        </is>
      </c>
      <c r="F1422" s="60" t="n">
        <v>62301000</v>
      </c>
      <c r="G1422" s="60" t="inlineStr">
        <is>
          <t>소모품비</t>
        </is>
      </c>
      <c r="H1422" s="61" t="n">
        <v>624800</v>
      </c>
      <c r="J1422" s="63">
        <f>IF($A1422="","",IFERROR(INDEX(부서매핑!$C$5:$C$504,MATCH($D1422&amp;"",부서매핑!$A$5:$A$504,0)),"미매핑"))</f>
        <v/>
      </c>
      <c r="K1422" s="63">
        <f>IF($A1422="","",IFERROR(INDEX(계정매핑!$C$5:$C$504,MATCH($F1422&amp;"",계정매핑!$A$5:$A$504,0)),"미매핑"))</f>
        <v/>
      </c>
      <c r="L1422" s="4">
        <f>IF($A1422="","",VALUE($A1422&amp;""))</f>
        <v/>
      </c>
      <c r="M1422" s="4">
        <f>IF($A1422="","",VALUE($B1422&amp;""))</f>
        <v/>
      </c>
      <c r="N1422" s="64">
        <f>IF($A1422="","",$H1422*설정!$C$15)</f>
        <v/>
      </c>
      <c r="O1422" s="4">
        <f>IF($A1422="","",J1422&amp;"|"&amp;K1422)</f>
        <v/>
      </c>
      <c r="P1422" s="63">
        <f>IF($A1422="","",IF(COUNTIFS(예산_원본!$T$5:$T$3004,O1422,예산_원본!$B$5:$B$3004,설정!$C$8,예산_원본!$U$5:$U$3004,L1422)&gt;0,"Y","N"))</f>
        <v/>
      </c>
      <c r="Q1422" s="63">
        <f>IF($A1422="","",IF(COUNTIF(집계!$E$7:$E$506,O1422)&gt;0,"Y","N"))</f>
        <v/>
      </c>
    </row>
    <row r="1423">
      <c r="A1423" s="60" t="n">
        <v>2026</v>
      </c>
      <c r="B1423" s="60" t="n">
        <v>7</v>
      </c>
      <c r="C1423" s="60" t="inlineStr">
        <is>
          <t>1000</t>
        </is>
      </c>
      <c r="D1423" s="60" t="n">
        <v>1201</v>
      </c>
      <c r="E1423" s="60" t="inlineStr">
        <is>
          <t>재무회계</t>
        </is>
      </c>
      <c r="F1423" s="60" t="n">
        <v>62501000</v>
      </c>
      <c r="G1423" s="60" t="inlineStr">
        <is>
          <t>회의비</t>
        </is>
      </c>
      <c r="H1423" s="61" t="n">
        <v>410960</v>
      </c>
      <c r="J1423" s="63">
        <f>IF($A1423="","",IFERROR(INDEX(부서매핑!$C$5:$C$504,MATCH($D1423&amp;"",부서매핑!$A$5:$A$504,0)),"미매핑"))</f>
        <v/>
      </c>
      <c r="K1423" s="63">
        <f>IF($A1423="","",IFERROR(INDEX(계정매핑!$C$5:$C$504,MATCH($F1423&amp;"",계정매핑!$A$5:$A$504,0)),"미매핑"))</f>
        <v/>
      </c>
      <c r="L1423" s="4">
        <f>IF($A1423="","",VALUE($A1423&amp;""))</f>
        <v/>
      </c>
      <c r="M1423" s="4">
        <f>IF($A1423="","",VALUE($B1423&amp;""))</f>
        <v/>
      </c>
      <c r="N1423" s="64">
        <f>IF($A1423="","",$H1423*설정!$C$15)</f>
        <v/>
      </c>
      <c r="O1423" s="4">
        <f>IF($A1423="","",J1423&amp;"|"&amp;K1423)</f>
        <v/>
      </c>
      <c r="P1423" s="63">
        <f>IF($A1423="","",IF(COUNTIFS(예산_원본!$T$5:$T$3004,O1423,예산_원본!$B$5:$B$3004,설정!$C$8,예산_원본!$U$5:$U$3004,L1423)&gt;0,"Y","N"))</f>
        <v/>
      </c>
      <c r="Q1423" s="63">
        <f>IF($A1423="","",IF(COUNTIF(집계!$E$7:$E$506,O1423)&gt;0,"Y","N"))</f>
        <v/>
      </c>
    </row>
    <row r="1424">
      <c r="A1424" s="60" t="n">
        <v>2026</v>
      </c>
      <c r="B1424" s="60" t="n">
        <v>7</v>
      </c>
      <c r="C1424" s="60" t="inlineStr">
        <is>
          <t>1000</t>
        </is>
      </c>
      <c r="D1424" s="60" t="n">
        <v>1201</v>
      </c>
      <c r="E1424" s="60" t="inlineStr">
        <is>
          <t>재무회계</t>
        </is>
      </c>
      <c r="F1424" s="60" t="n">
        <v>62901000</v>
      </c>
      <c r="G1424" s="60" t="inlineStr">
        <is>
          <t>지급수수료-컨설팅</t>
        </is>
      </c>
      <c r="H1424" s="61" t="n">
        <v>22773330</v>
      </c>
      <c r="J1424" s="63">
        <f>IF($A1424="","",IFERROR(INDEX(부서매핑!$C$5:$C$504,MATCH($D1424&amp;"",부서매핑!$A$5:$A$504,0)),"미매핑"))</f>
        <v/>
      </c>
      <c r="K1424" s="63">
        <f>IF($A1424="","",IFERROR(INDEX(계정매핑!$C$5:$C$504,MATCH($F1424&amp;"",계정매핑!$A$5:$A$504,0)),"미매핑"))</f>
        <v/>
      </c>
      <c r="L1424" s="4">
        <f>IF($A1424="","",VALUE($A1424&amp;""))</f>
        <v/>
      </c>
      <c r="M1424" s="4">
        <f>IF($A1424="","",VALUE($B1424&amp;""))</f>
        <v/>
      </c>
      <c r="N1424" s="64">
        <f>IF($A1424="","",$H1424*설정!$C$15)</f>
        <v/>
      </c>
      <c r="O1424" s="4">
        <f>IF($A1424="","",J1424&amp;"|"&amp;K1424)</f>
        <v/>
      </c>
      <c r="P1424" s="63">
        <f>IF($A1424="","",IF(COUNTIFS(예산_원본!$T$5:$T$3004,O1424,예산_원본!$B$5:$B$3004,설정!$C$8,예산_원본!$U$5:$U$3004,L1424)&gt;0,"Y","N"))</f>
        <v/>
      </c>
      <c r="Q1424" s="63">
        <f>IF($A1424="","",IF(COUNTIF(집계!$E$7:$E$506,O1424)&gt;0,"Y","N"))</f>
        <v/>
      </c>
    </row>
    <row r="1425">
      <c r="A1425" s="60" t="n">
        <v>2026</v>
      </c>
      <c r="B1425" s="60" t="n">
        <v>7</v>
      </c>
      <c r="C1425" s="60" t="inlineStr">
        <is>
          <t>1000</t>
        </is>
      </c>
      <c r="D1425" s="60" t="n">
        <v>1201</v>
      </c>
      <c r="E1425" s="60" t="inlineStr">
        <is>
          <t>재무회계</t>
        </is>
      </c>
      <c r="F1425" s="60" t="n">
        <v>62902000</v>
      </c>
      <c r="G1425" s="60" t="inlineStr">
        <is>
          <t>지급수수료-기타</t>
        </is>
      </c>
      <c r="H1425" s="61" t="n">
        <v>9895220</v>
      </c>
      <c r="J1425" s="63">
        <f>IF($A1425="","",IFERROR(INDEX(부서매핑!$C$5:$C$504,MATCH($D1425&amp;"",부서매핑!$A$5:$A$504,0)),"미매핑"))</f>
        <v/>
      </c>
      <c r="K1425" s="63">
        <f>IF($A1425="","",IFERROR(INDEX(계정매핑!$C$5:$C$504,MATCH($F1425&amp;"",계정매핑!$A$5:$A$504,0)),"미매핑"))</f>
        <v/>
      </c>
      <c r="L1425" s="4">
        <f>IF($A1425="","",VALUE($A1425&amp;""))</f>
        <v/>
      </c>
      <c r="M1425" s="4">
        <f>IF($A1425="","",VALUE($B1425&amp;""))</f>
        <v/>
      </c>
      <c r="N1425" s="64">
        <f>IF($A1425="","",$H1425*설정!$C$15)</f>
        <v/>
      </c>
      <c r="O1425" s="4">
        <f>IF($A1425="","",J1425&amp;"|"&amp;K1425)</f>
        <v/>
      </c>
      <c r="P1425" s="63">
        <f>IF($A1425="","",IF(COUNTIFS(예산_원본!$T$5:$T$3004,O1425,예산_원본!$B$5:$B$3004,설정!$C$8,예산_원본!$U$5:$U$3004,L1425)&gt;0,"Y","N"))</f>
        <v/>
      </c>
      <c r="Q1425" s="63">
        <f>IF($A1425="","",IF(COUNTIF(집계!$E$7:$E$506,O1425)&gt;0,"Y","N"))</f>
        <v/>
      </c>
    </row>
    <row r="1426">
      <c r="A1426" s="60" t="n">
        <v>2026</v>
      </c>
      <c r="B1426" s="60" t="n">
        <v>7</v>
      </c>
      <c r="C1426" s="60" t="inlineStr">
        <is>
          <t>1000</t>
        </is>
      </c>
      <c r="D1426" s="60" t="n">
        <v>1301</v>
      </c>
      <c r="E1426" s="60" t="inlineStr">
        <is>
          <t>인사</t>
        </is>
      </c>
      <c r="F1426" s="60" t="n">
        <v>62101000</v>
      </c>
      <c r="G1426" s="60" t="inlineStr">
        <is>
          <t>여비교통비-국내</t>
        </is>
      </c>
      <c r="H1426" s="61" t="n">
        <v>1347360</v>
      </c>
      <c r="J1426" s="63">
        <f>IF($A1426="","",IFERROR(INDEX(부서매핑!$C$5:$C$504,MATCH($D1426&amp;"",부서매핑!$A$5:$A$504,0)),"미매핑"))</f>
        <v/>
      </c>
      <c r="K1426" s="63">
        <f>IF($A1426="","",IFERROR(INDEX(계정매핑!$C$5:$C$504,MATCH($F1426&amp;"",계정매핑!$A$5:$A$504,0)),"미매핑"))</f>
        <v/>
      </c>
      <c r="L1426" s="4">
        <f>IF($A1426="","",VALUE($A1426&amp;""))</f>
        <v/>
      </c>
      <c r="M1426" s="4">
        <f>IF($A1426="","",VALUE($B1426&amp;""))</f>
        <v/>
      </c>
      <c r="N1426" s="64">
        <f>IF($A1426="","",$H1426*설정!$C$15)</f>
        <v/>
      </c>
      <c r="O1426" s="4">
        <f>IF($A1426="","",J1426&amp;"|"&amp;K1426)</f>
        <v/>
      </c>
      <c r="P1426" s="63">
        <f>IF($A1426="","",IF(COUNTIFS(예산_원본!$T$5:$T$3004,O1426,예산_원본!$B$5:$B$3004,설정!$C$8,예산_원본!$U$5:$U$3004,L1426)&gt;0,"Y","N"))</f>
        <v/>
      </c>
      <c r="Q1426" s="63">
        <f>IF($A1426="","",IF(COUNTIF(집계!$E$7:$E$506,O1426)&gt;0,"Y","N"))</f>
        <v/>
      </c>
    </row>
    <row r="1427">
      <c r="A1427" s="60" t="n">
        <v>2026</v>
      </c>
      <c r="B1427" s="60" t="n">
        <v>7</v>
      </c>
      <c r="C1427" s="60" t="inlineStr">
        <is>
          <t>1000</t>
        </is>
      </c>
      <c r="D1427" s="60" t="n">
        <v>1301</v>
      </c>
      <c r="E1427" s="60" t="inlineStr">
        <is>
          <t>인사</t>
        </is>
      </c>
      <c r="F1427" s="60" t="n">
        <v>62102000</v>
      </c>
      <c r="G1427" s="60" t="inlineStr">
        <is>
          <t>여비교통비-해외</t>
        </is>
      </c>
      <c r="H1427" s="61" t="n">
        <v>272120</v>
      </c>
      <c r="J1427" s="63">
        <f>IF($A1427="","",IFERROR(INDEX(부서매핑!$C$5:$C$504,MATCH($D1427&amp;"",부서매핑!$A$5:$A$504,0)),"미매핑"))</f>
        <v/>
      </c>
      <c r="K1427" s="63">
        <f>IF($A1427="","",IFERROR(INDEX(계정매핑!$C$5:$C$504,MATCH($F1427&amp;"",계정매핑!$A$5:$A$504,0)),"미매핑"))</f>
        <v/>
      </c>
      <c r="L1427" s="4">
        <f>IF($A1427="","",VALUE($A1427&amp;""))</f>
        <v/>
      </c>
      <c r="M1427" s="4">
        <f>IF($A1427="","",VALUE($B1427&amp;""))</f>
        <v/>
      </c>
      <c r="N1427" s="64">
        <f>IF($A1427="","",$H1427*설정!$C$15)</f>
        <v/>
      </c>
      <c r="O1427" s="4">
        <f>IF($A1427="","",J1427&amp;"|"&amp;K1427)</f>
        <v/>
      </c>
      <c r="P1427" s="63">
        <f>IF($A1427="","",IF(COUNTIFS(예산_원본!$T$5:$T$3004,O1427,예산_원본!$B$5:$B$3004,설정!$C$8,예산_원본!$U$5:$U$3004,L1427)&gt;0,"Y","N"))</f>
        <v/>
      </c>
      <c r="Q1427" s="63">
        <f>IF($A1427="","",IF(COUNTIF(집계!$E$7:$E$506,O1427)&gt;0,"Y","N"))</f>
        <v/>
      </c>
    </row>
    <row r="1428">
      <c r="A1428" s="60" t="n">
        <v>2026</v>
      </c>
      <c r="B1428" s="60" t="n">
        <v>7</v>
      </c>
      <c r="C1428" s="60" t="inlineStr">
        <is>
          <t>1000</t>
        </is>
      </c>
      <c r="D1428" s="60" t="n">
        <v>1301</v>
      </c>
      <c r="E1428" s="60" t="inlineStr">
        <is>
          <t>인사</t>
        </is>
      </c>
      <c r="F1428" s="60" t="n">
        <v>62201000</v>
      </c>
      <c r="G1428" s="60" t="inlineStr">
        <is>
          <t>통신비</t>
        </is>
      </c>
      <c r="H1428" s="61" t="n">
        <v>653270</v>
      </c>
      <c r="J1428" s="63">
        <f>IF($A1428="","",IFERROR(INDEX(부서매핑!$C$5:$C$504,MATCH($D1428&amp;"",부서매핑!$A$5:$A$504,0)),"미매핑"))</f>
        <v/>
      </c>
      <c r="K1428" s="63">
        <f>IF($A1428="","",IFERROR(INDEX(계정매핑!$C$5:$C$504,MATCH($F1428&amp;"",계정매핑!$A$5:$A$504,0)),"미매핑"))</f>
        <v/>
      </c>
      <c r="L1428" s="4">
        <f>IF($A1428="","",VALUE($A1428&amp;""))</f>
        <v/>
      </c>
      <c r="M1428" s="4">
        <f>IF($A1428="","",VALUE($B1428&amp;""))</f>
        <v/>
      </c>
      <c r="N1428" s="64">
        <f>IF($A1428="","",$H1428*설정!$C$15)</f>
        <v/>
      </c>
      <c r="O1428" s="4">
        <f>IF($A1428="","",J1428&amp;"|"&amp;K1428)</f>
        <v/>
      </c>
      <c r="P1428" s="63">
        <f>IF($A1428="","",IF(COUNTIFS(예산_원본!$T$5:$T$3004,O1428,예산_원본!$B$5:$B$3004,설정!$C$8,예산_원본!$U$5:$U$3004,L1428)&gt;0,"Y","N"))</f>
        <v/>
      </c>
      <c r="Q1428" s="63">
        <f>IF($A1428="","",IF(COUNTIF(집계!$E$7:$E$506,O1428)&gt;0,"Y","N"))</f>
        <v/>
      </c>
    </row>
    <row r="1429">
      <c r="A1429" s="60" t="n">
        <v>2026</v>
      </c>
      <c r="B1429" s="60" t="n">
        <v>7</v>
      </c>
      <c r="C1429" s="60" t="inlineStr">
        <is>
          <t>1000</t>
        </is>
      </c>
      <c r="D1429" s="60" t="n">
        <v>1301</v>
      </c>
      <c r="E1429" s="60" t="inlineStr">
        <is>
          <t>인사</t>
        </is>
      </c>
      <c r="F1429" s="60" t="n">
        <v>62301000</v>
      </c>
      <c r="G1429" s="60" t="inlineStr">
        <is>
          <t>소모품비</t>
        </is>
      </c>
      <c r="H1429" s="61" t="n">
        <v>864450</v>
      </c>
      <c r="J1429" s="63">
        <f>IF($A1429="","",IFERROR(INDEX(부서매핑!$C$5:$C$504,MATCH($D1429&amp;"",부서매핑!$A$5:$A$504,0)),"미매핑"))</f>
        <v/>
      </c>
      <c r="K1429" s="63">
        <f>IF($A1429="","",IFERROR(INDEX(계정매핑!$C$5:$C$504,MATCH($F1429&amp;"",계정매핑!$A$5:$A$504,0)),"미매핑"))</f>
        <v/>
      </c>
      <c r="L1429" s="4">
        <f>IF($A1429="","",VALUE($A1429&amp;""))</f>
        <v/>
      </c>
      <c r="M1429" s="4">
        <f>IF($A1429="","",VALUE($B1429&amp;""))</f>
        <v/>
      </c>
      <c r="N1429" s="64">
        <f>IF($A1429="","",$H1429*설정!$C$15)</f>
        <v/>
      </c>
      <c r="O1429" s="4">
        <f>IF($A1429="","",J1429&amp;"|"&amp;K1429)</f>
        <v/>
      </c>
      <c r="P1429" s="63">
        <f>IF($A1429="","",IF(COUNTIFS(예산_원본!$T$5:$T$3004,O1429,예산_원본!$B$5:$B$3004,설정!$C$8,예산_원본!$U$5:$U$3004,L1429)&gt;0,"Y","N"))</f>
        <v/>
      </c>
      <c r="Q1429" s="63">
        <f>IF($A1429="","",IF(COUNTIF(집계!$E$7:$E$506,O1429)&gt;0,"Y","N"))</f>
        <v/>
      </c>
    </row>
    <row r="1430">
      <c r="A1430" s="60" t="n">
        <v>2026</v>
      </c>
      <c r="B1430" s="60" t="n">
        <v>7</v>
      </c>
      <c r="C1430" s="60" t="inlineStr">
        <is>
          <t>1000</t>
        </is>
      </c>
      <c r="D1430" s="60" t="n">
        <v>1301</v>
      </c>
      <c r="E1430" s="60" t="inlineStr">
        <is>
          <t>인사</t>
        </is>
      </c>
      <c r="F1430" s="60" t="n">
        <v>62501000</v>
      </c>
      <c r="G1430" s="60" t="inlineStr">
        <is>
          <t>회의비</t>
        </is>
      </c>
      <c r="H1430" s="61" t="n">
        <v>866410</v>
      </c>
      <c r="J1430" s="63">
        <f>IF($A1430="","",IFERROR(INDEX(부서매핑!$C$5:$C$504,MATCH($D1430&amp;"",부서매핑!$A$5:$A$504,0)),"미매핑"))</f>
        <v/>
      </c>
      <c r="K1430" s="63">
        <f>IF($A1430="","",IFERROR(INDEX(계정매핑!$C$5:$C$504,MATCH($F1430&amp;"",계정매핑!$A$5:$A$504,0)),"미매핑"))</f>
        <v/>
      </c>
      <c r="L1430" s="4">
        <f>IF($A1430="","",VALUE($A1430&amp;""))</f>
        <v/>
      </c>
      <c r="M1430" s="4">
        <f>IF($A1430="","",VALUE($B1430&amp;""))</f>
        <v/>
      </c>
      <c r="N1430" s="64">
        <f>IF($A1430="","",$H1430*설정!$C$15)</f>
        <v/>
      </c>
      <c r="O1430" s="4">
        <f>IF($A1430="","",J1430&amp;"|"&amp;K1430)</f>
        <v/>
      </c>
      <c r="P1430" s="63">
        <f>IF($A1430="","",IF(COUNTIFS(예산_원본!$T$5:$T$3004,O1430,예산_원본!$B$5:$B$3004,설정!$C$8,예산_원본!$U$5:$U$3004,L1430)&gt;0,"Y","N"))</f>
        <v/>
      </c>
      <c r="Q1430" s="63">
        <f>IF($A1430="","",IF(COUNTIF(집계!$E$7:$E$506,O1430)&gt;0,"Y","N"))</f>
        <v/>
      </c>
    </row>
    <row r="1431">
      <c r="A1431" s="60" t="n">
        <v>2026</v>
      </c>
      <c r="B1431" s="60" t="n">
        <v>7</v>
      </c>
      <c r="C1431" s="60" t="inlineStr">
        <is>
          <t>1000</t>
        </is>
      </c>
      <c r="D1431" s="60" t="n">
        <v>1301</v>
      </c>
      <c r="E1431" s="60" t="inlineStr">
        <is>
          <t>인사</t>
        </is>
      </c>
      <c r="F1431" s="60" t="n">
        <v>62601000</v>
      </c>
      <c r="G1431" s="60" t="inlineStr">
        <is>
          <t>업무추진비</t>
        </is>
      </c>
      <c r="H1431" s="61" t="n">
        <v>1848670</v>
      </c>
      <c r="J1431" s="63">
        <f>IF($A1431="","",IFERROR(INDEX(부서매핑!$C$5:$C$504,MATCH($D1431&amp;"",부서매핑!$A$5:$A$504,0)),"미매핑"))</f>
        <v/>
      </c>
      <c r="K1431" s="63">
        <f>IF($A1431="","",IFERROR(INDEX(계정매핑!$C$5:$C$504,MATCH($F1431&amp;"",계정매핑!$A$5:$A$504,0)),"미매핑"))</f>
        <v/>
      </c>
      <c r="L1431" s="4">
        <f>IF($A1431="","",VALUE($A1431&amp;""))</f>
        <v/>
      </c>
      <c r="M1431" s="4">
        <f>IF($A1431="","",VALUE($B1431&amp;""))</f>
        <v/>
      </c>
      <c r="N1431" s="64">
        <f>IF($A1431="","",$H1431*설정!$C$15)</f>
        <v/>
      </c>
      <c r="O1431" s="4">
        <f>IF($A1431="","",J1431&amp;"|"&amp;K1431)</f>
        <v/>
      </c>
      <c r="P1431" s="63">
        <f>IF($A1431="","",IF(COUNTIFS(예산_원본!$T$5:$T$3004,O1431,예산_원본!$B$5:$B$3004,설정!$C$8,예산_원본!$U$5:$U$3004,L1431)&gt;0,"Y","N"))</f>
        <v/>
      </c>
      <c r="Q1431" s="63">
        <f>IF($A1431="","",IF(COUNTIF(집계!$E$7:$E$506,O1431)&gt;0,"Y","N"))</f>
        <v/>
      </c>
    </row>
    <row r="1432">
      <c r="A1432" s="60" t="n">
        <v>2026</v>
      </c>
      <c r="B1432" s="60" t="n">
        <v>7</v>
      </c>
      <c r="C1432" s="60" t="inlineStr">
        <is>
          <t>1000</t>
        </is>
      </c>
      <c r="D1432" s="60" t="n">
        <v>1301</v>
      </c>
      <c r="E1432" s="60" t="inlineStr">
        <is>
          <t>인사</t>
        </is>
      </c>
      <c r="F1432" s="60" t="n">
        <v>62801000</v>
      </c>
      <c r="G1432" s="60" t="inlineStr">
        <is>
          <t>교육훈련비-사내</t>
        </is>
      </c>
      <c r="H1432" s="61" t="n">
        <v>5579740</v>
      </c>
      <c r="J1432" s="63">
        <f>IF($A1432="","",IFERROR(INDEX(부서매핑!$C$5:$C$504,MATCH($D1432&amp;"",부서매핑!$A$5:$A$504,0)),"미매핑"))</f>
        <v/>
      </c>
      <c r="K1432" s="63">
        <f>IF($A1432="","",IFERROR(INDEX(계정매핑!$C$5:$C$504,MATCH($F1432&amp;"",계정매핑!$A$5:$A$504,0)),"미매핑"))</f>
        <v/>
      </c>
      <c r="L1432" s="4">
        <f>IF($A1432="","",VALUE($A1432&amp;""))</f>
        <v/>
      </c>
      <c r="M1432" s="4">
        <f>IF($A1432="","",VALUE($B1432&amp;""))</f>
        <v/>
      </c>
      <c r="N1432" s="64">
        <f>IF($A1432="","",$H1432*설정!$C$15)</f>
        <v/>
      </c>
      <c r="O1432" s="4">
        <f>IF($A1432="","",J1432&amp;"|"&amp;K1432)</f>
        <v/>
      </c>
      <c r="P1432" s="63">
        <f>IF($A1432="","",IF(COUNTIFS(예산_원본!$T$5:$T$3004,O1432,예산_원본!$B$5:$B$3004,설정!$C$8,예산_원본!$U$5:$U$3004,L1432)&gt;0,"Y","N"))</f>
        <v/>
      </c>
      <c r="Q1432" s="63">
        <f>IF($A1432="","",IF(COUNTIF(집계!$E$7:$E$506,O1432)&gt;0,"Y","N"))</f>
        <v/>
      </c>
    </row>
    <row r="1433">
      <c r="A1433" s="60" t="n">
        <v>2026</v>
      </c>
      <c r="B1433" s="60" t="n">
        <v>7</v>
      </c>
      <c r="C1433" s="60" t="inlineStr">
        <is>
          <t>1000</t>
        </is>
      </c>
      <c r="D1433" s="60" t="n">
        <v>1301</v>
      </c>
      <c r="E1433" s="60" t="inlineStr">
        <is>
          <t>인사</t>
        </is>
      </c>
      <c r="F1433" s="60" t="n">
        <v>62802000</v>
      </c>
      <c r="G1433" s="60" t="inlineStr">
        <is>
          <t>교육훈련비-외부위탁</t>
        </is>
      </c>
      <c r="H1433" s="61" t="n">
        <v>9280130</v>
      </c>
      <c r="J1433" s="63">
        <f>IF($A1433="","",IFERROR(INDEX(부서매핑!$C$5:$C$504,MATCH($D1433&amp;"",부서매핑!$A$5:$A$504,0)),"미매핑"))</f>
        <v/>
      </c>
      <c r="K1433" s="63">
        <f>IF($A1433="","",IFERROR(INDEX(계정매핑!$C$5:$C$504,MATCH($F1433&amp;"",계정매핑!$A$5:$A$504,0)),"미매핑"))</f>
        <v/>
      </c>
      <c r="L1433" s="4">
        <f>IF($A1433="","",VALUE($A1433&amp;""))</f>
        <v/>
      </c>
      <c r="M1433" s="4">
        <f>IF($A1433="","",VALUE($B1433&amp;""))</f>
        <v/>
      </c>
      <c r="N1433" s="64">
        <f>IF($A1433="","",$H1433*설정!$C$15)</f>
        <v/>
      </c>
      <c r="O1433" s="4">
        <f>IF($A1433="","",J1433&amp;"|"&amp;K1433)</f>
        <v/>
      </c>
      <c r="P1433" s="63">
        <f>IF($A1433="","",IF(COUNTIFS(예산_원본!$T$5:$T$3004,O1433,예산_원본!$B$5:$B$3004,설정!$C$8,예산_원본!$U$5:$U$3004,L1433)&gt;0,"Y","N"))</f>
        <v/>
      </c>
      <c r="Q1433" s="63">
        <f>IF($A1433="","",IF(COUNTIF(집계!$E$7:$E$506,O1433)&gt;0,"Y","N"))</f>
        <v/>
      </c>
    </row>
    <row r="1434">
      <c r="A1434" s="60" t="n">
        <v>2026</v>
      </c>
      <c r="B1434" s="60" t="n">
        <v>7</v>
      </c>
      <c r="C1434" s="60" t="inlineStr">
        <is>
          <t>1000</t>
        </is>
      </c>
      <c r="D1434" s="60" t="n">
        <v>1401</v>
      </c>
      <c r="E1434" s="60" t="inlineStr">
        <is>
          <t>상품개발</t>
        </is>
      </c>
      <c r="F1434" s="60" t="n">
        <v>62101000</v>
      </c>
      <c r="G1434" s="60" t="inlineStr">
        <is>
          <t>여비교통비-국내</t>
        </is>
      </c>
      <c r="H1434" s="61" t="n">
        <v>1767470</v>
      </c>
      <c r="J1434" s="63">
        <f>IF($A1434="","",IFERROR(INDEX(부서매핑!$C$5:$C$504,MATCH($D1434&amp;"",부서매핑!$A$5:$A$504,0)),"미매핑"))</f>
        <v/>
      </c>
      <c r="K1434" s="63">
        <f>IF($A1434="","",IFERROR(INDEX(계정매핑!$C$5:$C$504,MATCH($F1434&amp;"",계정매핑!$A$5:$A$504,0)),"미매핑"))</f>
        <v/>
      </c>
      <c r="L1434" s="4">
        <f>IF($A1434="","",VALUE($A1434&amp;""))</f>
        <v/>
      </c>
      <c r="M1434" s="4">
        <f>IF($A1434="","",VALUE($B1434&amp;""))</f>
        <v/>
      </c>
      <c r="N1434" s="64">
        <f>IF($A1434="","",$H1434*설정!$C$15)</f>
        <v/>
      </c>
      <c r="O1434" s="4">
        <f>IF($A1434="","",J1434&amp;"|"&amp;K1434)</f>
        <v/>
      </c>
      <c r="P1434" s="63">
        <f>IF($A1434="","",IF(COUNTIFS(예산_원본!$T$5:$T$3004,O1434,예산_원본!$B$5:$B$3004,설정!$C$8,예산_원본!$U$5:$U$3004,L1434)&gt;0,"Y","N"))</f>
        <v/>
      </c>
      <c r="Q1434" s="63">
        <f>IF($A1434="","",IF(COUNTIF(집계!$E$7:$E$506,O1434)&gt;0,"Y","N"))</f>
        <v/>
      </c>
    </row>
    <row r="1435">
      <c r="A1435" s="60" t="n">
        <v>2026</v>
      </c>
      <c r="B1435" s="60" t="n">
        <v>7</v>
      </c>
      <c r="C1435" s="60" t="inlineStr">
        <is>
          <t>1000</t>
        </is>
      </c>
      <c r="D1435" s="60" t="n">
        <v>1401</v>
      </c>
      <c r="E1435" s="60" t="inlineStr">
        <is>
          <t>상품개발</t>
        </is>
      </c>
      <c r="F1435" s="60" t="n">
        <v>62102000</v>
      </c>
      <c r="G1435" s="60" t="inlineStr">
        <is>
          <t>여비교통비-해외</t>
        </is>
      </c>
      <c r="H1435" s="61" t="n">
        <v>331550</v>
      </c>
      <c r="J1435" s="63">
        <f>IF($A1435="","",IFERROR(INDEX(부서매핑!$C$5:$C$504,MATCH($D1435&amp;"",부서매핑!$A$5:$A$504,0)),"미매핑"))</f>
        <v/>
      </c>
      <c r="K1435" s="63">
        <f>IF($A1435="","",IFERROR(INDEX(계정매핑!$C$5:$C$504,MATCH($F1435&amp;"",계정매핑!$A$5:$A$504,0)),"미매핑"))</f>
        <v/>
      </c>
      <c r="L1435" s="4">
        <f>IF($A1435="","",VALUE($A1435&amp;""))</f>
        <v/>
      </c>
      <c r="M1435" s="4">
        <f>IF($A1435="","",VALUE($B1435&amp;""))</f>
        <v/>
      </c>
      <c r="N1435" s="64">
        <f>IF($A1435="","",$H1435*설정!$C$15)</f>
        <v/>
      </c>
      <c r="O1435" s="4">
        <f>IF($A1435="","",J1435&amp;"|"&amp;K1435)</f>
        <v/>
      </c>
      <c r="P1435" s="63">
        <f>IF($A1435="","",IF(COUNTIFS(예산_원본!$T$5:$T$3004,O1435,예산_원본!$B$5:$B$3004,설정!$C$8,예산_원본!$U$5:$U$3004,L1435)&gt;0,"Y","N"))</f>
        <v/>
      </c>
      <c r="Q1435" s="63">
        <f>IF($A1435="","",IF(COUNTIF(집계!$E$7:$E$506,O1435)&gt;0,"Y","N"))</f>
        <v/>
      </c>
    </row>
    <row r="1436">
      <c r="A1436" s="60" t="n">
        <v>2026</v>
      </c>
      <c r="B1436" s="60" t="n">
        <v>7</v>
      </c>
      <c r="C1436" s="60" t="inlineStr">
        <is>
          <t>1000</t>
        </is>
      </c>
      <c r="D1436" s="60" t="n">
        <v>1401</v>
      </c>
      <c r="E1436" s="60" t="inlineStr">
        <is>
          <t>상품개발</t>
        </is>
      </c>
      <c r="F1436" s="60" t="n">
        <v>62201000</v>
      </c>
      <c r="G1436" s="60" t="inlineStr">
        <is>
          <t>통신비</t>
        </is>
      </c>
      <c r="H1436" s="61" t="n">
        <v>580000</v>
      </c>
      <c r="J1436" s="63">
        <f>IF($A1436="","",IFERROR(INDEX(부서매핑!$C$5:$C$504,MATCH($D1436&amp;"",부서매핑!$A$5:$A$504,0)),"미매핑"))</f>
        <v/>
      </c>
      <c r="K1436" s="63">
        <f>IF($A1436="","",IFERROR(INDEX(계정매핑!$C$5:$C$504,MATCH($F1436&amp;"",계정매핑!$A$5:$A$504,0)),"미매핑"))</f>
        <v/>
      </c>
      <c r="L1436" s="4">
        <f>IF($A1436="","",VALUE($A1436&amp;""))</f>
        <v/>
      </c>
      <c r="M1436" s="4">
        <f>IF($A1436="","",VALUE($B1436&amp;""))</f>
        <v/>
      </c>
      <c r="N1436" s="64">
        <f>IF($A1436="","",$H1436*설정!$C$15)</f>
        <v/>
      </c>
      <c r="O1436" s="4">
        <f>IF($A1436="","",J1436&amp;"|"&amp;K1436)</f>
        <v/>
      </c>
      <c r="P1436" s="63">
        <f>IF($A1436="","",IF(COUNTIFS(예산_원본!$T$5:$T$3004,O1436,예산_원본!$B$5:$B$3004,설정!$C$8,예산_원본!$U$5:$U$3004,L1436)&gt;0,"Y","N"))</f>
        <v/>
      </c>
      <c r="Q1436" s="63">
        <f>IF($A1436="","",IF(COUNTIF(집계!$E$7:$E$506,O1436)&gt;0,"Y","N"))</f>
        <v/>
      </c>
    </row>
    <row r="1437">
      <c r="A1437" s="60" t="n">
        <v>2026</v>
      </c>
      <c r="B1437" s="60" t="n">
        <v>7</v>
      </c>
      <c r="C1437" s="60" t="inlineStr">
        <is>
          <t>1000</t>
        </is>
      </c>
      <c r="D1437" s="60" t="n">
        <v>1401</v>
      </c>
      <c r="E1437" s="60" t="inlineStr">
        <is>
          <t>상품개발</t>
        </is>
      </c>
      <c r="F1437" s="60" t="n">
        <v>62301000</v>
      </c>
      <c r="G1437" s="60" t="inlineStr">
        <is>
          <t>소모품비</t>
        </is>
      </c>
      <c r="H1437" s="61" t="n">
        <v>338790</v>
      </c>
      <c r="J1437" s="63">
        <f>IF($A1437="","",IFERROR(INDEX(부서매핑!$C$5:$C$504,MATCH($D1437&amp;"",부서매핑!$A$5:$A$504,0)),"미매핑"))</f>
        <v/>
      </c>
      <c r="K1437" s="63">
        <f>IF($A1437="","",IFERROR(INDEX(계정매핑!$C$5:$C$504,MATCH($F1437&amp;"",계정매핑!$A$5:$A$504,0)),"미매핑"))</f>
        <v/>
      </c>
      <c r="L1437" s="4">
        <f>IF($A1437="","",VALUE($A1437&amp;""))</f>
        <v/>
      </c>
      <c r="M1437" s="4">
        <f>IF($A1437="","",VALUE($B1437&amp;""))</f>
        <v/>
      </c>
      <c r="N1437" s="64">
        <f>IF($A1437="","",$H1437*설정!$C$15)</f>
        <v/>
      </c>
      <c r="O1437" s="4">
        <f>IF($A1437="","",J1437&amp;"|"&amp;K1437)</f>
        <v/>
      </c>
      <c r="P1437" s="63">
        <f>IF($A1437="","",IF(COUNTIFS(예산_원본!$T$5:$T$3004,O1437,예산_원본!$B$5:$B$3004,설정!$C$8,예산_원본!$U$5:$U$3004,L1437)&gt;0,"Y","N"))</f>
        <v/>
      </c>
      <c r="Q1437" s="63">
        <f>IF($A1437="","",IF(COUNTIF(집계!$E$7:$E$506,O1437)&gt;0,"Y","N"))</f>
        <v/>
      </c>
    </row>
    <row r="1438">
      <c r="A1438" s="60" t="n">
        <v>2026</v>
      </c>
      <c r="B1438" s="60" t="n">
        <v>7</v>
      </c>
      <c r="C1438" s="60" t="inlineStr">
        <is>
          <t>1000</t>
        </is>
      </c>
      <c r="D1438" s="60" t="n">
        <v>1401</v>
      </c>
      <c r="E1438" s="60" t="inlineStr">
        <is>
          <t>상품개발</t>
        </is>
      </c>
      <c r="F1438" s="60" t="n">
        <v>62401000</v>
      </c>
      <c r="G1438" s="60" t="inlineStr">
        <is>
          <t>도서인쇄비</t>
        </is>
      </c>
      <c r="H1438" s="61" t="n">
        <v>741850</v>
      </c>
      <c r="J1438" s="63">
        <f>IF($A1438="","",IFERROR(INDEX(부서매핑!$C$5:$C$504,MATCH($D1438&amp;"",부서매핑!$A$5:$A$504,0)),"미매핑"))</f>
        <v/>
      </c>
      <c r="K1438" s="63">
        <f>IF($A1438="","",IFERROR(INDEX(계정매핑!$C$5:$C$504,MATCH($F1438&amp;"",계정매핑!$A$5:$A$504,0)),"미매핑"))</f>
        <v/>
      </c>
      <c r="L1438" s="4">
        <f>IF($A1438="","",VALUE($A1438&amp;""))</f>
        <v/>
      </c>
      <c r="M1438" s="4">
        <f>IF($A1438="","",VALUE($B1438&amp;""))</f>
        <v/>
      </c>
      <c r="N1438" s="64">
        <f>IF($A1438="","",$H1438*설정!$C$15)</f>
        <v/>
      </c>
      <c r="O1438" s="4">
        <f>IF($A1438="","",J1438&amp;"|"&amp;K1438)</f>
        <v/>
      </c>
      <c r="P1438" s="63">
        <f>IF($A1438="","",IF(COUNTIFS(예산_원본!$T$5:$T$3004,O1438,예산_원본!$B$5:$B$3004,설정!$C$8,예산_원본!$U$5:$U$3004,L1438)&gt;0,"Y","N"))</f>
        <v/>
      </c>
      <c r="Q1438" s="63">
        <f>IF($A1438="","",IF(COUNTIF(집계!$E$7:$E$506,O1438)&gt;0,"Y","N"))</f>
        <v/>
      </c>
    </row>
    <row r="1439">
      <c r="A1439" s="60" t="n">
        <v>2026</v>
      </c>
      <c r="B1439" s="60" t="n">
        <v>7</v>
      </c>
      <c r="C1439" s="60" t="inlineStr">
        <is>
          <t>1000</t>
        </is>
      </c>
      <c r="D1439" s="60" t="n">
        <v>1401</v>
      </c>
      <c r="E1439" s="60" t="inlineStr">
        <is>
          <t>상품개발</t>
        </is>
      </c>
      <c r="F1439" s="60" t="n">
        <v>62501000</v>
      </c>
      <c r="G1439" s="60" t="inlineStr">
        <is>
          <t>회의비</t>
        </is>
      </c>
      <c r="H1439" s="61" t="n">
        <v>513810</v>
      </c>
      <c r="J1439" s="63">
        <f>IF($A1439="","",IFERROR(INDEX(부서매핑!$C$5:$C$504,MATCH($D1439&amp;"",부서매핑!$A$5:$A$504,0)),"미매핑"))</f>
        <v/>
      </c>
      <c r="K1439" s="63">
        <f>IF($A1439="","",IFERROR(INDEX(계정매핑!$C$5:$C$504,MATCH($F1439&amp;"",계정매핑!$A$5:$A$504,0)),"미매핑"))</f>
        <v/>
      </c>
      <c r="L1439" s="4">
        <f>IF($A1439="","",VALUE($A1439&amp;""))</f>
        <v/>
      </c>
      <c r="M1439" s="4">
        <f>IF($A1439="","",VALUE($B1439&amp;""))</f>
        <v/>
      </c>
      <c r="N1439" s="64">
        <f>IF($A1439="","",$H1439*설정!$C$15)</f>
        <v/>
      </c>
      <c r="O1439" s="4">
        <f>IF($A1439="","",J1439&amp;"|"&amp;K1439)</f>
        <v/>
      </c>
      <c r="P1439" s="63">
        <f>IF($A1439="","",IF(COUNTIFS(예산_원본!$T$5:$T$3004,O1439,예산_원본!$B$5:$B$3004,설정!$C$8,예산_원본!$U$5:$U$3004,L1439)&gt;0,"Y","N"))</f>
        <v/>
      </c>
      <c r="Q1439" s="63">
        <f>IF($A1439="","",IF(COUNTIF(집계!$E$7:$E$506,O1439)&gt;0,"Y","N"))</f>
        <v/>
      </c>
    </row>
    <row r="1440">
      <c r="A1440" s="60" t="n">
        <v>2026</v>
      </c>
      <c r="B1440" s="60" t="n">
        <v>7</v>
      </c>
      <c r="C1440" s="60" t="inlineStr">
        <is>
          <t>1000</t>
        </is>
      </c>
      <c r="D1440" s="60" t="n">
        <v>1401</v>
      </c>
      <c r="E1440" s="60" t="inlineStr">
        <is>
          <t>상품개발</t>
        </is>
      </c>
      <c r="F1440" s="60" t="n">
        <v>62901000</v>
      </c>
      <c r="G1440" s="60" t="inlineStr">
        <is>
          <t>지급수수료-컨설팅</t>
        </is>
      </c>
      <c r="H1440" s="61" t="n">
        <v>11021000</v>
      </c>
      <c r="J1440" s="63">
        <f>IF($A1440="","",IFERROR(INDEX(부서매핑!$C$5:$C$504,MATCH($D1440&amp;"",부서매핑!$A$5:$A$504,0)),"미매핑"))</f>
        <v/>
      </c>
      <c r="K1440" s="63">
        <f>IF($A1440="","",IFERROR(INDEX(계정매핑!$C$5:$C$504,MATCH($F1440&amp;"",계정매핑!$A$5:$A$504,0)),"미매핑"))</f>
        <v/>
      </c>
      <c r="L1440" s="4">
        <f>IF($A1440="","",VALUE($A1440&amp;""))</f>
        <v/>
      </c>
      <c r="M1440" s="4">
        <f>IF($A1440="","",VALUE($B1440&amp;""))</f>
        <v/>
      </c>
      <c r="N1440" s="64">
        <f>IF($A1440="","",$H1440*설정!$C$15)</f>
        <v/>
      </c>
      <c r="O1440" s="4">
        <f>IF($A1440="","",J1440&amp;"|"&amp;K1440)</f>
        <v/>
      </c>
      <c r="P1440" s="63">
        <f>IF($A1440="","",IF(COUNTIFS(예산_원본!$T$5:$T$3004,O1440,예산_원본!$B$5:$B$3004,설정!$C$8,예산_원본!$U$5:$U$3004,L1440)&gt;0,"Y","N"))</f>
        <v/>
      </c>
      <c r="Q1440" s="63">
        <f>IF($A1440="","",IF(COUNTIF(집계!$E$7:$E$506,O1440)&gt;0,"Y","N"))</f>
        <v/>
      </c>
    </row>
    <row r="1441">
      <c r="A1441" s="60" t="n">
        <v>2026</v>
      </c>
      <c r="B1441" s="60" t="n">
        <v>7</v>
      </c>
      <c r="C1441" s="60" t="inlineStr">
        <is>
          <t>1000</t>
        </is>
      </c>
      <c r="D1441" s="60" t="n">
        <v>1401</v>
      </c>
      <c r="E1441" s="60" t="inlineStr">
        <is>
          <t>상품개발</t>
        </is>
      </c>
      <c r="F1441" s="60" t="n">
        <v>62902000</v>
      </c>
      <c r="G1441" s="60" t="inlineStr">
        <is>
          <t>지급수수료-기타</t>
        </is>
      </c>
      <c r="H1441" s="61" t="n">
        <v>4998240</v>
      </c>
      <c r="J1441" s="63">
        <f>IF($A1441="","",IFERROR(INDEX(부서매핑!$C$5:$C$504,MATCH($D1441&amp;"",부서매핑!$A$5:$A$504,0)),"미매핑"))</f>
        <v/>
      </c>
      <c r="K1441" s="63">
        <f>IF($A1441="","",IFERROR(INDEX(계정매핑!$C$5:$C$504,MATCH($F1441&amp;"",계정매핑!$A$5:$A$504,0)),"미매핑"))</f>
        <v/>
      </c>
      <c r="L1441" s="4">
        <f>IF($A1441="","",VALUE($A1441&amp;""))</f>
        <v/>
      </c>
      <c r="M1441" s="4">
        <f>IF($A1441="","",VALUE($B1441&amp;""))</f>
        <v/>
      </c>
      <c r="N1441" s="64">
        <f>IF($A1441="","",$H1441*설정!$C$15)</f>
        <v/>
      </c>
      <c r="O1441" s="4">
        <f>IF($A1441="","",J1441&amp;"|"&amp;K1441)</f>
        <v/>
      </c>
      <c r="P1441" s="63">
        <f>IF($A1441="","",IF(COUNTIFS(예산_원본!$T$5:$T$3004,O1441,예산_원본!$B$5:$B$3004,설정!$C$8,예산_원본!$U$5:$U$3004,L1441)&gt;0,"Y","N"))</f>
        <v/>
      </c>
      <c r="Q1441" s="63">
        <f>IF($A1441="","",IF(COUNTIF(집계!$E$7:$E$506,O1441)&gt;0,"Y","N"))</f>
        <v/>
      </c>
    </row>
    <row r="1442">
      <c r="A1442" s="60" t="n">
        <v>2026</v>
      </c>
      <c r="B1442" s="60" t="n">
        <v>7</v>
      </c>
      <c r="C1442" s="60" t="inlineStr">
        <is>
          <t>1000</t>
        </is>
      </c>
      <c r="D1442" s="60" t="n">
        <v>1501</v>
      </c>
      <c r="E1442" s="60" t="inlineStr">
        <is>
          <t>마케팅전략</t>
        </is>
      </c>
      <c r="F1442" s="60" t="n">
        <v>62101000</v>
      </c>
      <c r="G1442" s="60" t="inlineStr">
        <is>
          <t>여비교통비-국내</t>
        </is>
      </c>
      <c r="H1442" s="61" t="n">
        <v>1464420</v>
      </c>
      <c r="J1442" s="63">
        <f>IF($A1442="","",IFERROR(INDEX(부서매핑!$C$5:$C$504,MATCH($D1442&amp;"",부서매핑!$A$5:$A$504,0)),"미매핑"))</f>
        <v/>
      </c>
      <c r="K1442" s="63">
        <f>IF($A1442="","",IFERROR(INDEX(계정매핑!$C$5:$C$504,MATCH($F1442&amp;"",계정매핑!$A$5:$A$504,0)),"미매핑"))</f>
        <v/>
      </c>
      <c r="L1442" s="4">
        <f>IF($A1442="","",VALUE($A1442&amp;""))</f>
        <v/>
      </c>
      <c r="M1442" s="4">
        <f>IF($A1442="","",VALUE($B1442&amp;""))</f>
        <v/>
      </c>
      <c r="N1442" s="64">
        <f>IF($A1442="","",$H1442*설정!$C$15)</f>
        <v/>
      </c>
      <c r="O1442" s="4">
        <f>IF($A1442="","",J1442&amp;"|"&amp;K1442)</f>
        <v/>
      </c>
      <c r="P1442" s="63">
        <f>IF($A1442="","",IF(COUNTIFS(예산_원본!$T$5:$T$3004,O1442,예산_원본!$B$5:$B$3004,설정!$C$8,예산_원본!$U$5:$U$3004,L1442)&gt;0,"Y","N"))</f>
        <v/>
      </c>
      <c r="Q1442" s="63">
        <f>IF($A1442="","",IF(COUNTIF(집계!$E$7:$E$506,O1442)&gt;0,"Y","N"))</f>
        <v/>
      </c>
    </row>
    <row r="1443">
      <c r="A1443" s="60" t="n">
        <v>2026</v>
      </c>
      <c r="B1443" s="60" t="n">
        <v>7</v>
      </c>
      <c r="C1443" s="60" t="inlineStr">
        <is>
          <t>1000</t>
        </is>
      </c>
      <c r="D1443" s="60" t="n">
        <v>1501</v>
      </c>
      <c r="E1443" s="60" t="inlineStr">
        <is>
          <t>마케팅전략</t>
        </is>
      </c>
      <c r="F1443" s="60" t="n">
        <v>62102000</v>
      </c>
      <c r="G1443" s="60" t="inlineStr">
        <is>
          <t>여비교통비-해외</t>
        </is>
      </c>
      <c r="H1443" s="61" t="n">
        <v>293040</v>
      </c>
      <c r="J1443" s="63">
        <f>IF($A1443="","",IFERROR(INDEX(부서매핑!$C$5:$C$504,MATCH($D1443&amp;"",부서매핑!$A$5:$A$504,0)),"미매핑"))</f>
        <v/>
      </c>
      <c r="K1443" s="63">
        <f>IF($A1443="","",IFERROR(INDEX(계정매핑!$C$5:$C$504,MATCH($F1443&amp;"",계정매핑!$A$5:$A$504,0)),"미매핑"))</f>
        <v/>
      </c>
      <c r="L1443" s="4">
        <f>IF($A1443="","",VALUE($A1443&amp;""))</f>
        <v/>
      </c>
      <c r="M1443" s="4">
        <f>IF($A1443="","",VALUE($B1443&amp;""))</f>
        <v/>
      </c>
      <c r="N1443" s="64">
        <f>IF($A1443="","",$H1443*설정!$C$15)</f>
        <v/>
      </c>
      <c r="O1443" s="4">
        <f>IF($A1443="","",J1443&amp;"|"&amp;K1443)</f>
        <v/>
      </c>
      <c r="P1443" s="63">
        <f>IF($A1443="","",IF(COUNTIFS(예산_원본!$T$5:$T$3004,O1443,예산_원본!$B$5:$B$3004,설정!$C$8,예산_원본!$U$5:$U$3004,L1443)&gt;0,"Y","N"))</f>
        <v/>
      </c>
      <c r="Q1443" s="63">
        <f>IF($A1443="","",IF(COUNTIF(집계!$E$7:$E$506,O1443)&gt;0,"Y","N"))</f>
        <v/>
      </c>
    </row>
    <row r="1444">
      <c r="A1444" s="60" t="n">
        <v>2026</v>
      </c>
      <c r="B1444" s="60" t="n">
        <v>7</v>
      </c>
      <c r="C1444" s="60" t="inlineStr">
        <is>
          <t>1000</t>
        </is>
      </c>
      <c r="D1444" s="60" t="n">
        <v>1501</v>
      </c>
      <c r="E1444" s="60" t="inlineStr">
        <is>
          <t>마케팅전략</t>
        </is>
      </c>
      <c r="F1444" s="60" t="n">
        <v>62201000</v>
      </c>
      <c r="G1444" s="60" t="inlineStr">
        <is>
          <t>통신비</t>
        </is>
      </c>
      <c r="H1444" s="61" t="n">
        <v>715140</v>
      </c>
      <c r="J1444" s="63">
        <f>IF($A1444="","",IFERROR(INDEX(부서매핑!$C$5:$C$504,MATCH($D1444&amp;"",부서매핑!$A$5:$A$504,0)),"미매핑"))</f>
        <v/>
      </c>
      <c r="K1444" s="63">
        <f>IF($A1444="","",IFERROR(INDEX(계정매핑!$C$5:$C$504,MATCH($F1444&amp;"",계정매핑!$A$5:$A$504,0)),"미매핑"))</f>
        <v/>
      </c>
      <c r="L1444" s="4">
        <f>IF($A1444="","",VALUE($A1444&amp;""))</f>
        <v/>
      </c>
      <c r="M1444" s="4">
        <f>IF($A1444="","",VALUE($B1444&amp;""))</f>
        <v/>
      </c>
      <c r="N1444" s="64">
        <f>IF($A1444="","",$H1444*설정!$C$15)</f>
        <v/>
      </c>
      <c r="O1444" s="4">
        <f>IF($A1444="","",J1444&amp;"|"&amp;K1444)</f>
        <v/>
      </c>
      <c r="P1444" s="63">
        <f>IF($A1444="","",IF(COUNTIFS(예산_원본!$T$5:$T$3004,O1444,예산_원본!$B$5:$B$3004,설정!$C$8,예산_원본!$U$5:$U$3004,L1444)&gt;0,"Y","N"))</f>
        <v/>
      </c>
      <c r="Q1444" s="63">
        <f>IF($A1444="","",IF(COUNTIF(집계!$E$7:$E$506,O1444)&gt;0,"Y","N"))</f>
        <v/>
      </c>
    </row>
    <row r="1445">
      <c r="A1445" s="60" t="n">
        <v>2026</v>
      </c>
      <c r="B1445" s="60" t="n">
        <v>7</v>
      </c>
      <c r="C1445" s="60" t="inlineStr">
        <is>
          <t>1000</t>
        </is>
      </c>
      <c r="D1445" s="60" t="n">
        <v>1501</v>
      </c>
      <c r="E1445" s="60" t="inlineStr">
        <is>
          <t>마케팅전략</t>
        </is>
      </c>
      <c r="F1445" s="60" t="n">
        <v>62301000</v>
      </c>
      <c r="G1445" s="60" t="inlineStr">
        <is>
          <t>소모품비</t>
        </is>
      </c>
      <c r="H1445" s="61" t="n">
        <v>411340</v>
      </c>
      <c r="J1445" s="63">
        <f>IF($A1445="","",IFERROR(INDEX(부서매핑!$C$5:$C$504,MATCH($D1445&amp;"",부서매핑!$A$5:$A$504,0)),"미매핑"))</f>
        <v/>
      </c>
      <c r="K1445" s="63">
        <f>IF($A1445="","",IFERROR(INDEX(계정매핑!$C$5:$C$504,MATCH($F1445&amp;"",계정매핑!$A$5:$A$504,0)),"미매핑"))</f>
        <v/>
      </c>
      <c r="L1445" s="4">
        <f>IF($A1445="","",VALUE($A1445&amp;""))</f>
        <v/>
      </c>
      <c r="M1445" s="4">
        <f>IF($A1445="","",VALUE($B1445&amp;""))</f>
        <v/>
      </c>
      <c r="N1445" s="64">
        <f>IF($A1445="","",$H1445*설정!$C$15)</f>
        <v/>
      </c>
      <c r="O1445" s="4">
        <f>IF($A1445="","",J1445&amp;"|"&amp;K1445)</f>
        <v/>
      </c>
      <c r="P1445" s="63">
        <f>IF($A1445="","",IF(COUNTIFS(예산_원본!$T$5:$T$3004,O1445,예산_원본!$B$5:$B$3004,설정!$C$8,예산_원본!$U$5:$U$3004,L1445)&gt;0,"Y","N"))</f>
        <v/>
      </c>
      <c r="Q1445" s="63">
        <f>IF($A1445="","",IF(COUNTIF(집계!$E$7:$E$506,O1445)&gt;0,"Y","N"))</f>
        <v/>
      </c>
    </row>
    <row r="1446">
      <c r="A1446" s="60" t="n">
        <v>2026</v>
      </c>
      <c r="B1446" s="60" t="n">
        <v>7</v>
      </c>
      <c r="C1446" s="60" t="inlineStr">
        <is>
          <t>1000</t>
        </is>
      </c>
      <c r="D1446" s="60" t="n">
        <v>1501</v>
      </c>
      <c r="E1446" s="60" t="inlineStr">
        <is>
          <t>마케팅전략</t>
        </is>
      </c>
      <c r="F1446" s="60" t="n">
        <v>62401000</v>
      </c>
      <c r="G1446" s="60" t="inlineStr">
        <is>
          <t>도서인쇄비</t>
        </is>
      </c>
      <c r="H1446" s="61" t="n">
        <v>4461540</v>
      </c>
      <c r="J1446" s="63">
        <f>IF($A1446="","",IFERROR(INDEX(부서매핑!$C$5:$C$504,MATCH($D1446&amp;"",부서매핑!$A$5:$A$504,0)),"미매핑"))</f>
        <v/>
      </c>
      <c r="K1446" s="63">
        <f>IF($A1446="","",IFERROR(INDEX(계정매핑!$C$5:$C$504,MATCH($F1446&amp;"",계정매핑!$A$5:$A$504,0)),"미매핑"))</f>
        <v/>
      </c>
      <c r="L1446" s="4">
        <f>IF($A1446="","",VALUE($A1446&amp;""))</f>
        <v/>
      </c>
      <c r="M1446" s="4">
        <f>IF($A1446="","",VALUE($B1446&amp;""))</f>
        <v/>
      </c>
      <c r="N1446" s="64">
        <f>IF($A1446="","",$H1446*설정!$C$15)</f>
        <v/>
      </c>
      <c r="O1446" s="4">
        <f>IF($A1446="","",J1446&amp;"|"&amp;K1446)</f>
        <v/>
      </c>
      <c r="P1446" s="63">
        <f>IF($A1446="","",IF(COUNTIFS(예산_원본!$T$5:$T$3004,O1446,예산_원본!$B$5:$B$3004,설정!$C$8,예산_원본!$U$5:$U$3004,L1446)&gt;0,"Y","N"))</f>
        <v/>
      </c>
      <c r="Q1446" s="63">
        <f>IF($A1446="","",IF(COUNTIF(집계!$E$7:$E$506,O1446)&gt;0,"Y","N"))</f>
        <v/>
      </c>
    </row>
    <row r="1447">
      <c r="A1447" s="60" t="n">
        <v>2026</v>
      </c>
      <c r="B1447" s="60" t="n">
        <v>7</v>
      </c>
      <c r="C1447" s="60" t="inlineStr">
        <is>
          <t>1000</t>
        </is>
      </c>
      <c r="D1447" s="60" t="n">
        <v>1501</v>
      </c>
      <c r="E1447" s="60" t="inlineStr">
        <is>
          <t>마케팅전략</t>
        </is>
      </c>
      <c r="F1447" s="60" t="n">
        <v>62501000</v>
      </c>
      <c r="G1447" s="60" t="inlineStr">
        <is>
          <t>회의비</t>
        </is>
      </c>
      <c r="H1447" s="61" t="n">
        <v>656270</v>
      </c>
      <c r="J1447" s="63">
        <f>IF($A1447="","",IFERROR(INDEX(부서매핑!$C$5:$C$504,MATCH($D1447&amp;"",부서매핑!$A$5:$A$504,0)),"미매핑"))</f>
        <v/>
      </c>
      <c r="K1447" s="63">
        <f>IF($A1447="","",IFERROR(INDEX(계정매핑!$C$5:$C$504,MATCH($F1447&amp;"",계정매핑!$A$5:$A$504,0)),"미매핑"))</f>
        <v/>
      </c>
      <c r="L1447" s="4">
        <f>IF($A1447="","",VALUE($A1447&amp;""))</f>
        <v/>
      </c>
      <c r="M1447" s="4">
        <f>IF($A1447="","",VALUE($B1447&amp;""))</f>
        <v/>
      </c>
      <c r="N1447" s="64">
        <f>IF($A1447="","",$H1447*설정!$C$15)</f>
        <v/>
      </c>
      <c r="O1447" s="4">
        <f>IF($A1447="","",J1447&amp;"|"&amp;K1447)</f>
        <v/>
      </c>
      <c r="P1447" s="63">
        <f>IF($A1447="","",IF(COUNTIFS(예산_원본!$T$5:$T$3004,O1447,예산_원본!$B$5:$B$3004,설정!$C$8,예산_원본!$U$5:$U$3004,L1447)&gt;0,"Y","N"))</f>
        <v/>
      </c>
      <c r="Q1447" s="63">
        <f>IF($A1447="","",IF(COUNTIF(집계!$E$7:$E$506,O1447)&gt;0,"Y","N"))</f>
        <v/>
      </c>
    </row>
    <row r="1448">
      <c r="A1448" s="60" t="n">
        <v>2026</v>
      </c>
      <c r="B1448" s="60" t="n">
        <v>7</v>
      </c>
      <c r="C1448" s="60" t="inlineStr">
        <is>
          <t>1000</t>
        </is>
      </c>
      <c r="D1448" s="60" t="n">
        <v>1501</v>
      </c>
      <c r="E1448" s="60" t="inlineStr">
        <is>
          <t>마케팅전략</t>
        </is>
      </c>
      <c r="F1448" s="60" t="n">
        <v>62601000</v>
      </c>
      <c r="G1448" s="60" t="inlineStr">
        <is>
          <t>업무추진비</t>
        </is>
      </c>
      <c r="H1448" s="61" t="n">
        <v>1685370</v>
      </c>
      <c r="J1448" s="63">
        <f>IF($A1448="","",IFERROR(INDEX(부서매핑!$C$5:$C$504,MATCH($D1448&amp;"",부서매핑!$A$5:$A$504,0)),"미매핑"))</f>
        <v/>
      </c>
      <c r="K1448" s="63">
        <f>IF($A1448="","",IFERROR(INDEX(계정매핑!$C$5:$C$504,MATCH($F1448&amp;"",계정매핑!$A$5:$A$504,0)),"미매핑"))</f>
        <v/>
      </c>
      <c r="L1448" s="4">
        <f>IF($A1448="","",VALUE($A1448&amp;""))</f>
        <v/>
      </c>
      <c r="M1448" s="4">
        <f>IF($A1448="","",VALUE($B1448&amp;""))</f>
        <v/>
      </c>
      <c r="N1448" s="64">
        <f>IF($A1448="","",$H1448*설정!$C$15)</f>
        <v/>
      </c>
      <c r="O1448" s="4">
        <f>IF($A1448="","",J1448&amp;"|"&amp;K1448)</f>
        <v/>
      </c>
      <c r="P1448" s="63">
        <f>IF($A1448="","",IF(COUNTIFS(예산_원본!$T$5:$T$3004,O1448,예산_원본!$B$5:$B$3004,설정!$C$8,예산_원본!$U$5:$U$3004,L1448)&gt;0,"Y","N"))</f>
        <v/>
      </c>
      <c r="Q1448" s="63">
        <f>IF($A1448="","",IF(COUNTIF(집계!$E$7:$E$506,O1448)&gt;0,"Y","N"))</f>
        <v/>
      </c>
    </row>
    <row r="1449">
      <c r="A1449" s="60" t="n">
        <v>2026</v>
      </c>
      <c r="B1449" s="60" t="n">
        <v>7</v>
      </c>
      <c r="C1449" s="60" t="inlineStr">
        <is>
          <t>1000</t>
        </is>
      </c>
      <c r="D1449" s="60" t="n">
        <v>1501</v>
      </c>
      <c r="E1449" s="60" t="inlineStr">
        <is>
          <t>마케팅전략</t>
        </is>
      </c>
      <c r="F1449" s="60" t="n">
        <v>62701000</v>
      </c>
      <c r="G1449" s="60" t="inlineStr">
        <is>
          <t>광고선전비</t>
        </is>
      </c>
      <c r="H1449" s="61" t="n">
        <v>89685940</v>
      </c>
      <c r="J1449" s="63">
        <f>IF($A1449="","",IFERROR(INDEX(부서매핑!$C$5:$C$504,MATCH($D1449&amp;"",부서매핑!$A$5:$A$504,0)),"미매핑"))</f>
        <v/>
      </c>
      <c r="K1449" s="63">
        <f>IF($A1449="","",IFERROR(INDEX(계정매핑!$C$5:$C$504,MATCH($F1449&amp;"",계정매핑!$A$5:$A$504,0)),"미매핑"))</f>
        <v/>
      </c>
      <c r="L1449" s="4">
        <f>IF($A1449="","",VALUE($A1449&amp;""))</f>
        <v/>
      </c>
      <c r="M1449" s="4">
        <f>IF($A1449="","",VALUE($B1449&amp;""))</f>
        <v/>
      </c>
      <c r="N1449" s="64">
        <f>IF($A1449="","",$H1449*설정!$C$15)</f>
        <v/>
      </c>
      <c r="O1449" s="4">
        <f>IF($A1449="","",J1449&amp;"|"&amp;K1449)</f>
        <v/>
      </c>
      <c r="P1449" s="63">
        <f>IF($A1449="","",IF(COUNTIFS(예산_원본!$T$5:$T$3004,O1449,예산_원본!$B$5:$B$3004,설정!$C$8,예산_원본!$U$5:$U$3004,L1449)&gt;0,"Y","N"))</f>
        <v/>
      </c>
      <c r="Q1449" s="63">
        <f>IF($A1449="","",IF(COUNTIF(집계!$E$7:$E$506,O1449)&gt;0,"Y","N"))</f>
        <v/>
      </c>
    </row>
    <row r="1450">
      <c r="A1450" s="60" t="n">
        <v>2026</v>
      </c>
      <c r="B1450" s="60" t="n">
        <v>7</v>
      </c>
      <c r="C1450" s="60" t="inlineStr">
        <is>
          <t>1000</t>
        </is>
      </c>
      <c r="D1450" s="60" t="n">
        <v>1502</v>
      </c>
      <c r="E1450" s="60" t="inlineStr">
        <is>
          <t>디지털마케팅</t>
        </is>
      </c>
      <c r="F1450" s="60" t="n">
        <v>62101000</v>
      </c>
      <c r="G1450" s="60" t="inlineStr">
        <is>
          <t>여비교통비-국내</t>
        </is>
      </c>
      <c r="H1450" s="61" t="n">
        <v>1025060</v>
      </c>
      <c r="J1450" s="63">
        <f>IF($A1450="","",IFERROR(INDEX(부서매핑!$C$5:$C$504,MATCH($D1450&amp;"",부서매핑!$A$5:$A$504,0)),"미매핑"))</f>
        <v/>
      </c>
      <c r="K1450" s="63">
        <f>IF($A1450="","",IFERROR(INDEX(계정매핑!$C$5:$C$504,MATCH($F1450&amp;"",계정매핑!$A$5:$A$504,0)),"미매핑"))</f>
        <v/>
      </c>
      <c r="L1450" s="4">
        <f>IF($A1450="","",VALUE($A1450&amp;""))</f>
        <v/>
      </c>
      <c r="M1450" s="4">
        <f>IF($A1450="","",VALUE($B1450&amp;""))</f>
        <v/>
      </c>
      <c r="N1450" s="64">
        <f>IF($A1450="","",$H1450*설정!$C$15)</f>
        <v/>
      </c>
      <c r="O1450" s="4">
        <f>IF($A1450="","",J1450&amp;"|"&amp;K1450)</f>
        <v/>
      </c>
      <c r="P1450" s="63">
        <f>IF($A1450="","",IF(COUNTIFS(예산_원본!$T$5:$T$3004,O1450,예산_원본!$B$5:$B$3004,설정!$C$8,예산_원본!$U$5:$U$3004,L1450)&gt;0,"Y","N"))</f>
        <v/>
      </c>
      <c r="Q1450" s="63">
        <f>IF($A1450="","",IF(COUNTIF(집계!$E$7:$E$506,O1450)&gt;0,"Y","N"))</f>
        <v/>
      </c>
    </row>
    <row r="1451">
      <c r="A1451" s="60" t="n">
        <v>2026</v>
      </c>
      <c r="B1451" s="60" t="n">
        <v>7</v>
      </c>
      <c r="C1451" s="60" t="inlineStr">
        <is>
          <t>1000</t>
        </is>
      </c>
      <c r="D1451" s="60" t="n">
        <v>1502</v>
      </c>
      <c r="E1451" s="60" t="inlineStr">
        <is>
          <t>디지털마케팅</t>
        </is>
      </c>
      <c r="F1451" s="60" t="n">
        <v>62102000</v>
      </c>
      <c r="G1451" s="60" t="inlineStr">
        <is>
          <t>여비교통비-해외</t>
        </is>
      </c>
      <c r="H1451" s="61" t="n">
        <v>176480</v>
      </c>
      <c r="J1451" s="63">
        <f>IF($A1451="","",IFERROR(INDEX(부서매핑!$C$5:$C$504,MATCH($D1451&amp;"",부서매핑!$A$5:$A$504,0)),"미매핑"))</f>
        <v/>
      </c>
      <c r="K1451" s="63">
        <f>IF($A1451="","",IFERROR(INDEX(계정매핑!$C$5:$C$504,MATCH($F1451&amp;"",계정매핑!$A$5:$A$504,0)),"미매핑"))</f>
        <v/>
      </c>
      <c r="L1451" s="4">
        <f>IF($A1451="","",VALUE($A1451&amp;""))</f>
        <v/>
      </c>
      <c r="M1451" s="4">
        <f>IF($A1451="","",VALUE($B1451&amp;""))</f>
        <v/>
      </c>
      <c r="N1451" s="64">
        <f>IF($A1451="","",$H1451*설정!$C$15)</f>
        <v/>
      </c>
      <c r="O1451" s="4">
        <f>IF($A1451="","",J1451&amp;"|"&amp;K1451)</f>
        <v/>
      </c>
      <c r="P1451" s="63">
        <f>IF($A1451="","",IF(COUNTIFS(예산_원본!$T$5:$T$3004,O1451,예산_원본!$B$5:$B$3004,설정!$C$8,예산_원본!$U$5:$U$3004,L1451)&gt;0,"Y","N"))</f>
        <v/>
      </c>
      <c r="Q1451" s="63">
        <f>IF($A1451="","",IF(COUNTIF(집계!$E$7:$E$506,O1451)&gt;0,"Y","N"))</f>
        <v/>
      </c>
    </row>
    <row r="1452">
      <c r="A1452" s="60" t="n">
        <v>2026</v>
      </c>
      <c r="B1452" s="60" t="n">
        <v>7</v>
      </c>
      <c r="C1452" s="60" t="inlineStr">
        <is>
          <t>1000</t>
        </is>
      </c>
      <c r="D1452" s="60" t="n">
        <v>1502</v>
      </c>
      <c r="E1452" s="60" t="inlineStr">
        <is>
          <t>디지털마케팅</t>
        </is>
      </c>
      <c r="F1452" s="60" t="n">
        <v>62201000</v>
      </c>
      <c r="G1452" s="60" t="inlineStr">
        <is>
          <t>통신비</t>
        </is>
      </c>
      <c r="H1452" s="61" t="n">
        <v>470070</v>
      </c>
      <c r="J1452" s="63">
        <f>IF($A1452="","",IFERROR(INDEX(부서매핑!$C$5:$C$504,MATCH($D1452&amp;"",부서매핑!$A$5:$A$504,0)),"미매핑"))</f>
        <v/>
      </c>
      <c r="K1452" s="63">
        <f>IF($A1452="","",IFERROR(INDEX(계정매핑!$C$5:$C$504,MATCH($F1452&amp;"",계정매핑!$A$5:$A$504,0)),"미매핑"))</f>
        <v/>
      </c>
      <c r="L1452" s="4">
        <f>IF($A1452="","",VALUE($A1452&amp;""))</f>
        <v/>
      </c>
      <c r="M1452" s="4">
        <f>IF($A1452="","",VALUE($B1452&amp;""))</f>
        <v/>
      </c>
      <c r="N1452" s="64">
        <f>IF($A1452="","",$H1452*설정!$C$15)</f>
        <v/>
      </c>
      <c r="O1452" s="4">
        <f>IF($A1452="","",J1452&amp;"|"&amp;K1452)</f>
        <v/>
      </c>
      <c r="P1452" s="63">
        <f>IF($A1452="","",IF(COUNTIFS(예산_원본!$T$5:$T$3004,O1452,예산_원본!$B$5:$B$3004,설정!$C$8,예산_원본!$U$5:$U$3004,L1452)&gt;0,"Y","N"))</f>
        <v/>
      </c>
      <c r="Q1452" s="63">
        <f>IF($A1452="","",IF(COUNTIF(집계!$E$7:$E$506,O1452)&gt;0,"Y","N"))</f>
        <v/>
      </c>
    </row>
    <row r="1453">
      <c r="A1453" s="60" t="n">
        <v>2026</v>
      </c>
      <c r="B1453" s="60" t="n">
        <v>7</v>
      </c>
      <c r="C1453" s="60" t="inlineStr">
        <is>
          <t>1000</t>
        </is>
      </c>
      <c r="D1453" s="60" t="n">
        <v>1502</v>
      </c>
      <c r="E1453" s="60" t="inlineStr">
        <is>
          <t>디지털마케팅</t>
        </is>
      </c>
      <c r="F1453" s="60" t="n">
        <v>62301000</v>
      </c>
      <c r="G1453" s="60" t="inlineStr">
        <is>
          <t>소모품비</t>
        </is>
      </c>
      <c r="H1453" s="61" t="n">
        <v>269410</v>
      </c>
      <c r="J1453" s="63">
        <f>IF($A1453="","",IFERROR(INDEX(부서매핑!$C$5:$C$504,MATCH($D1453&amp;"",부서매핑!$A$5:$A$504,0)),"미매핑"))</f>
        <v/>
      </c>
      <c r="K1453" s="63">
        <f>IF($A1453="","",IFERROR(INDEX(계정매핑!$C$5:$C$504,MATCH($F1453&amp;"",계정매핑!$A$5:$A$504,0)),"미매핑"))</f>
        <v/>
      </c>
      <c r="L1453" s="4">
        <f>IF($A1453="","",VALUE($A1453&amp;""))</f>
        <v/>
      </c>
      <c r="M1453" s="4">
        <f>IF($A1453="","",VALUE($B1453&amp;""))</f>
        <v/>
      </c>
      <c r="N1453" s="64">
        <f>IF($A1453="","",$H1453*설정!$C$15)</f>
        <v/>
      </c>
      <c r="O1453" s="4">
        <f>IF($A1453="","",J1453&amp;"|"&amp;K1453)</f>
        <v/>
      </c>
      <c r="P1453" s="63">
        <f>IF($A1453="","",IF(COUNTIFS(예산_원본!$T$5:$T$3004,O1453,예산_원본!$B$5:$B$3004,설정!$C$8,예산_원본!$U$5:$U$3004,L1453)&gt;0,"Y","N"))</f>
        <v/>
      </c>
      <c r="Q1453" s="63">
        <f>IF($A1453="","",IF(COUNTIF(집계!$E$7:$E$506,O1453)&gt;0,"Y","N"))</f>
        <v/>
      </c>
    </row>
    <row r="1454">
      <c r="A1454" s="60" t="n">
        <v>2026</v>
      </c>
      <c r="B1454" s="60" t="n">
        <v>7</v>
      </c>
      <c r="C1454" s="60" t="inlineStr">
        <is>
          <t>1000</t>
        </is>
      </c>
      <c r="D1454" s="60" t="n">
        <v>1502</v>
      </c>
      <c r="E1454" s="60" t="inlineStr">
        <is>
          <t>디지털마케팅</t>
        </is>
      </c>
      <c r="F1454" s="60" t="n">
        <v>62401000</v>
      </c>
      <c r="G1454" s="60" t="inlineStr">
        <is>
          <t>도서인쇄비</t>
        </is>
      </c>
      <c r="H1454" s="61" t="n">
        <v>3288060</v>
      </c>
      <c r="J1454" s="63">
        <f>IF($A1454="","",IFERROR(INDEX(부서매핑!$C$5:$C$504,MATCH($D1454&amp;"",부서매핑!$A$5:$A$504,0)),"미매핑"))</f>
        <v/>
      </c>
      <c r="K1454" s="63">
        <f>IF($A1454="","",IFERROR(INDEX(계정매핑!$C$5:$C$504,MATCH($F1454&amp;"",계정매핑!$A$5:$A$504,0)),"미매핑"))</f>
        <v/>
      </c>
      <c r="L1454" s="4">
        <f>IF($A1454="","",VALUE($A1454&amp;""))</f>
        <v/>
      </c>
      <c r="M1454" s="4">
        <f>IF($A1454="","",VALUE($B1454&amp;""))</f>
        <v/>
      </c>
      <c r="N1454" s="64">
        <f>IF($A1454="","",$H1454*설정!$C$15)</f>
        <v/>
      </c>
      <c r="O1454" s="4">
        <f>IF($A1454="","",J1454&amp;"|"&amp;K1454)</f>
        <v/>
      </c>
      <c r="P1454" s="63">
        <f>IF($A1454="","",IF(COUNTIFS(예산_원본!$T$5:$T$3004,O1454,예산_원본!$B$5:$B$3004,설정!$C$8,예산_원본!$U$5:$U$3004,L1454)&gt;0,"Y","N"))</f>
        <v/>
      </c>
      <c r="Q1454" s="63">
        <f>IF($A1454="","",IF(COUNTIF(집계!$E$7:$E$506,O1454)&gt;0,"Y","N"))</f>
        <v/>
      </c>
    </row>
    <row r="1455">
      <c r="A1455" s="60" t="n">
        <v>2026</v>
      </c>
      <c r="B1455" s="60" t="n">
        <v>7</v>
      </c>
      <c r="C1455" s="60" t="inlineStr">
        <is>
          <t>1000</t>
        </is>
      </c>
      <c r="D1455" s="60" t="n">
        <v>1502</v>
      </c>
      <c r="E1455" s="60" t="inlineStr">
        <is>
          <t>디지털마케팅</t>
        </is>
      </c>
      <c r="F1455" s="60" t="n">
        <v>62501000</v>
      </c>
      <c r="G1455" s="60" t="inlineStr">
        <is>
          <t>회의비</t>
        </is>
      </c>
      <c r="H1455" s="61" t="n">
        <v>441670</v>
      </c>
      <c r="J1455" s="63">
        <f>IF($A1455="","",IFERROR(INDEX(부서매핑!$C$5:$C$504,MATCH($D1455&amp;"",부서매핑!$A$5:$A$504,0)),"미매핑"))</f>
        <v/>
      </c>
      <c r="K1455" s="63">
        <f>IF($A1455="","",IFERROR(INDEX(계정매핑!$C$5:$C$504,MATCH($F1455&amp;"",계정매핑!$A$5:$A$504,0)),"미매핑"))</f>
        <v/>
      </c>
      <c r="L1455" s="4">
        <f>IF($A1455="","",VALUE($A1455&amp;""))</f>
        <v/>
      </c>
      <c r="M1455" s="4">
        <f>IF($A1455="","",VALUE($B1455&amp;""))</f>
        <v/>
      </c>
      <c r="N1455" s="64">
        <f>IF($A1455="","",$H1455*설정!$C$15)</f>
        <v/>
      </c>
      <c r="O1455" s="4">
        <f>IF($A1455="","",J1455&amp;"|"&amp;K1455)</f>
        <v/>
      </c>
      <c r="P1455" s="63">
        <f>IF($A1455="","",IF(COUNTIFS(예산_원본!$T$5:$T$3004,O1455,예산_원본!$B$5:$B$3004,설정!$C$8,예산_원본!$U$5:$U$3004,L1455)&gt;0,"Y","N"))</f>
        <v/>
      </c>
      <c r="Q1455" s="63">
        <f>IF($A1455="","",IF(COUNTIF(집계!$E$7:$E$506,O1455)&gt;0,"Y","N"))</f>
        <v/>
      </c>
    </row>
    <row r="1456">
      <c r="A1456" s="60" t="n">
        <v>2026</v>
      </c>
      <c r="B1456" s="60" t="n">
        <v>7</v>
      </c>
      <c r="C1456" s="60" t="inlineStr">
        <is>
          <t>1000</t>
        </is>
      </c>
      <c r="D1456" s="60" t="n">
        <v>1502</v>
      </c>
      <c r="E1456" s="60" t="inlineStr">
        <is>
          <t>디지털마케팅</t>
        </is>
      </c>
      <c r="F1456" s="60" t="n">
        <v>62601000</v>
      </c>
      <c r="G1456" s="60" t="inlineStr">
        <is>
          <t>업무추진비</t>
        </is>
      </c>
      <c r="H1456" s="61" t="n">
        <v>1328930</v>
      </c>
      <c r="J1456" s="63">
        <f>IF($A1456="","",IFERROR(INDEX(부서매핑!$C$5:$C$504,MATCH($D1456&amp;"",부서매핑!$A$5:$A$504,0)),"미매핑"))</f>
        <v/>
      </c>
      <c r="K1456" s="63">
        <f>IF($A1456="","",IFERROR(INDEX(계정매핑!$C$5:$C$504,MATCH($F1456&amp;"",계정매핑!$A$5:$A$504,0)),"미매핑"))</f>
        <v/>
      </c>
      <c r="L1456" s="4">
        <f>IF($A1456="","",VALUE($A1456&amp;""))</f>
        <v/>
      </c>
      <c r="M1456" s="4">
        <f>IF($A1456="","",VALUE($B1456&amp;""))</f>
        <v/>
      </c>
      <c r="N1456" s="64">
        <f>IF($A1456="","",$H1456*설정!$C$15)</f>
        <v/>
      </c>
      <c r="O1456" s="4">
        <f>IF($A1456="","",J1456&amp;"|"&amp;K1456)</f>
        <v/>
      </c>
      <c r="P1456" s="63">
        <f>IF($A1456="","",IF(COUNTIFS(예산_원본!$T$5:$T$3004,O1456,예산_원본!$B$5:$B$3004,설정!$C$8,예산_원본!$U$5:$U$3004,L1456)&gt;0,"Y","N"))</f>
        <v/>
      </c>
      <c r="Q1456" s="63">
        <f>IF($A1456="","",IF(COUNTIF(집계!$E$7:$E$506,O1456)&gt;0,"Y","N"))</f>
        <v/>
      </c>
    </row>
    <row r="1457">
      <c r="A1457" s="60" t="n">
        <v>2026</v>
      </c>
      <c r="B1457" s="60" t="n">
        <v>7</v>
      </c>
      <c r="C1457" s="60" t="inlineStr">
        <is>
          <t>1000</t>
        </is>
      </c>
      <c r="D1457" s="60" t="n">
        <v>1502</v>
      </c>
      <c r="E1457" s="60" t="inlineStr">
        <is>
          <t>디지털마케팅</t>
        </is>
      </c>
      <c r="F1457" s="60" t="n">
        <v>62701000</v>
      </c>
      <c r="G1457" s="60" t="inlineStr">
        <is>
          <t>광고선전비</t>
        </is>
      </c>
      <c r="H1457" s="61" t="n">
        <v>58808530</v>
      </c>
      <c r="J1457" s="63">
        <f>IF($A1457="","",IFERROR(INDEX(부서매핑!$C$5:$C$504,MATCH($D1457&amp;"",부서매핑!$A$5:$A$504,0)),"미매핑"))</f>
        <v/>
      </c>
      <c r="K1457" s="63">
        <f>IF($A1457="","",IFERROR(INDEX(계정매핑!$C$5:$C$504,MATCH($F1457&amp;"",계정매핑!$A$5:$A$504,0)),"미매핑"))</f>
        <v/>
      </c>
      <c r="L1457" s="4">
        <f>IF($A1457="","",VALUE($A1457&amp;""))</f>
        <v/>
      </c>
      <c r="M1457" s="4">
        <f>IF($A1457="","",VALUE($B1457&amp;""))</f>
        <v/>
      </c>
      <c r="N1457" s="64">
        <f>IF($A1457="","",$H1457*설정!$C$15)</f>
        <v/>
      </c>
      <c r="O1457" s="4">
        <f>IF($A1457="","",J1457&amp;"|"&amp;K1457)</f>
        <v/>
      </c>
      <c r="P1457" s="63">
        <f>IF($A1457="","",IF(COUNTIFS(예산_원본!$T$5:$T$3004,O1457,예산_원본!$B$5:$B$3004,설정!$C$8,예산_원본!$U$5:$U$3004,L1457)&gt;0,"Y","N"))</f>
        <v/>
      </c>
      <c r="Q1457" s="63">
        <f>IF($A1457="","",IF(COUNTIF(집계!$E$7:$E$506,O1457)&gt;0,"Y","N"))</f>
        <v/>
      </c>
    </row>
    <row r="1458">
      <c r="A1458" s="60" t="n">
        <v>2026</v>
      </c>
      <c r="B1458" s="60" t="n">
        <v>7</v>
      </c>
      <c r="C1458" s="60" t="inlineStr">
        <is>
          <t>1000</t>
        </is>
      </c>
      <c r="D1458" s="60" t="n">
        <v>1601</v>
      </c>
      <c r="E1458" s="60" t="inlineStr">
        <is>
          <t>영업지원-본사</t>
        </is>
      </c>
      <c r="F1458" s="60" t="n">
        <v>62101000</v>
      </c>
      <c r="G1458" s="60" t="inlineStr">
        <is>
          <t>여비교통비-국내</t>
        </is>
      </c>
      <c r="H1458" s="61" t="n">
        <v>3739850</v>
      </c>
      <c r="J1458" s="63">
        <f>IF($A1458="","",IFERROR(INDEX(부서매핑!$C$5:$C$504,MATCH($D1458&amp;"",부서매핑!$A$5:$A$504,0)),"미매핑"))</f>
        <v/>
      </c>
      <c r="K1458" s="63">
        <f>IF($A1458="","",IFERROR(INDEX(계정매핑!$C$5:$C$504,MATCH($F1458&amp;"",계정매핑!$A$5:$A$504,0)),"미매핑"))</f>
        <v/>
      </c>
      <c r="L1458" s="4">
        <f>IF($A1458="","",VALUE($A1458&amp;""))</f>
        <v/>
      </c>
      <c r="M1458" s="4">
        <f>IF($A1458="","",VALUE($B1458&amp;""))</f>
        <v/>
      </c>
      <c r="N1458" s="64">
        <f>IF($A1458="","",$H1458*설정!$C$15)</f>
        <v/>
      </c>
      <c r="O1458" s="4">
        <f>IF($A1458="","",J1458&amp;"|"&amp;K1458)</f>
        <v/>
      </c>
      <c r="P1458" s="63">
        <f>IF($A1458="","",IF(COUNTIFS(예산_원본!$T$5:$T$3004,O1458,예산_원본!$B$5:$B$3004,설정!$C$8,예산_원본!$U$5:$U$3004,L1458)&gt;0,"Y","N"))</f>
        <v/>
      </c>
      <c r="Q1458" s="63">
        <f>IF($A1458="","",IF(COUNTIF(집계!$E$7:$E$506,O1458)&gt;0,"Y","N"))</f>
        <v/>
      </c>
    </row>
    <row r="1459">
      <c r="A1459" s="60" t="n">
        <v>2026</v>
      </c>
      <c r="B1459" s="60" t="n">
        <v>7</v>
      </c>
      <c r="C1459" s="60" t="inlineStr">
        <is>
          <t>1000</t>
        </is>
      </c>
      <c r="D1459" s="60" t="n">
        <v>1601</v>
      </c>
      <c r="E1459" s="60" t="inlineStr">
        <is>
          <t>영업지원-본사</t>
        </is>
      </c>
      <c r="F1459" s="60" t="n">
        <v>62102000</v>
      </c>
      <c r="G1459" s="60" t="inlineStr">
        <is>
          <t>여비교통비-해외</t>
        </is>
      </c>
      <c r="H1459" s="61" t="n">
        <v>663110</v>
      </c>
      <c r="J1459" s="63">
        <f>IF($A1459="","",IFERROR(INDEX(부서매핑!$C$5:$C$504,MATCH($D1459&amp;"",부서매핑!$A$5:$A$504,0)),"미매핑"))</f>
        <v/>
      </c>
      <c r="K1459" s="63">
        <f>IF($A1459="","",IFERROR(INDEX(계정매핑!$C$5:$C$504,MATCH($F1459&amp;"",계정매핑!$A$5:$A$504,0)),"미매핑"))</f>
        <v/>
      </c>
      <c r="L1459" s="4">
        <f>IF($A1459="","",VALUE($A1459&amp;""))</f>
        <v/>
      </c>
      <c r="M1459" s="4">
        <f>IF($A1459="","",VALUE($B1459&amp;""))</f>
        <v/>
      </c>
      <c r="N1459" s="64">
        <f>IF($A1459="","",$H1459*설정!$C$15)</f>
        <v/>
      </c>
      <c r="O1459" s="4">
        <f>IF($A1459="","",J1459&amp;"|"&amp;K1459)</f>
        <v/>
      </c>
      <c r="P1459" s="63">
        <f>IF($A1459="","",IF(COUNTIFS(예산_원본!$T$5:$T$3004,O1459,예산_원본!$B$5:$B$3004,설정!$C$8,예산_원본!$U$5:$U$3004,L1459)&gt;0,"Y","N"))</f>
        <v/>
      </c>
      <c r="Q1459" s="63">
        <f>IF($A1459="","",IF(COUNTIF(집계!$E$7:$E$506,O1459)&gt;0,"Y","N"))</f>
        <v/>
      </c>
    </row>
    <row r="1460">
      <c r="A1460" s="60" t="n">
        <v>2026</v>
      </c>
      <c r="B1460" s="60" t="n">
        <v>7</v>
      </c>
      <c r="C1460" s="60" t="inlineStr">
        <is>
          <t>1000</t>
        </is>
      </c>
      <c r="D1460" s="60" t="n">
        <v>1601</v>
      </c>
      <c r="E1460" s="60" t="inlineStr">
        <is>
          <t>영업지원-본사</t>
        </is>
      </c>
      <c r="F1460" s="60" t="n">
        <v>62201000</v>
      </c>
      <c r="G1460" s="60" t="inlineStr">
        <is>
          <t>통신비</t>
        </is>
      </c>
      <c r="H1460" s="61" t="n">
        <v>1059100</v>
      </c>
      <c r="J1460" s="63">
        <f>IF($A1460="","",IFERROR(INDEX(부서매핑!$C$5:$C$504,MATCH($D1460&amp;"",부서매핑!$A$5:$A$504,0)),"미매핑"))</f>
        <v/>
      </c>
      <c r="K1460" s="63">
        <f>IF($A1460="","",IFERROR(INDEX(계정매핑!$C$5:$C$504,MATCH($F1460&amp;"",계정매핑!$A$5:$A$504,0)),"미매핑"))</f>
        <v/>
      </c>
      <c r="L1460" s="4">
        <f>IF($A1460="","",VALUE($A1460&amp;""))</f>
        <v/>
      </c>
      <c r="M1460" s="4">
        <f>IF($A1460="","",VALUE($B1460&amp;""))</f>
        <v/>
      </c>
      <c r="N1460" s="64">
        <f>IF($A1460="","",$H1460*설정!$C$15)</f>
        <v/>
      </c>
      <c r="O1460" s="4">
        <f>IF($A1460="","",J1460&amp;"|"&amp;K1460)</f>
        <v/>
      </c>
      <c r="P1460" s="63">
        <f>IF($A1460="","",IF(COUNTIFS(예산_원본!$T$5:$T$3004,O1460,예산_원본!$B$5:$B$3004,설정!$C$8,예산_원본!$U$5:$U$3004,L1460)&gt;0,"Y","N"))</f>
        <v/>
      </c>
      <c r="Q1460" s="63">
        <f>IF($A1460="","",IF(COUNTIF(집계!$E$7:$E$506,O1460)&gt;0,"Y","N"))</f>
        <v/>
      </c>
    </row>
    <row r="1461">
      <c r="A1461" s="60" t="n">
        <v>2026</v>
      </c>
      <c r="B1461" s="60" t="n">
        <v>7</v>
      </c>
      <c r="C1461" s="60" t="inlineStr">
        <is>
          <t>1000</t>
        </is>
      </c>
      <c r="D1461" s="60" t="n">
        <v>1601</v>
      </c>
      <c r="E1461" s="60" t="inlineStr">
        <is>
          <t>영업지원-본사</t>
        </is>
      </c>
      <c r="F1461" s="60" t="n">
        <v>62301000</v>
      </c>
      <c r="G1461" s="60" t="inlineStr">
        <is>
          <t>소모품비</t>
        </is>
      </c>
      <c r="H1461" s="61" t="n">
        <v>594900</v>
      </c>
      <c r="J1461" s="63">
        <f>IF($A1461="","",IFERROR(INDEX(부서매핑!$C$5:$C$504,MATCH($D1461&amp;"",부서매핑!$A$5:$A$504,0)),"미매핑"))</f>
        <v/>
      </c>
      <c r="K1461" s="63">
        <f>IF($A1461="","",IFERROR(INDEX(계정매핑!$C$5:$C$504,MATCH($F1461&amp;"",계정매핑!$A$5:$A$504,0)),"미매핑"))</f>
        <v/>
      </c>
      <c r="L1461" s="4">
        <f>IF($A1461="","",VALUE($A1461&amp;""))</f>
        <v/>
      </c>
      <c r="M1461" s="4">
        <f>IF($A1461="","",VALUE($B1461&amp;""))</f>
        <v/>
      </c>
      <c r="N1461" s="64">
        <f>IF($A1461="","",$H1461*설정!$C$15)</f>
        <v/>
      </c>
      <c r="O1461" s="4">
        <f>IF($A1461="","",J1461&amp;"|"&amp;K1461)</f>
        <v/>
      </c>
      <c r="P1461" s="63">
        <f>IF($A1461="","",IF(COUNTIFS(예산_원본!$T$5:$T$3004,O1461,예산_원본!$B$5:$B$3004,설정!$C$8,예산_원본!$U$5:$U$3004,L1461)&gt;0,"Y","N"))</f>
        <v/>
      </c>
      <c r="Q1461" s="63">
        <f>IF($A1461="","",IF(COUNTIF(집계!$E$7:$E$506,O1461)&gt;0,"Y","N"))</f>
        <v/>
      </c>
    </row>
    <row r="1462">
      <c r="A1462" s="60" t="n">
        <v>2026</v>
      </c>
      <c r="B1462" s="60" t="n">
        <v>7</v>
      </c>
      <c r="C1462" s="60" t="inlineStr">
        <is>
          <t>1000</t>
        </is>
      </c>
      <c r="D1462" s="60" t="n">
        <v>1601</v>
      </c>
      <c r="E1462" s="60" t="inlineStr">
        <is>
          <t>영업지원-본사</t>
        </is>
      </c>
      <c r="F1462" s="60" t="n">
        <v>62501000</v>
      </c>
      <c r="G1462" s="60" t="inlineStr">
        <is>
          <t>회의비</t>
        </is>
      </c>
      <c r="H1462" s="61" t="n">
        <v>744220</v>
      </c>
      <c r="J1462" s="63">
        <f>IF($A1462="","",IFERROR(INDEX(부서매핑!$C$5:$C$504,MATCH($D1462&amp;"",부서매핑!$A$5:$A$504,0)),"미매핑"))</f>
        <v/>
      </c>
      <c r="K1462" s="63">
        <f>IF($A1462="","",IFERROR(INDEX(계정매핑!$C$5:$C$504,MATCH($F1462&amp;"",계정매핑!$A$5:$A$504,0)),"미매핑"))</f>
        <v/>
      </c>
      <c r="L1462" s="4">
        <f>IF($A1462="","",VALUE($A1462&amp;""))</f>
        <v/>
      </c>
      <c r="M1462" s="4">
        <f>IF($A1462="","",VALUE($B1462&amp;""))</f>
        <v/>
      </c>
      <c r="N1462" s="64">
        <f>IF($A1462="","",$H1462*설정!$C$15)</f>
        <v/>
      </c>
      <c r="O1462" s="4">
        <f>IF($A1462="","",J1462&amp;"|"&amp;K1462)</f>
        <v/>
      </c>
      <c r="P1462" s="63">
        <f>IF($A1462="","",IF(COUNTIFS(예산_원본!$T$5:$T$3004,O1462,예산_원본!$B$5:$B$3004,설정!$C$8,예산_원본!$U$5:$U$3004,L1462)&gt;0,"Y","N"))</f>
        <v/>
      </c>
      <c r="Q1462" s="63">
        <f>IF($A1462="","",IF(COUNTIF(집계!$E$7:$E$506,O1462)&gt;0,"Y","N"))</f>
        <v/>
      </c>
    </row>
    <row r="1463">
      <c r="A1463" s="60" t="n">
        <v>2026</v>
      </c>
      <c r="B1463" s="60" t="n">
        <v>7</v>
      </c>
      <c r="C1463" s="60" t="inlineStr">
        <is>
          <t>1000</t>
        </is>
      </c>
      <c r="D1463" s="60" t="n">
        <v>1601</v>
      </c>
      <c r="E1463" s="60" t="inlineStr">
        <is>
          <t>영업지원-본사</t>
        </is>
      </c>
      <c r="F1463" s="60" t="n">
        <v>62601000</v>
      </c>
      <c r="G1463" s="60" t="inlineStr">
        <is>
          <t>업무추진비</t>
        </is>
      </c>
      <c r="H1463" s="61" t="n">
        <v>1993390</v>
      </c>
      <c r="J1463" s="63">
        <f>IF($A1463="","",IFERROR(INDEX(부서매핑!$C$5:$C$504,MATCH($D1463&amp;"",부서매핑!$A$5:$A$504,0)),"미매핑"))</f>
        <v/>
      </c>
      <c r="K1463" s="63">
        <f>IF($A1463="","",IFERROR(INDEX(계정매핑!$C$5:$C$504,MATCH($F1463&amp;"",계정매핑!$A$5:$A$504,0)),"미매핑"))</f>
        <v/>
      </c>
      <c r="L1463" s="4">
        <f>IF($A1463="","",VALUE($A1463&amp;""))</f>
        <v/>
      </c>
      <c r="M1463" s="4">
        <f>IF($A1463="","",VALUE($B1463&amp;""))</f>
        <v/>
      </c>
      <c r="N1463" s="64">
        <f>IF($A1463="","",$H1463*설정!$C$15)</f>
        <v/>
      </c>
      <c r="O1463" s="4">
        <f>IF($A1463="","",J1463&amp;"|"&amp;K1463)</f>
        <v/>
      </c>
      <c r="P1463" s="63">
        <f>IF($A1463="","",IF(COUNTIFS(예산_원본!$T$5:$T$3004,O1463,예산_원본!$B$5:$B$3004,설정!$C$8,예산_원본!$U$5:$U$3004,L1463)&gt;0,"Y","N"))</f>
        <v/>
      </c>
      <c r="Q1463" s="63">
        <f>IF($A1463="","",IF(COUNTIF(집계!$E$7:$E$506,O1463)&gt;0,"Y","N"))</f>
        <v/>
      </c>
    </row>
    <row r="1464">
      <c r="A1464" s="60" t="n">
        <v>2026</v>
      </c>
      <c r="B1464" s="60" t="n">
        <v>7</v>
      </c>
      <c r="C1464" s="60" t="inlineStr">
        <is>
          <t>1000</t>
        </is>
      </c>
      <c r="D1464" s="60" t="n">
        <v>1601</v>
      </c>
      <c r="E1464" s="60" t="inlineStr">
        <is>
          <t>영업지원-본사</t>
        </is>
      </c>
      <c r="F1464" s="60" t="n">
        <v>63101000</v>
      </c>
      <c r="G1464" s="60" t="inlineStr">
        <is>
          <t>임차료</t>
        </is>
      </c>
      <c r="H1464" s="61" t="n">
        <v>9374600</v>
      </c>
      <c r="J1464" s="63">
        <f>IF($A1464="","",IFERROR(INDEX(부서매핑!$C$5:$C$504,MATCH($D1464&amp;"",부서매핑!$A$5:$A$504,0)),"미매핑"))</f>
        <v/>
      </c>
      <c r="K1464" s="63">
        <f>IF($A1464="","",IFERROR(INDEX(계정매핑!$C$5:$C$504,MATCH($F1464&amp;"",계정매핑!$A$5:$A$504,0)),"미매핑"))</f>
        <v/>
      </c>
      <c r="L1464" s="4">
        <f>IF($A1464="","",VALUE($A1464&amp;""))</f>
        <v/>
      </c>
      <c r="M1464" s="4">
        <f>IF($A1464="","",VALUE($B1464&amp;""))</f>
        <v/>
      </c>
      <c r="N1464" s="64">
        <f>IF($A1464="","",$H1464*설정!$C$15)</f>
        <v/>
      </c>
      <c r="O1464" s="4">
        <f>IF($A1464="","",J1464&amp;"|"&amp;K1464)</f>
        <v/>
      </c>
      <c r="P1464" s="63">
        <f>IF($A1464="","",IF(COUNTIFS(예산_원본!$T$5:$T$3004,O1464,예산_원본!$B$5:$B$3004,설정!$C$8,예산_원본!$U$5:$U$3004,L1464)&gt;0,"Y","N"))</f>
        <v/>
      </c>
      <c r="Q1464" s="63">
        <f>IF($A1464="","",IF(COUNTIF(집계!$E$7:$E$506,O1464)&gt;0,"Y","N"))</f>
        <v/>
      </c>
    </row>
    <row r="1465">
      <c r="A1465" s="60" t="n">
        <v>2026</v>
      </c>
      <c r="B1465" s="60" t="n">
        <v>7</v>
      </c>
      <c r="C1465" s="60" t="inlineStr">
        <is>
          <t>1000</t>
        </is>
      </c>
      <c r="D1465" s="60" t="n">
        <v>1601</v>
      </c>
      <c r="E1465" s="60" t="inlineStr">
        <is>
          <t>영업지원-본사</t>
        </is>
      </c>
      <c r="F1465" s="60" t="n">
        <v>63201000</v>
      </c>
      <c r="G1465" s="60" t="inlineStr">
        <is>
          <t>차량유지비</t>
        </is>
      </c>
      <c r="H1465" s="61" t="n">
        <v>4880460</v>
      </c>
      <c r="J1465" s="63">
        <f>IF($A1465="","",IFERROR(INDEX(부서매핑!$C$5:$C$504,MATCH($D1465&amp;"",부서매핑!$A$5:$A$504,0)),"미매핑"))</f>
        <v/>
      </c>
      <c r="K1465" s="63">
        <f>IF($A1465="","",IFERROR(INDEX(계정매핑!$C$5:$C$504,MATCH($F1465&amp;"",계정매핑!$A$5:$A$504,0)),"미매핑"))</f>
        <v/>
      </c>
      <c r="L1465" s="4">
        <f>IF($A1465="","",VALUE($A1465&amp;""))</f>
        <v/>
      </c>
      <c r="M1465" s="4">
        <f>IF($A1465="","",VALUE($B1465&amp;""))</f>
        <v/>
      </c>
      <c r="N1465" s="64">
        <f>IF($A1465="","",$H1465*설정!$C$15)</f>
        <v/>
      </c>
      <c r="O1465" s="4">
        <f>IF($A1465="","",J1465&amp;"|"&amp;K1465)</f>
        <v/>
      </c>
      <c r="P1465" s="63">
        <f>IF($A1465="","",IF(COUNTIFS(예산_원본!$T$5:$T$3004,O1465,예산_원본!$B$5:$B$3004,설정!$C$8,예산_원본!$U$5:$U$3004,L1465)&gt;0,"Y","N"))</f>
        <v/>
      </c>
      <c r="Q1465" s="63">
        <f>IF($A1465="","",IF(COUNTIF(집계!$E$7:$E$506,O1465)&gt;0,"Y","N"))</f>
        <v/>
      </c>
    </row>
    <row r="1466">
      <c r="A1466" s="60" t="n">
        <v>2026</v>
      </c>
      <c r="B1466" s="60" t="n">
        <v>7</v>
      </c>
      <c r="C1466" s="60" t="inlineStr">
        <is>
          <t>1000</t>
        </is>
      </c>
      <c r="D1466" s="60" t="n">
        <v>1602</v>
      </c>
      <c r="E1466" s="60" t="inlineStr">
        <is>
          <t>영업지원-지역본부</t>
        </is>
      </c>
      <c r="F1466" s="60" t="n">
        <v>62101000</v>
      </c>
      <c r="G1466" s="60" t="inlineStr">
        <is>
          <t>여비교통비-국내</t>
        </is>
      </c>
      <c r="H1466" s="61" t="n">
        <v>2643340</v>
      </c>
      <c r="J1466" s="63">
        <f>IF($A1466="","",IFERROR(INDEX(부서매핑!$C$5:$C$504,MATCH($D1466&amp;"",부서매핑!$A$5:$A$504,0)),"미매핑"))</f>
        <v/>
      </c>
      <c r="K1466" s="63">
        <f>IF($A1466="","",IFERROR(INDEX(계정매핑!$C$5:$C$504,MATCH($F1466&amp;"",계정매핑!$A$5:$A$504,0)),"미매핑"))</f>
        <v/>
      </c>
      <c r="L1466" s="4">
        <f>IF($A1466="","",VALUE($A1466&amp;""))</f>
        <v/>
      </c>
      <c r="M1466" s="4">
        <f>IF($A1466="","",VALUE($B1466&amp;""))</f>
        <v/>
      </c>
      <c r="N1466" s="64">
        <f>IF($A1466="","",$H1466*설정!$C$15)</f>
        <v/>
      </c>
      <c r="O1466" s="4">
        <f>IF($A1466="","",J1466&amp;"|"&amp;K1466)</f>
        <v/>
      </c>
      <c r="P1466" s="63">
        <f>IF($A1466="","",IF(COUNTIFS(예산_원본!$T$5:$T$3004,O1466,예산_원본!$B$5:$B$3004,설정!$C$8,예산_원본!$U$5:$U$3004,L1466)&gt;0,"Y","N"))</f>
        <v/>
      </c>
      <c r="Q1466" s="63">
        <f>IF($A1466="","",IF(COUNTIF(집계!$E$7:$E$506,O1466)&gt;0,"Y","N"))</f>
        <v/>
      </c>
    </row>
    <row r="1467">
      <c r="A1467" s="60" t="n">
        <v>2026</v>
      </c>
      <c r="B1467" s="60" t="n">
        <v>7</v>
      </c>
      <c r="C1467" s="60" t="inlineStr">
        <is>
          <t>1000</t>
        </is>
      </c>
      <c r="D1467" s="60" t="n">
        <v>1602</v>
      </c>
      <c r="E1467" s="60" t="inlineStr">
        <is>
          <t>영업지원-지역본부</t>
        </is>
      </c>
      <c r="F1467" s="60" t="n">
        <v>62102000</v>
      </c>
      <c r="G1467" s="60" t="inlineStr">
        <is>
          <t>여비교통비-해외</t>
        </is>
      </c>
      <c r="H1467" s="61" t="n">
        <v>448380</v>
      </c>
      <c r="J1467" s="63">
        <f>IF($A1467="","",IFERROR(INDEX(부서매핑!$C$5:$C$504,MATCH($D1467&amp;"",부서매핑!$A$5:$A$504,0)),"미매핑"))</f>
        <v/>
      </c>
      <c r="K1467" s="63">
        <f>IF($A1467="","",IFERROR(INDEX(계정매핑!$C$5:$C$504,MATCH($F1467&amp;"",계정매핑!$A$5:$A$504,0)),"미매핑"))</f>
        <v/>
      </c>
      <c r="L1467" s="4">
        <f>IF($A1467="","",VALUE($A1467&amp;""))</f>
        <v/>
      </c>
      <c r="M1467" s="4">
        <f>IF($A1467="","",VALUE($B1467&amp;""))</f>
        <v/>
      </c>
      <c r="N1467" s="64">
        <f>IF($A1467="","",$H1467*설정!$C$15)</f>
        <v/>
      </c>
      <c r="O1467" s="4">
        <f>IF($A1467="","",J1467&amp;"|"&amp;K1467)</f>
        <v/>
      </c>
      <c r="P1467" s="63">
        <f>IF($A1467="","",IF(COUNTIFS(예산_원본!$T$5:$T$3004,O1467,예산_원본!$B$5:$B$3004,설정!$C$8,예산_원본!$U$5:$U$3004,L1467)&gt;0,"Y","N"))</f>
        <v/>
      </c>
      <c r="Q1467" s="63">
        <f>IF($A1467="","",IF(COUNTIF(집계!$E$7:$E$506,O1467)&gt;0,"Y","N"))</f>
        <v/>
      </c>
    </row>
    <row r="1468">
      <c r="A1468" s="60" t="n">
        <v>2026</v>
      </c>
      <c r="B1468" s="60" t="n">
        <v>7</v>
      </c>
      <c r="C1468" s="60" t="inlineStr">
        <is>
          <t>1000</t>
        </is>
      </c>
      <c r="D1468" s="60" t="n">
        <v>1602</v>
      </c>
      <c r="E1468" s="60" t="inlineStr">
        <is>
          <t>영업지원-지역본부</t>
        </is>
      </c>
      <c r="F1468" s="60" t="n">
        <v>62201000</v>
      </c>
      <c r="G1468" s="60" t="inlineStr">
        <is>
          <t>통신비</t>
        </is>
      </c>
      <c r="H1468" s="61" t="n">
        <v>830110</v>
      </c>
      <c r="J1468" s="63">
        <f>IF($A1468="","",IFERROR(INDEX(부서매핑!$C$5:$C$504,MATCH($D1468&amp;"",부서매핑!$A$5:$A$504,0)),"미매핑"))</f>
        <v/>
      </c>
      <c r="K1468" s="63">
        <f>IF($A1468="","",IFERROR(INDEX(계정매핑!$C$5:$C$504,MATCH($F1468&amp;"",계정매핑!$A$5:$A$504,0)),"미매핑"))</f>
        <v/>
      </c>
      <c r="L1468" s="4">
        <f>IF($A1468="","",VALUE($A1468&amp;""))</f>
        <v/>
      </c>
      <c r="M1468" s="4">
        <f>IF($A1468="","",VALUE($B1468&amp;""))</f>
        <v/>
      </c>
      <c r="N1468" s="64">
        <f>IF($A1468="","",$H1468*설정!$C$15)</f>
        <v/>
      </c>
      <c r="O1468" s="4">
        <f>IF($A1468="","",J1468&amp;"|"&amp;K1468)</f>
        <v/>
      </c>
      <c r="P1468" s="63">
        <f>IF($A1468="","",IF(COUNTIFS(예산_원본!$T$5:$T$3004,O1468,예산_원본!$B$5:$B$3004,설정!$C$8,예산_원본!$U$5:$U$3004,L1468)&gt;0,"Y","N"))</f>
        <v/>
      </c>
      <c r="Q1468" s="63">
        <f>IF($A1468="","",IF(COUNTIF(집계!$E$7:$E$506,O1468)&gt;0,"Y","N"))</f>
        <v/>
      </c>
    </row>
    <row r="1469">
      <c r="A1469" s="60" t="n">
        <v>2026</v>
      </c>
      <c r="B1469" s="60" t="n">
        <v>7</v>
      </c>
      <c r="C1469" s="60" t="inlineStr">
        <is>
          <t>1000</t>
        </is>
      </c>
      <c r="D1469" s="60" t="n">
        <v>1602</v>
      </c>
      <c r="E1469" s="60" t="inlineStr">
        <is>
          <t>영업지원-지역본부</t>
        </is>
      </c>
      <c r="F1469" s="60" t="n">
        <v>62301000</v>
      </c>
      <c r="G1469" s="60" t="inlineStr">
        <is>
          <t>소모품비</t>
        </is>
      </c>
      <c r="H1469" s="61" t="n">
        <v>509100</v>
      </c>
      <c r="J1469" s="63">
        <f>IF($A1469="","",IFERROR(INDEX(부서매핑!$C$5:$C$504,MATCH($D1469&amp;"",부서매핑!$A$5:$A$504,0)),"미매핑"))</f>
        <v/>
      </c>
      <c r="K1469" s="63">
        <f>IF($A1469="","",IFERROR(INDEX(계정매핑!$C$5:$C$504,MATCH($F1469&amp;"",계정매핑!$A$5:$A$504,0)),"미매핑"))</f>
        <v/>
      </c>
      <c r="L1469" s="4">
        <f>IF($A1469="","",VALUE($A1469&amp;""))</f>
        <v/>
      </c>
      <c r="M1469" s="4">
        <f>IF($A1469="","",VALUE($B1469&amp;""))</f>
        <v/>
      </c>
      <c r="N1469" s="64">
        <f>IF($A1469="","",$H1469*설정!$C$15)</f>
        <v/>
      </c>
      <c r="O1469" s="4">
        <f>IF($A1469="","",J1469&amp;"|"&amp;K1469)</f>
        <v/>
      </c>
      <c r="P1469" s="63">
        <f>IF($A1469="","",IF(COUNTIFS(예산_원본!$T$5:$T$3004,O1469,예산_원본!$B$5:$B$3004,설정!$C$8,예산_원본!$U$5:$U$3004,L1469)&gt;0,"Y","N"))</f>
        <v/>
      </c>
      <c r="Q1469" s="63">
        <f>IF($A1469="","",IF(COUNTIF(집계!$E$7:$E$506,O1469)&gt;0,"Y","N"))</f>
        <v/>
      </c>
    </row>
    <row r="1470">
      <c r="A1470" s="60" t="n">
        <v>2026</v>
      </c>
      <c r="B1470" s="60" t="n">
        <v>7</v>
      </c>
      <c r="C1470" s="60" t="inlineStr">
        <is>
          <t>1000</t>
        </is>
      </c>
      <c r="D1470" s="60" t="n">
        <v>1602</v>
      </c>
      <c r="E1470" s="60" t="inlineStr">
        <is>
          <t>영업지원-지역본부</t>
        </is>
      </c>
      <c r="F1470" s="60" t="n">
        <v>62501000</v>
      </c>
      <c r="G1470" s="60" t="inlineStr">
        <is>
          <t>회의비</t>
        </is>
      </c>
      <c r="H1470" s="61" t="n">
        <v>621570</v>
      </c>
      <c r="J1470" s="63">
        <f>IF($A1470="","",IFERROR(INDEX(부서매핑!$C$5:$C$504,MATCH($D1470&amp;"",부서매핑!$A$5:$A$504,0)),"미매핑"))</f>
        <v/>
      </c>
      <c r="K1470" s="63">
        <f>IF($A1470="","",IFERROR(INDEX(계정매핑!$C$5:$C$504,MATCH($F1470&amp;"",계정매핑!$A$5:$A$504,0)),"미매핑"))</f>
        <v/>
      </c>
      <c r="L1470" s="4">
        <f>IF($A1470="","",VALUE($A1470&amp;""))</f>
        <v/>
      </c>
      <c r="M1470" s="4">
        <f>IF($A1470="","",VALUE($B1470&amp;""))</f>
        <v/>
      </c>
      <c r="N1470" s="64">
        <f>IF($A1470="","",$H1470*설정!$C$15)</f>
        <v/>
      </c>
      <c r="O1470" s="4">
        <f>IF($A1470="","",J1470&amp;"|"&amp;K1470)</f>
        <v/>
      </c>
      <c r="P1470" s="63">
        <f>IF($A1470="","",IF(COUNTIFS(예산_원본!$T$5:$T$3004,O1470,예산_원본!$B$5:$B$3004,설정!$C$8,예산_원본!$U$5:$U$3004,L1470)&gt;0,"Y","N"))</f>
        <v/>
      </c>
      <c r="Q1470" s="63">
        <f>IF($A1470="","",IF(COUNTIF(집계!$E$7:$E$506,O1470)&gt;0,"Y","N"))</f>
        <v/>
      </c>
    </row>
    <row r="1471">
      <c r="A1471" s="60" t="n">
        <v>2026</v>
      </c>
      <c r="B1471" s="60" t="n">
        <v>7</v>
      </c>
      <c r="C1471" s="60" t="inlineStr">
        <is>
          <t>1000</t>
        </is>
      </c>
      <c r="D1471" s="60" t="n">
        <v>1602</v>
      </c>
      <c r="E1471" s="60" t="inlineStr">
        <is>
          <t>영업지원-지역본부</t>
        </is>
      </c>
      <c r="F1471" s="60" t="n">
        <v>62601000</v>
      </c>
      <c r="G1471" s="60" t="inlineStr">
        <is>
          <t>업무추진비</t>
        </is>
      </c>
      <c r="H1471" s="61" t="n">
        <v>1659610</v>
      </c>
      <c r="J1471" s="63">
        <f>IF($A1471="","",IFERROR(INDEX(부서매핑!$C$5:$C$504,MATCH($D1471&amp;"",부서매핑!$A$5:$A$504,0)),"미매핑"))</f>
        <v/>
      </c>
      <c r="K1471" s="63">
        <f>IF($A1471="","",IFERROR(INDEX(계정매핑!$C$5:$C$504,MATCH($F1471&amp;"",계정매핑!$A$5:$A$504,0)),"미매핑"))</f>
        <v/>
      </c>
      <c r="L1471" s="4">
        <f>IF($A1471="","",VALUE($A1471&amp;""))</f>
        <v/>
      </c>
      <c r="M1471" s="4">
        <f>IF($A1471="","",VALUE($B1471&amp;""))</f>
        <v/>
      </c>
      <c r="N1471" s="64">
        <f>IF($A1471="","",$H1471*설정!$C$15)</f>
        <v/>
      </c>
      <c r="O1471" s="4">
        <f>IF($A1471="","",J1471&amp;"|"&amp;K1471)</f>
        <v/>
      </c>
      <c r="P1471" s="63">
        <f>IF($A1471="","",IF(COUNTIFS(예산_원본!$T$5:$T$3004,O1471,예산_원본!$B$5:$B$3004,설정!$C$8,예산_원본!$U$5:$U$3004,L1471)&gt;0,"Y","N"))</f>
        <v/>
      </c>
      <c r="Q1471" s="63">
        <f>IF($A1471="","",IF(COUNTIF(집계!$E$7:$E$506,O1471)&gt;0,"Y","N"))</f>
        <v/>
      </c>
    </row>
    <row r="1472">
      <c r="A1472" s="60" t="n">
        <v>2026</v>
      </c>
      <c r="B1472" s="60" t="n">
        <v>7</v>
      </c>
      <c r="C1472" s="60" t="inlineStr">
        <is>
          <t>1000</t>
        </is>
      </c>
      <c r="D1472" s="60" t="n">
        <v>1602</v>
      </c>
      <c r="E1472" s="60" t="inlineStr">
        <is>
          <t>영업지원-지역본부</t>
        </is>
      </c>
      <c r="F1472" s="60" t="n">
        <v>63101000</v>
      </c>
      <c r="G1472" s="60" t="inlineStr">
        <is>
          <t>임차료</t>
        </is>
      </c>
      <c r="H1472" s="61" t="n">
        <v>7410910</v>
      </c>
      <c r="J1472" s="63">
        <f>IF($A1472="","",IFERROR(INDEX(부서매핑!$C$5:$C$504,MATCH($D1472&amp;"",부서매핑!$A$5:$A$504,0)),"미매핑"))</f>
        <v/>
      </c>
      <c r="K1472" s="63">
        <f>IF($A1472="","",IFERROR(INDEX(계정매핑!$C$5:$C$504,MATCH($F1472&amp;"",계정매핑!$A$5:$A$504,0)),"미매핑"))</f>
        <v/>
      </c>
      <c r="L1472" s="4">
        <f>IF($A1472="","",VALUE($A1472&amp;""))</f>
        <v/>
      </c>
      <c r="M1472" s="4">
        <f>IF($A1472="","",VALUE($B1472&amp;""))</f>
        <v/>
      </c>
      <c r="N1472" s="64">
        <f>IF($A1472="","",$H1472*설정!$C$15)</f>
        <v/>
      </c>
      <c r="O1472" s="4">
        <f>IF($A1472="","",J1472&amp;"|"&amp;K1472)</f>
        <v/>
      </c>
      <c r="P1472" s="63">
        <f>IF($A1472="","",IF(COUNTIFS(예산_원본!$T$5:$T$3004,O1472,예산_원본!$B$5:$B$3004,설정!$C$8,예산_원본!$U$5:$U$3004,L1472)&gt;0,"Y","N"))</f>
        <v/>
      </c>
      <c r="Q1472" s="63">
        <f>IF($A1472="","",IF(COUNTIF(집계!$E$7:$E$506,O1472)&gt;0,"Y","N"))</f>
        <v/>
      </c>
    </row>
    <row r="1473">
      <c r="A1473" s="60" t="n">
        <v>2026</v>
      </c>
      <c r="B1473" s="60" t="n">
        <v>7</v>
      </c>
      <c r="C1473" s="60" t="inlineStr">
        <is>
          <t>1000</t>
        </is>
      </c>
      <c r="D1473" s="60" t="n">
        <v>1602</v>
      </c>
      <c r="E1473" s="60" t="inlineStr">
        <is>
          <t>영업지원-지역본부</t>
        </is>
      </c>
      <c r="F1473" s="60" t="n">
        <v>63201000</v>
      </c>
      <c r="G1473" s="60" t="inlineStr">
        <is>
          <t>차량유지비</t>
        </is>
      </c>
      <c r="H1473" s="61" t="n">
        <v>4107610</v>
      </c>
      <c r="J1473" s="63">
        <f>IF($A1473="","",IFERROR(INDEX(부서매핑!$C$5:$C$504,MATCH($D1473&amp;"",부서매핑!$A$5:$A$504,0)),"미매핑"))</f>
        <v/>
      </c>
      <c r="K1473" s="63">
        <f>IF($A1473="","",IFERROR(INDEX(계정매핑!$C$5:$C$504,MATCH($F1473&amp;"",계정매핑!$A$5:$A$504,0)),"미매핑"))</f>
        <v/>
      </c>
      <c r="L1473" s="4">
        <f>IF($A1473="","",VALUE($A1473&amp;""))</f>
        <v/>
      </c>
      <c r="M1473" s="4">
        <f>IF($A1473="","",VALUE($B1473&amp;""))</f>
        <v/>
      </c>
      <c r="N1473" s="64">
        <f>IF($A1473="","",$H1473*설정!$C$15)</f>
        <v/>
      </c>
      <c r="O1473" s="4">
        <f>IF($A1473="","",J1473&amp;"|"&amp;K1473)</f>
        <v/>
      </c>
      <c r="P1473" s="63">
        <f>IF($A1473="","",IF(COUNTIFS(예산_원본!$T$5:$T$3004,O1473,예산_원본!$B$5:$B$3004,설정!$C$8,예산_원본!$U$5:$U$3004,L1473)&gt;0,"Y","N"))</f>
        <v/>
      </c>
      <c r="Q1473" s="63">
        <f>IF($A1473="","",IF(COUNTIF(집계!$E$7:$E$506,O1473)&gt;0,"Y","N"))</f>
        <v/>
      </c>
    </row>
    <row r="1474">
      <c r="A1474" s="60" t="n">
        <v>2026</v>
      </c>
      <c r="B1474" s="60" t="n">
        <v>7</v>
      </c>
      <c r="C1474" s="60" t="inlineStr">
        <is>
          <t>1000</t>
        </is>
      </c>
      <c r="D1474" s="60" t="n">
        <v>1701</v>
      </c>
      <c r="E1474" s="60" t="inlineStr">
        <is>
          <t>IT운영</t>
        </is>
      </c>
      <c r="F1474" s="60" t="n">
        <v>62101000</v>
      </c>
      <c r="G1474" s="60" t="inlineStr">
        <is>
          <t>여비교통비-국내</t>
        </is>
      </c>
      <c r="H1474" s="61" t="n">
        <v>1004100</v>
      </c>
      <c r="J1474" s="63">
        <f>IF($A1474="","",IFERROR(INDEX(부서매핑!$C$5:$C$504,MATCH($D1474&amp;"",부서매핑!$A$5:$A$504,0)),"미매핑"))</f>
        <v/>
      </c>
      <c r="K1474" s="63">
        <f>IF($A1474="","",IFERROR(INDEX(계정매핑!$C$5:$C$504,MATCH($F1474&amp;"",계정매핑!$A$5:$A$504,0)),"미매핑"))</f>
        <v/>
      </c>
      <c r="L1474" s="4">
        <f>IF($A1474="","",VALUE($A1474&amp;""))</f>
        <v/>
      </c>
      <c r="M1474" s="4">
        <f>IF($A1474="","",VALUE($B1474&amp;""))</f>
        <v/>
      </c>
      <c r="N1474" s="64">
        <f>IF($A1474="","",$H1474*설정!$C$15)</f>
        <v/>
      </c>
      <c r="O1474" s="4">
        <f>IF($A1474="","",J1474&amp;"|"&amp;K1474)</f>
        <v/>
      </c>
      <c r="P1474" s="63">
        <f>IF($A1474="","",IF(COUNTIFS(예산_원본!$T$5:$T$3004,O1474,예산_원본!$B$5:$B$3004,설정!$C$8,예산_원본!$U$5:$U$3004,L1474)&gt;0,"Y","N"))</f>
        <v/>
      </c>
      <c r="Q1474" s="63">
        <f>IF($A1474="","",IF(COUNTIF(집계!$E$7:$E$506,O1474)&gt;0,"Y","N"))</f>
        <v/>
      </c>
    </row>
    <row r="1475">
      <c r="A1475" s="60" t="n">
        <v>2026</v>
      </c>
      <c r="B1475" s="60" t="n">
        <v>7</v>
      </c>
      <c r="C1475" s="60" t="inlineStr">
        <is>
          <t>1000</t>
        </is>
      </c>
      <c r="D1475" s="60" t="n">
        <v>1701</v>
      </c>
      <c r="E1475" s="60" t="inlineStr">
        <is>
          <t>IT운영</t>
        </is>
      </c>
      <c r="F1475" s="60" t="n">
        <v>62102000</v>
      </c>
      <c r="G1475" s="60" t="inlineStr">
        <is>
          <t>여비교통비-해외</t>
        </is>
      </c>
      <c r="H1475" s="61" t="n">
        <v>174470</v>
      </c>
      <c r="J1475" s="63">
        <f>IF($A1475="","",IFERROR(INDEX(부서매핑!$C$5:$C$504,MATCH($D1475&amp;"",부서매핑!$A$5:$A$504,0)),"미매핑"))</f>
        <v/>
      </c>
      <c r="K1475" s="63">
        <f>IF($A1475="","",IFERROR(INDEX(계정매핑!$C$5:$C$504,MATCH($F1475&amp;"",계정매핑!$A$5:$A$504,0)),"미매핑"))</f>
        <v/>
      </c>
      <c r="L1475" s="4">
        <f>IF($A1475="","",VALUE($A1475&amp;""))</f>
        <v/>
      </c>
      <c r="M1475" s="4">
        <f>IF($A1475="","",VALUE($B1475&amp;""))</f>
        <v/>
      </c>
      <c r="N1475" s="64">
        <f>IF($A1475="","",$H1475*설정!$C$15)</f>
        <v/>
      </c>
      <c r="O1475" s="4">
        <f>IF($A1475="","",J1475&amp;"|"&amp;K1475)</f>
        <v/>
      </c>
      <c r="P1475" s="63">
        <f>IF($A1475="","",IF(COUNTIFS(예산_원본!$T$5:$T$3004,O1475,예산_원본!$B$5:$B$3004,설정!$C$8,예산_원본!$U$5:$U$3004,L1475)&gt;0,"Y","N"))</f>
        <v/>
      </c>
      <c r="Q1475" s="63">
        <f>IF($A1475="","",IF(COUNTIF(집계!$E$7:$E$506,O1475)&gt;0,"Y","N"))</f>
        <v/>
      </c>
    </row>
    <row r="1476">
      <c r="A1476" s="60" t="n">
        <v>2026</v>
      </c>
      <c r="B1476" s="60" t="n">
        <v>7</v>
      </c>
      <c r="C1476" s="60" t="inlineStr">
        <is>
          <t>1000</t>
        </is>
      </c>
      <c r="D1476" s="60" t="n">
        <v>1701</v>
      </c>
      <c r="E1476" s="60" t="inlineStr">
        <is>
          <t>IT운영</t>
        </is>
      </c>
      <c r="F1476" s="60" t="n">
        <v>62201000</v>
      </c>
      <c r="G1476" s="60" t="inlineStr">
        <is>
          <t>통신비</t>
        </is>
      </c>
      <c r="H1476" s="61" t="n">
        <v>12664920</v>
      </c>
      <c r="J1476" s="63">
        <f>IF($A1476="","",IFERROR(INDEX(부서매핑!$C$5:$C$504,MATCH($D1476&amp;"",부서매핑!$A$5:$A$504,0)),"미매핑"))</f>
        <v/>
      </c>
      <c r="K1476" s="63">
        <f>IF($A1476="","",IFERROR(INDEX(계정매핑!$C$5:$C$504,MATCH($F1476&amp;"",계정매핑!$A$5:$A$504,0)),"미매핑"))</f>
        <v/>
      </c>
      <c r="L1476" s="4">
        <f>IF($A1476="","",VALUE($A1476&amp;""))</f>
        <v/>
      </c>
      <c r="M1476" s="4">
        <f>IF($A1476="","",VALUE($B1476&amp;""))</f>
        <v/>
      </c>
      <c r="N1476" s="64">
        <f>IF($A1476="","",$H1476*설정!$C$15)</f>
        <v/>
      </c>
      <c r="O1476" s="4">
        <f>IF($A1476="","",J1476&amp;"|"&amp;K1476)</f>
        <v/>
      </c>
      <c r="P1476" s="63">
        <f>IF($A1476="","",IF(COUNTIFS(예산_원본!$T$5:$T$3004,O1476,예산_원본!$B$5:$B$3004,설정!$C$8,예산_원본!$U$5:$U$3004,L1476)&gt;0,"Y","N"))</f>
        <v/>
      </c>
      <c r="Q1476" s="63">
        <f>IF($A1476="","",IF(COUNTIF(집계!$E$7:$E$506,O1476)&gt;0,"Y","N"))</f>
        <v/>
      </c>
    </row>
    <row r="1477">
      <c r="A1477" s="60" t="n">
        <v>2026</v>
      </c>
      <c r="B1477" s="60" t="n">
        <v>7</v>
      </c>
      <c r="C1477" s="60" t="inlineStr">
        <is>
          <t>1000</t>
        </is>
      </c>
      <c r="D1477" s="60" t="n">
        <v>1701</v>
      </c>
      <c r="E1477" s="60" t="inlineStr">
        <is>
          <t>IT운영</t>
        </is>
      </c>
      <c r="F1477" s="60" t="n">
        <v>62301000</v>
      </c>
      <c r="G1477" s="60" t="inlineStr">
        <is>
          <t>소모품비</t>
        </is>
      </c>
      <c r="H1477" s="61" t="n">
        <v>1044210</v>
      </c>
      <c r="J1477" s="63">
        <f>IF($A1477="","",IFERROR(INDEX(부서매핑!$C$5:$C$504,MATCH($D1477&amp;"",부서매핑!$A$5:$A$504,0)),"미매핑"))</f>
        <v/>
      </c>
      <c r="K1477" s="63">
        <f>IF($A1477="","",IFERROR(INDEX(계정매핑!$C$5:$C$504,MATCH($F1477&amp;"",계정매핑!$A$5:$A$504,0)),"미매핑"))</f>
        <v/>
      </c>
      <c r="L1477" s="4">
        <f>IF($A1477="","",VALUE($A1477&amp;""))</f>
        <v/>
      </c>
      <c r="M1477" s="4">
        <f>IF($A1477="","",VALUE($B1477&amp;""))</f>
        <v/>
      </c>
      <c r="N1477" s="64">
        <f>IF($A1477="","",$H1477*설정!$C$15)</f>
        <v/>
      </c>
      <c r="O1477" s="4">
        <f>IF($A1477="","",J1477&amp;"|"&amp;K1477)</f>
        <v/>
      </c>
      <c r="P1477" s="63">
        <f>IF($A1477="","",IF(COUNTIFS(예산_원본!$T$5:$T$3004,O1477,예산_원본!$B$5:$B$3004,설정!$C$8,예산_원본!$U$5:$U$3004,L1477)&gt;0,"Y","N"))</f>
        <v/>
      </c>
      <c r="Q1477" s="63">
        <f>IF($A1477="","",IF(COUNTIF(집계!$E$7:$E$506,O1477)&gt;0,"Y","N"))</f>
        <v/>
      </c>
    </row>
    <row r="1478">
      <c r="A1478" s="60" t="n">
        <v>2026</v>
      </c>
      <c r="B1478" s="60" t="n">
        <v>7</v>
      </c>
      <c r="C1478" s="60" t="inlineStr">
        <is>
          <t>1000</t>
        </is>
      </c>
      <c r="D1478" s="60" t="n">
        <v>1701</v>
      </c>
      <c r="E1478" s="60" t="inlineStr">
        <is>
          <t>IT운영</t>
        </is>
      </c>
      <c r="F1478" s="60" t="n">
        <v>62501000</v>
      </c>
      <c r="G1478" s="60" t="inlineStr">
        <is>
          <t>회의비</t>
        </is>
      </c>
      <c r="H1478" s="61" t="n">
        <v>421350</v>
      </c>
      <c r="J1478" s="63">
        <f>IF($A1478="","",IFERROR(INDEX(부서매핑!$C$5:$C$504,MATCH($D1478&amp;"",부서매핑!$A$5:$A$504,0)),"미매핑"))</f>
        <v/>
      </c>
      <c r="K1478" s="63">
        <f>IF($A1478="","",IFERROR(INDEX(계정매핑!$C$5:$C$504,MATCH($F1478&amp;"",계정매핑!$A$5:$A$504,0)),"미매핑"))</f>
        <v/>
      </c>
      <c r="L1478" s="4">
        <f>IF($A1478="","",VALUE($A1478&amp;""))</f>
        <v/>
      </c>
      <c r="M1478" s="4">
        <f>IF($A1478="","",VALUE($B1478&amp;""))</f>
        <v/>
      </c>
      <c r="N1478" s="64">
        <f>IF($A1478="","",$H1478*설정!$C$15)</f>
        <v/>
      </c>
      <c r="O1478" s="4">
        <f>IF($A1478="","",J1478&amp;"|"&amp;K1478)</f>
        <v/>
      </c>
      <c r="P1478" s="63">
        <f>IF($A1478="","",IF(COUNTIFS(예산_원본!$T$5:$T$3004,O1478,예산_원본!$B$5:$B$3004,설정!$C$8,예산_원본!$U$5:$U$3004,L1478)&gt;0,"Y","N"))</f>
        <v/>
      </c>
      <c r="Q1478" s="63">
        <f>IF($A1478="","",IF(COUNTIF(집계!$E$7:$E$506,O1478)&gt;0,"Y","N"))</f>
        <v/>
      </c>
    </row>
    <row r="1479">
      <c r="A1479" s="60" t="n">
        <v>2026</v>
      </c>
      <c r="B1479" s="60" t="n">
        <v>7</v>
      </c>
      <c r="C1479" s="60" t="inlineStr">
        <is>
          <t>1000</t>
        </is>
      </c>
      <c r="D1479" s="60" t="n">
        <v>1701</v>
      </c>
      <c r="E1479" s="60" t="inlineStr">
        <is>
          <t>IT운영</t>
        </is>
      </c>
      <c r="F1479" s="60" t="n">
        <v>63001000</v>
      </c>
      <c r="G1479" s="60" t="inlineStr">
        <is>
          <t>전산운영비-SW유지보수</t>
        </is>
      </c>
      <c r="H1479" s="61" t="n">
        <v>142237060</v>
      </c>
      <c r="J1479" s="63">
        <f>IF($A1479="","",IFERROR(INDEX(부서매핑!$C$5:$C$504,MATCH($D1479&amp;"",부서매핑!$A$5:$A$504,0)),"미매핑"))</f>
        <v/>
      </c>
      <c r="K1479" s="63">
        <f>IF($A1479="","",IFERROR(INDEX(계정매핑!$C$5:$C$504,MATCH($F1479&amp;"",계정매핑!$A$5:$A$504,0)),"미매핑"))</f>
        <v/>
      </c>
      <c r="L1479" s="4">
        <f>IF($A1479="","",VALUE($A1479&amp;""))</f>
        <v/>
      </c>
      <c r="M1479" s="4">
        <f>IF($A1479="","",VALUE($B1479&amp;""))</f>
        <v/>
      </c>
      <c r="N1479" s="64">
        <f>IF($A1479="","",$H1479*설정!$C$15)</f>
        <v/>
      </c>
      <c r="O1479" s="4">
        <f>IF($A1479="","",J1479&amp;"|"&amp;K1479)</f>
        <v/>
      </c>
      <c r="P1479" s="63">
        <f>IF($A1479="","",IF(COUNTIFS(예산_원본!$T$5:$T$3004,O1479,예산_원본!$B$5:$B$3004,설정!$C$8,예산_원본!$U$5:$U$3004,L1479)&gt;0,"Y","N"))</f>
        <v/>
      </c>
      <c r="Q1479" s="63">
        <f>IF($A1479="","",IF(COUNTIF(집계!$E$7:$E$506,O1479)&gt;0,"Y","N"))</f>
        <v/>
      </c>
    </row>
    <row r="1480">
      <c r="A1480" s="60" t="n">
        <v>2026</v>
      </c>
      <c r="B1480" s="60" t="n">
        <v>7</v>
      </c>
      <c r="C1480" s="60" t="inlineStr">
        <is>
          <t>1000</t>
        </is>
      </c>
      <c r="D1480" s="60" t="n">
        <v>1701</v>
      </c>
      <c r="E1480" s="60" t="inlineStr">
        <is>
          <t>IT운영</t>
        </is>
      </c>
      <c r="F1480" s="60" t="n">
        <v>63002000</v>
      </c>
      <c r="G1480" s="60" t="inlineStr">
        <is>
          <t>전산운영비-클라우드</t>
        </is>
      </c>
      <c r="H1480" s="61" t="n">
        <v>121268860</v>
      </c>
      <c r="J1480" s="63">
        <f>IF($A1480="","",IFERROR(INDEX(부서매핑!$C$5:$C$504,MATCH($D1480&amp;"",부서매핑!$A$5:$A$504,0)),"미매핑"))</f>
        <v/>
      </c>
      <c r="K1480" s="63">
        <f>IF($A1480="","",IFERROR(INDEX(계정매핑!$C$5:$C$504,MATCH($F1480&amp;"",계정매핑!$A$5:$A$504,0)),"미매핑"))</f>
        <v/>
      </c>
      <c r="L1480" s="4">
        <f>IF($A1480="","",VALUE($A1480&amp;""))</f>
        <v/>
      </c>
      <c r="M1480" s="4">
        <f>IF($A1480="","",VALUE($B1480&amp;""))</f>
        <v/>
      </c>
      <c r="N1480" s="64">
        <f>IF($A1480="","",$H1480*설정!$C$15)</f>
        <v/>
      </c>
      <c r="O1480" s="4">
        <f>IF($A1480="","",J1480&amp;"|"&amp;K1480)</f>
        <v/>
      </c>
      <c r="P1480" s="63">
        <f>IF($A1480="","",IF(COUNTIFS(예산_원본!$T$5:$T$3004,O1480,예산_원본!$B$5:$B$3004,설정!$C$8,예산_원본!$U$5:$U$3004,L1480)&gt;0,"Y","N"))</f>
        <v/>
      </c>
      <c r="Q1480" s="63">
        <f>IF($A1480="","",IF(COUNTIF(집계!$E$7:$E$506,O1480)&gt;0,"Y","N"))</f>
        <v/>
      </c>
    </row>
    <row r="1481">
      <c r="A1481" s="60" t="n">
        <v>2026</v>
      </c>
      <c r="B1481" s="60" t="n">
        <v>7</v>
      </c>
      <c r="C1481" s="60" t="inlineStr">
        <is>
          <t>1000</t>
        </is>
      </c>
      <c r="D1481" s="60" t="n">
        <v>1801</v>
      </c>
      <c r="E1481" s="60" t="inlineStr">
        <is>
          <t>고객서비스</t>
        </is>
      </c>
      <c r="F1481" s="60" t="n">
        <v>62101000</v>
      </c>
      <c r="G1481" s="60" t="inlineStr">
        <is>
          <t>여비교통비-국내</t>
        </is>
      </c>
      <c r="H1481" s="61" t="n">
        <v>669980</v>
      </c>
      <c r="J1481" s="63">
        <f>IF($A1481="","",IFERROR(INDEX(부서매핑!$C$5:$C$504,MATCH($D1481&amp;"",부서매핑!$A$5:$A$504,0)),"미매핑"))</f>
        <v/>
      </c>
      <c r="K1481" s="63">
        <f>IF($A1481="","",IFERROR(INDEX(계정매핑!$C$5:$C$504,MATCH($F1481&amp;"",계정매핑!$A$5:$A$504,0)),"미매핑"))</f>
        <v/>
      </c>
      <c r="L1481" s="4">
        <f>IF($A1481="","",VALUE($A1481&amp;""))</f>
        <v/>
      </c>
      <c r="M1481" s="4">
        <f>IF($A1481="","",VALUE($B1481&amp;""))</f>
        <v/>
      </c>
      <c r="N1481" s="64">
        <f>IF($A1481="","",$H1481*설정!$C$15)</f>
        <v/>
      </c>
      <c r="O1481" s="4">
        <f>IF($A1481="","",J1481&amp;"|"&amp;K1481)</f>
        <v/>
      </c>
      <c r="P1481" s="63">
        <f>IF($A1481="","",IF(COUNTIFS(예산_원본!$T$5:$T$3004,O1481,예산_원본!$B$5:$B$3004,설정!$C$8,예산_원본!$U$5:$U$3004,L1481)&gt;0,"Y","N"))</f>
        <v/>
      </c>
      <c r="Q1481" s="63">
        <f>IF($A1481="","",IF(COUNTIF(집계!$E$7:$E$506,O1481)&gt;0,"Y","N"))</f>
        <v/>
      </c>
    </row>
    <row r="1482">
      <c r="A1482" s="60" t="n">
        <v>2026</v>
      </c>
      <c r="B1482" s="60" t="n">
        <v>7</v>
      </c>
      <c r="C1482" s="60" t="inlineStr">
        <is>
          <t>1000</t>
        </is>
      </c>
      <c r="D1482" s="60" t="n">
        <v>1801</v>
      </c>
      <c r="E1482" s="60" t="inlineStr">
        <is>
          <t>고객서비스</t>
        </is>
      </c>
      <c r="F1482" s="60" t="n">
        <v>62102000</v>
      </c>
      <c r="G1482" s="60" t="inlineStr">
        <is>
          <t>여비교통비-해외</t>
        </is>
      </c>
      <c r="H1482" s="61" t="n">
        <v>131920</v>
      </c>
      <c r="J1482" s="63">
        <f>IF($A1482="","",IFERROR(INDEX(부서매핑!$C$5:$C$504,MATCH($D1482&amp;"",부서매핑!$A$5:$A$504,0)),"미매핑"))</f>
        <v/>
      </c>
      <c r="K1482" s="63">
        <f>IF($A1482="","",IFERROR(INDEX(계정매핑!$C$5:$C$504,MATCH($F1482&amp;"",계정매핑!$A$5:$A$504,0)),"미매핑"))</f>
        <v/>
      </c>
      <c r="L1482" s="4">
        <f>IF($A1482="","",VALUE($A1482&amp;""))</f>
        <v/>
      </c>
      <c r="M1482" s="4">
        <f>IF($A1482="","",VALUE($B1482&amp;""))</f>
        <v/>
      </c>
      <c r="N1482" s="64">
        <f>IF($A1482="","",$H1482*설정!$C$15)</f>
        <v/>
      </c>
      <c r="O1482" s="4">
        <f>IF($A1482="","",J1482&amp;"|"&amp;K1482)</f>
        <v/>
      </c>
      <c r="P1482" s="63">
        <f>IF($A1482="","",IF(COUNTIFS(예산_원본!$T$5:$T$3004,O1482,예산_원본!$B$5:$B$3004,설정!$C$8,예산_원본!$U$5:$U$3004,L1482)&gt;0,"Y","N"))</f>
        <v/>
      </c>
      <c r="Q1482" s="63">
        <f>IF($A1482="","",IF(COUNTIF(집계!$E$7:$E$506,O1482)&gt;0,"Y","N"))</f>
        <v/>
      </c>
    </row>
    <row r="1483">
      <c r="A1483" s="60" t="n">
        <v>2026</v>
      </c>
      <c r="B1483" s="60" t="n">
        <v>7</v>
      </c>
      <c r="C1483" s="60" t="inlineStr">
        <is>
          <t>1000</t>
        </is>
      </c>
      <c r="D1483" s="60" t="n">
        <v>1801</v>
      </c>
      <c r="E1483" s="60" t="inlineStr">
        <is>
          <t>고객서비스</t>
        </is>
      </c>
      <c r="F1483" s="60" t="n">
        <v>62201000</v>
      </c>
      <c r="G1483" s="60" t="inlineStr">
        <is>
          <t>통신비</t>
        </is>
      </c>
      <c r="H1483" s="61" t="n">
        <v>23610140</v>
      </c>
      <c r="J1483" s="63">
        <f>IF($A1483="","",IFERROR(INDEX(부서매핑!$C$5:$C$504,MATCH($D1483&amp;"",부서매핑!$A$5:$A$504,0)),"미매핑"))</f>
        <v/>
      </c>
      <c r="K1483" s="63">
        <f>IF($A1483="","",IFERROR(INDEX(계정매핑!$C$5:$C$504,MATCH($F1483&amp;"",계정매핑!$A$5:$A$504,0)),"미매핑"))</f>
        <v/>
      </c>
      <c r="L1483" s="4">
        <f>IF($A1483="","",VALUE($A1483&amp;""))</f>
        <v/>
      </c>
      <c r="M1483" s="4">
        <f>IF($A1483="","",VALUE($B1483&amp;""))</f>
        <v/>
      </c>
      <c r="N1483" s="64">
        <f>IF($A1483="","",$H1483*설정!$C$15)</f>
        <v/>
      </c>
      <c r="O1483" s="4">
        <f>IF($A1483="","",J1483&amp;"|"&amp;K1483)</f>
        <v/>
      </c>
      <c r="P1483" s="63">
        <f>IF($A1483="","",IF(COUNTIFS(예산_원본!$T$5:$T$3004,O1483,예산_원본!$B$5:$B$3004,설정!$C$8,예산_원본!$U$5:$U$3004,L1483)&gt;0,"Y","N"))</f>
        <v/>
      </c>
      <c r="Q1483" s="63">
        <f>IF($A1483="","",IF(COUNTIF(집계!$E$7:$E$506,O1483)&gt;0,"Y","N"))</f>
        <v/>
      </c>
    </row>
    <row r="1484">
      <c r="A1484" s="60" t="n">
        <v>2026</v>
      </c>
      <c r="B1484" s="60" t="n">
        <v>7</v>
      </c>
      <c r="C1484" s="60" t="inlineStr">
        <is>
          <t>1000</t>
        </is>
      </c>
      <c r="D1484" s="60" t="n">
        <v>1801</v>
      </c>
      <c r="E1484" s="60" t="inlineStr">
        <is>
          <t>고객서비스</t>
        </is>
      </c>
      <c r="F1484" s="60" t="n">
        <v>62301000</v>
      </c>
      <c r="G1484" s="60" t="inlineStr">
        <is>
          <t>소모품비</t>
        </is>
      </c>
      <c r="H1484" s="61" t="n">
        <v>1434490</v>
      </c>
      <c r="J1484" s="63">
        <f>IF($A1484="","",IFERROR(INDEX(부서매핑!$C$5:$C$504,MATCH($D1484&amp;"",부서매핑!$A$5:$A$504,0)),"미매핑"))</f>
        <v/>
      </c>
      <c r="K1484" s="63">
        <f>IF($A1484="","",IFERROR(INDEX(계정매핑!$C$5:$C$504,MATCH($F1484&amp;"",계정매핑!$A$5:$A$504,0)),"미매핑"))</f>
        <v/>
      </c>
      <c r="L1484" s="4">
        <f>IF($A1484="","",VALUE($A1484&amp;""))</f>
        <v/>
      </c>
      <c r="M1484" s="4">
        <f>IF($A1484="","",VALUE($B1484&amp;""))</f>
        <v/>
      </c>
      <c r="N1484" s="64">
        <f>IF($A1484="","",$H1484*설정!$C$15)</f>
        <v/>
      </c>
      <c r="O1484" s="4">
        <f>IF($A1484="","",J1484&amp;"|"&amp;K1484)</f>
        <v/>
      </c>
      <c r="P1484" s="63">
        <f>IF($A1484="","",IF(COUNTIFS(예산_원본!$T$5:$T$3004,O1484,예산_원본!$B$5:$B$3004,설정!$C$8,예산_원본!$U$5:$U$3004,L1484)&gt;0,"Y","N"))</f>
        <v/>
      </c>
      <c r="Q1484" s="63">
        <f>IF($A1484="","",IF(COUNTIF(집계!$E$7:$E$506,O1484)&gt;0,"Y","N"))</f>
        <v/>
      </c>
    </row>
    <row r="1485">
      <c r="A1485" s="60" t="n">
        <v>2026</v>
      </c>
      <c r="B1485" s="60" t="n">
        <v>7</v>
      </c>
      <c r="C1485" s="60" t="inlineStr">
        <is>
          <t>1000</t>
        </is>
      </c>
      <c r="D1485" s="60" t="n">
        <v>1801</v>
      </c>
      <c r="E1485" s="60" t="inlineStr">
        <is>
          <t>고객서비스</t>
        </is>
      </c>
      <c r="F1485" s="60" t="n">
        <v>62401000</v>
      </c>
      <c r="G1485" s="60" t="inlineStr">
        <is>
          <t>도서인쇄비</t>
        </is>
      </c>
      <c r="H1485" s="61" t="n">
        <v>8192140</v>
      </c>
      <c r="J1485" s="63">
        <f>IF($A1485="","",IFERROR(INDEX(부서매핑!$C$5:$C$504,MATCH($D1485&amp;"",부서매핑!$A$5:$A$504,0)),"미매핑"))</f>
        <v/>
      </c>
      <c r="K1485" s="63">
        <f>IF($A1485="","",IFERROR(INDEX(계정매핑!$C$5:$C$504,MATCH($F1485&amp;"",계정매핑!$A$5:$A$504,0)),"미매핑"))</f>
        <v/>
      </c>
      <c r="L1485" s="4">
        <f>IF($A1485="","",VALUE($A1485&amp;""))</f>
        <v/>
      </c>
      <c r="M1485" s="4">
        <f>IF($A1485="","",VALUE($B1485&amp;""))</f>
        <v/>
      </c>
      <c r="N1485" s="64">
        <f>IF($A1485="","",$H1485*설정!$C$15)</f>
        <v/>
      </c>
      <c r="O1485" s="4">
        <f>IF($A1485="","",J1485&amp;"|"&amp;K1485)</f>
        <v/>
      </c>
      <c r="P1485" s="63">
        <f>IF($A1485="","",IF(COUNTIFS(예산_원본!$T$5:$T$3004,O1485,예산_원본!$B$5:$B$3004,설정!$C$8,예산_원본!$U$5:$U$3004,L1485)&gt;0,"Y","N"))</f>
        <v/>
      </c>
      <c r="Q1485" s="63">
        <f>IF($A1485="","",IF(COUNTIF(집계!$E$7:$E$506,O1485)&gt;0,"Y","N"))</f>
        <v/>
      </c>
    </row>
    <row r="1486">
      <c r="A1486" s="60" t="n">
        <v>2026</v>
      </c>
      <c r="B1486" s="60" t="n">
        <v>7</v>
      </c>
      <c r="C1486" s="60" t="inlineStr">
        <is>
          <t>1000</t>
        </is>
      </c>
      <c r="D1486" s="60" t="n">
        <v>1801</v>
      </c>
      <c r="E1486" s="60" t="inlineStr">
        <is>
          <t>고객서비스</t>
        </is>
      </c>
      <c r="F1486" s="60" t="n">
        <v>62501000</v>
      </c>
      <c r="G1486" s="60" t="inlineStr">
        <is>
          <t>회의비</t>
        </is>
      </c>
      <c r="H1486" s="61" t="n">
        <v>450920</v>
      </c>
      <c r="J1486" s="63">
        <f>IF($A1486="","",IFERROR(INDEX(부서매핑!$C$5:$C$504,MATCH($D1486&amp;"",부서매핑!$A$5:$A$504,0)),"미매핑"))</f>
        <v/>
      </c>
      <c r="K1486" s="63">
        <f>IF($A1486="","",IFERROR(INDEX(계정매핑!$C$5:$C$504,MATCH($F1486&amp;"",계정매핑!$A$5:$A$504,0)),"미매핑"))</f>
        <v/>
      </c>
      <c r="L1486" s="4">
        <f>IF($A1486="","",VALUE($A1486&amp;""))</f>
        <v/>
      </c>
      <c r="M1486" s="4">
        <f>IF($A1486="","",VALUE($B1486&amp;""))</f>
        <v/>
      </c>
      <c r="N1486" s="64">
        <f>IF($A1486="","",$H1486*설정!$C$15)</f>
        <v/>
      </c>
      <c r="O1486" s="4">
        <f>IF($A1486="","",J1486&amp;"|"&amp;K1486)</f>
        <v/>
      </c>
      <c r="P1486" s="63">
        <f>IF($A1486="","",IF(COUNTIFS(예산_원본!$T$5:$T$3004,O1486,예산_원본!$B$5:$B$3004,설정!$C$8,예산_원본!$U$5:$U$3004,L1486)&gt;0,"Y","N"))</f>
        <v/>
      </c>
      <c r="Q1486" s="63">
        <f>IF($A1486="","",IF(COUNTIF(집계!$E$7:$E$506,O1486)&gt;0,"Y","N"))</f>
        <v/>
      </c>
    </row>
    <row r="1487">
      <c r="A1487" s="60" t="n">
        <v>2026</v>
      </c>
      <c r="B1487" s="60" t="n">
        <v>7</v>
      </c>
      <c r="C1487" s="60" t="inlineStr">
        <is>
          <t>1000</t>
        </is>
      </c>
      <c r="D1487" s="60" t="n">
        <v>1801</v>
      </c>
      <c r="E1487" s="60" t="inlineStr">
        <is>
          <t>고객서비스</t>
        </is>
      </c>
      <c r="F1487" s="60" t="n">
        <v>62901000</v>
      </c>
      <c r="G1487" s="60" t="inlineStr">
        <is>
          <t>지급수수료-컨설팅</t>
        </is>
      </c>
      <c r="H1487" s="61" t="n">
        <v>30085860</v>
      </c>
      <c r="J1487" s="63">
        <f>IF($A1487="","",IFERROR(INDEX(부서매핑!$C$5:$C$504,MATCH($D1487&amp;"",부서매핑!$A$5:$A$504,0)),"미매핑"))</f>
        <v/>
      </c>
      <c r="K1487" s="63">
        <f>IF($A1487="","",IFERROR(INDEX(계정매핑!$C$5:$C$504,MATCH($F1487&amp;"",계정매핑!$A$5:$A$504,0)),"미매핑"))</f>
        <v/>
      </c>
      <c r="L1487" s="4">
        <f>IF($A1487="","",VALUE($A1487&amp;""))</f>
        <v/>
      </c>
      <c r="M1487" s="4">
        <f>IF($A1487="","",VALUE($B1487&amp;""))</f>
        <v/>
      </c>
      <c r="N1487" s="64">
        <f>IF($A1487="","",$H1487*설정!$C$15)</f>
        <v/>
      </c>
      <c r="O1487" s="4">
        <f>IF($A1487="","",J1487&amp;"|"&amp;K1487)</f>
        <v/>
      </c>
      <c r="P1487" s="63">
        <f>IF($A1487="","",IF(COUNTIFS(예산_원본!$T$5:$T$3004,O1487,예산_원본!$B$5:$B$3004,설정!$C$8,예산_원본!$U$5:$U$3004,L1487)&gt;0,"Y","N"))</f>
        <v/>
      </c>
      <c r="Q1487" s="63">
        <f>IF($A1487="","",IF(COUNTIF(집계!$E$7:$E$506,O1487)&gt;0,"Y","N"))</f>
        <v/>
      </c>
    </row>
    <row r="1488">
      <c r="A1488" s="60" t="n">
        <v>2026</v>
      </c>
      <c r="B1488" s="60" t="n">
        <v>7</v>
      </c>
      <c r="C1488" s="60" t="inlineStr">
        <is>
          <t>1000</t>
        </is>
      </c>
      <c r="D1488" s="60" t="n">
        <v>1801</v>
      </c>
      <c r="E1488" s="60" t="inlineStr">
        <is>
          <t>고객서비스</t>
        </is>
      </c>
      <c r="F1488" s="60" t="n">
        <v>62902000</v>
      </c>
      <c r="G1488" s="60" t="inlineStr">
        <is>
          <t>지급수수료-기타</t>
        </is>
      </c>
      <c r="H1488" s="61" t="n">
        <v>12325940</v>
      </c>
      <c r="J1488" s="63">
        <f>IF($A1488="","",IFERROR(INDEX(부서매핑!$C$5:$C$504,MATCH($D1488&amp;"",부서매핑!$A$5:$A$504,0)),"미매핑"))</f>
        <v/>
      </c>
      <c r="K1488" s="63">
        <f>IF($A1488="","",IFERROR(INDEX(계정매핑!$C$5:$C$504,MATCH($F1488&amp;"",계정매핑!$A$5:$A$504,0)),"미매핑"))</f>
        <v/>
      </c>
      <c r="L1488" s="4">
        <f>IF($A1488="","",VALUE($A1488&amp;""))</f>
        <v/>
      </c>
      <c r="M1488" s="4">
        <f>IF($A1488="","",VALUE($B1488&amp;""))</f>
        <v/>
      </c>
      <c r="N1488" s="64">
        <f>IF($A1488="","",$H1488*설정!$C$15)</f>
        <v/>
      </c>
      <c r="O1488" s="4">
        <f>IF($A1488="","",J1488&amp;"|"&amp;K1488)</f>
        <v/>
      </c>
      <c r="P1488" s="63">
        <f>IF($A1488="","",IF(COUNTIFS(예산_원본!$T$5:$T$3004,O1488,예산_원본!$B$5:$B$3004,설정!$C$8,예산_원본!$U$5:$U$3004,L1488)&gt;0,"Y","N"))</f>
        <v/>
      </c>
      <c r="Q1488" s="63">
        <f>IF($A1488="","",IF(COUNTIF(집계!$E$7:$E$506,O1488)&gt;0,"Y","N"))</f>
        <v/>
      </c>
    </row>
    <row r="1489">
      <c r="A1489" s="60" t="n">
        <v>2026</v>
      </c>
      <c r="B1489" s="60" t="n">
        <v>8</v>
      </c>
      <c r="C1489" s="60" t="inlineStr">
        <is>
          <t>1000</t>
        </is>
      </c>
      <c r="D1489" s="60" t="n">
        <v>1101</v>
      </c>
      <c r="E1489" s="60" t="inlineStr">
        <is>
          <t>경영기획</t>
        </is>
      </c>
      <c r="F1489" s="60" t="n">
        <v>62101000</v>
      </c>
      <c r="G1489" s="60" t="inlineStr">
        <is>
          <t>여비교통비-국내</t>
        </is>
      </c>
      <c r="H1489" s="61" t="n">
        <v>2696170</v>
      </c>
      <c r="J1489" s="63">
        <f>IF($A1489="","",IFERROR(INDEX(부서매핑!$C$5:$C$504,MATCH($D1489&amp;"",부서매핑!$A$5:$A$504,0)),"미매핑"))</f>
        <v/>
      </c>
      <c r="K1489" s="63">
        <f>IF($A1489="","",IFERROR(INDEX(계정매핑!$C$5:$C$504,MATCH($F1489&amp;"",계정매핑!$A$5:$A$504,0)),"미매핑"))</f>
        <v/>
      </c>
      <c r="L1489" s="4">
        <f>IF($A1489="","",VALUE($A1489&amp;""))</f>
        <v/>
      </c>
      <c r="M1489" s="4">
        <f>IF($A1489="","",VALUE($B1489&amp;""))</f>
        <v/>
      </c>
      <c r="N1489" s="64">
        <f>IF($A1489="","",$H1489*설정!$C$15)</f>
        <v/>
      </c>
      <c r="O1489" s="4">
        <f>IF($A1489="","",J1489&amp;"|"&amp;K1489)</f>
        <v/>
      </c>
      <c r="P1489" s="63">
        <f>IF($A1489="","",IF(COUNTIFS(예산_원본!$T$5:$T$3004,O1489,예산_원본!$B$5:$B$3004,설정!$C$8,예산_원본!$U$5:$U$3004,L1489)&gt;0,"Y","N"))</f>
        <v/>
      </c>
      <c r="Q1489" s="63">
        <f>IF($A1489="","",IF(COUNTIF(집계!$E$7:$E$506,O1489)&gt;0,"Y","N"))</f>
        <v/>
      </c>
    </row>
    <row r="1490">
      <c r="A1490" s="60" t="n">
        <v>2026</v>
      </c>
      <c r="B1490" s="60" t="n">
        <v>8</v>
      </c>
      <c r="C1490" s="60" t="inlineStr">
        <is>
          <t>1000</t>
        </is>
      </c>
      <c r="D1490" s="60" t="n">
        <v>1101</v>
      </c>
      <c r="E1490" s="60" t="inlineStr">
        <is>
          <t>경영기획</t>
        </is>
      </c>
      <c r="F1490" s="60" t="n">
        <v>62102000</v>
      </c>
      <c r="G1490" s="60" t="inlineStr">
        <is>
          <t>여비교통비-해외</t>
        </is>
      </c>
      <c r="H1490" s="61" t="n">
        <v>426070</v>
      </c>
      <c r="J1490" s="63">
        <f>IF($A1490="","",IFERROR(INDEX(부서매핑!$C$5:$C$504,MATCH($D1490&amp;"",부서매핑!$A$5:$A$504,0)),"미매핑"))</f>
        <v/>
      </c>
      <c r="K1490" s="63">
        <f>IF($A1490="","",IFERROR(INDEX(계정매핑!$C$5:$C$504,MATCH($F1490&amp;"",계정매핑!$A$5:$A$504,0)),"미매핑"))</f>
        <v/>
      </c>
      <c r="L1490" s="4">
        <f>IF($A1490="","",VALUE($A1490&amp;""))</f>
        <v/>
      </c>
      <c r="M1490" s="4">
        <f>IF($A1490="","",VALUE($B1490&amp;""))</f>
        <v/>
      </c>
      <c r="N1490" s="64">
        <f>IF($A1490="","",$H1490*설정!$C$15)</f>
        <v/>
      </c>
      <c r="O1490" s="4">
        <f>IF($A1490="","",J1490&amp;"|"&amp;K1490)</f>
        <v/>
      </c>
      <c r="P1490" s="63">
        <f>IF($A1490="","",IF(COUNTIFS(예산_원본!$T$5:$T$3004,O1490,예산_원본!$B$5:$B$3004,설정!$C$8,예산_원본!$U$5:$U$3004,L1490)&gt;0,"Y","N"))</f>
        <v/>
      </c>
      <c r="Q1490" s="63">
        <f>IF($A1490="","",IF(COUNTIF(집계!$E$7:$E$506,O1490)&gt;0,"Y","N"))</f>
        <v/>
      </c>
    </row>
    <row r="1491">
      <c r="A1491" s="60" t="n">
        <v>2026</v>
      </c>
      <c r="B1491" s="60" t="n">
        <v>8</v>
      </c>
      <c r="C1491" s="60" t="inlineStr">
        <is>
          <t>1000</t>
        </is>
      </c>
      <c r="D1491" s="60" t="n">
        <v>1101</v>
      </c>
      <c r="E1491" s="60" t="inlineStr">
        <is>
          <t>경영기획</t>
        </is>
      </c>
      <c r="F1491" s="60" t="n">
        <v>62201000</v>
      </c>
      <c r="G1491" s="60" t="inlineStr">
        <is>
          <t>통신비</t>
        </is>
      </c>
      <c r="H1491" s="61" t="n">
        <v>653040</v>
      </c>
      <c r="J1491" s="63">
        <f>IF($A1491="","",IFERROR(INDEX(부서매핑!$C$5:$C$504,MATCH($D1491&amp;"",부서매핑!$A$5:$A$504,0)),"미매핑"))</f>
        <v/>
      </c>
      <c r="K1491" s="63">
        <f>IF($A1491="","",IFERROR(INDEX(계정매핑!$C$5:$C$504,MATCH($F1491&amp;"",계정매핑!$A$5:$A$504,0)),"미매핑"))</f>
        <v/>
      </c>
      <c r="L1491" s="4">
        <f>IF($A1491="","",VALUE($A1491&amp;""))</f>
        <v/>
      </c>
      <c r="M1491" s="4">
        <f>IF($A1491="","",VALUE($B1491&amp;""))</f>
        <v/>
      </c>
      <c r="N1491" s="64">
        <f>IF($A1491="","",$H1491*설정!$C$15)</f>
        <v/>
      </c>
      <c r="O1491" s="4">
        <f>IF($A1491="","",J1491&amp;"|"&amp;K1491)</f>
        <v/>
      </c>
      <c r="P1491" s="63">
        <f>IF($A1491="","",IF(COUNTIFS(예산_원본!$T$5:$T$3004,O1491,예산_원본!$B$5:$B$3004,설정!$C$8,예산_원본!$U$5:$U$3004,L1491)&gt;0,"Y","N"))</f>
        <v/>
      </c>
      <c r="Q1491" s="63">
        <f>IF($A1491="","",IF(COUNTIF(집계!$E$7:$E$506,O1491)&gt;0,"Y","N"))</f>
        <v/>
      </c>
    </row>
    <row r="1492">
      <c r="A1492" s="60" t="n">
        <v>2026</v>
      </c>
      <c r="B1492" s="60" t="n">
        <v>8</v>
      </c>
      <c r="C1492" s="60" t="inlineStr">
        <is>
          <t>1000</t>
        </is>
      </c>
      <c r="D1492" s="60" t="n">
        <v>1101</v>
      </c>
      <c r="E1492" s="60" t="inlineStr">
        <is>
          <t>경영기획</t>
        </is>
      </c>
      <c r="F1492" s="60" t="n">
        <v>62301000</v>
      </c>
      <c r="G1492" s="60" t="inlineStr">
        <is>
          <t>소모품비</t>
        </is>
      </c>
      <c r="H1492" s="61" t="n">
        <v>488660</v>
      </c>
      <c r="J1492" s="63">
        <f>IF($A1492="","",IFERROR(INDEX(부서매핑!$C$5:$C$504,MATCH($D1492&amp;"",부서매핑!$A$5:$A$504,0)),"미매핑"))</f>
        <v/>
      </c>
      <c r="K1492" s="63">
        <f>IF($A1492="","",IFERROR(INDEX(계정매핑!$C$5:$C$504,MATCH($F1492&amp;"",계정매핑!$A$5:$A$504,0)),"미매핑"))</f>
        <v/>
      </c>
      <c r="L1492" s="4">
        <f>IF($A1492="","",VALUE($A1492&amp;""))</f>
        <v/>
      </c>
      <c r="M1492" s="4">
        <f>IF($A1492="","",VALUE($B1492&amp;""))</f>
        <v/>
      </c>
      <c r="N1492" s="64">
        <f>IF($A1492="","",$H1492*설정!$C$15)</f>
        <v/>
      </c>
      <c r="O1492" s="4">
        <f>IF($A1492="","",J1492&amp;"|"&amp;K1492)</f>
        <v/>
      </c>
      <c r="P1492" s="63">
        <f>IF($A1492="","",IF(COUNTIFS(예산_원본!$T$5:$T$3004,O1492,예산_원본!$B$5:$B$3004,설정!$C$8,예산_원본!$U$5:$U$3004,L1492)&gt;0,"Y","N"))</f>
        <v/>
      </c>
      <c r="Q1492" s="63">
        <f>IF($A1492="","",IF(COUNTIF(집계!$E$7:$E$506,O1492)&gt;0,"Y","N"))</f>
        <v/>
      </c>
    </row>
    <row r="1493">
      <c r="A1493" s="60" t="n">
        <v>2026</v>
      </c>
      <c r="B1493" s="60" t="n">
        <v>8</v>
      </c>
      <c r="C1493" s="60" t="inlineStr">
        <is>
          <t>1000</t>
        </is>
      </c>
      <c r="D1493" s="60" t="n">
        <v>1101</v>
      </c>
      <c r="E1493" s="60" t="inlineStr">
        <is>
          <t>경영기획</t>
        </is>
      </c>
      <c r="F1493" s="60" t="n">
        <v>62501000</v>
      </c>
      <c r="G1493" s="60" t="inlineStr">
        <is>
          <t>회의비</t>
        </is>
      </c>
      <c r="H1493" s="61" t="n">
        <v>957360</v>
      </c>
      <c r="J1493" s="63">
        <f>IF($A1493="","",IFERROR(INDEX(부서매핑!$C$5:$C$504,MATCH($D1493&amp;"",부서매핑!$A$5:$A$504,0)),"미매핑"))</f>
        <v/>
      </c>
      <c r="K1493" s="63">
        <f>IF($A1493="","",IFERROR(INDEX(계정매핑!$C$5:$C$504,MATCH($F1493&amp;"",계정매핑!$A$5:$A$504,0)),"미매핑"))</f>
        <v/>
      </c>
      <c r="L1493" s="4">
        <f>IF($A1493="","",VALUE($A1493&amp;""))</f>
        <v/>
      </c>
      <c r="M1493" s="4">
        <f>IF($A1493="","",VALUE($B1493&amp;""))</f>
        <v/>
      </c>
      <c r="N1493" s="64">
        <f>IF($A1493="","",$H1493*설정!$C$15)</f>
        <v/>
      </c>
      <c r="O1493" s="4">
        <f>IF($A1493="","",J1493&amp;"|"&amp;K1493)</f>
        <v/>
      </c>
      <c r="P1493" s="63">
        <f>IF($A1493="","",IF(COUNTIFS(예산_원본!$T$5:$T$3004,O1493,예산_원본!$B$5:$B$3004,설정!$C$8,예산_원본!$U$5:$U$3004,L1493)&gt;0,"Y","N"))</f>
        <v/>
      </c>
      <c r="Q1493" s="63">
        <f>IF($A1493="","",IF(COUNTIF(집계!$E$7:$E$506,O1493)&gt;0,"Y","N"))</f>
        <v/>
      </c>
    </row>
    <row r="1494">
      <c r="A1494" s="60" t="n">
        <v>2026</v>
      </c>
      <c r="B1494" s="60" t="n">
        <v>8</v>
      </c>
      <c r="C1494" s="60" t="inlineStr">
        <is>
          <t>1000</t>
        </is>
      </c>
      <c r="D1494" s="60" t="n">
        <v>1101</v>
      </c>
      <c r="E1494" s="60" t="inlineStr">
        <is>
          <t>경영기획</t>
        </is>
      </c>
      <c r="F1494" s="60" t="n">
        <v>62601000</v>
      </c>
      <c r="G1494" s="60" t="inlineStr">
        <is>
          <t>업무추진비</t>
        </is>
      </c>
      <c r="H1494" s="61" t="n">
        <v>3478440</v>
      </c>
      <c r="J1494" s="63">
        <f>IF($A1494="","",IFERROR(INDEX(부서매핑!$C$5:$C$504,MATCH($D1494&amp;"",부서매핑!$A$5:$A$504,0)),"미매핑"))</f>
        <v/>
      </c>
      <c r="K1494" s="63">
        <f>IF($A1494="","",IFERROR(INDEX(계정매핑!$C$5:$C$504,MATCH($F1494&amp;"",계정매핑!$A$5:$A$504,0)),"미매핑"))</f>
        <v/>
      </c>
      <c r="L1494" s="4">
        <f>IF($A1494="","",VALUE($A1494&amp;""))</f>
        <v/>
      </c>
      <c r="M1494" s="4">
        <f>IF($A1494="","",VALUE($B1494&amp;""))</f>
        <v/>
      </c>
      <c r="N1494" s="64">
        <f>IF($A1494="","",$H1494*설정!$C$15)</f>
        <v/>
      </c>
      <c r="O1494" s="4">
        <f>IF($A1494="","",J1494&amp;"|"&amp;K1494)</f>
        <v/>
      </c>
      <c r="P1494" s="63">
        <f>IF($A1494="","",IF(COUNTIFS(예산_원본!$T$5:$T$3004,O1494,예산_원본!$B$5:$B$3004,설정!$C$8,예산_원본!$U$5:$U$3004,L1494)&gt;0,"Y","N"))</f>
        <v/>
      </c>
      <c r="Q1494" s="63">
        <f>IF($A1494="","",IF(COUNTIF(집계!$E$7:$E$506,O1494)&gt;0,"Y","N"))</f>
        <v/>
      </c>
    </row>
    <row r="1495">
      <c r="A1495" s="60" t="n">
        <v>2026</v>
      </c>
      <c r="B1495" s="60" t="n">
        <v>8</v>
      </c>
      <c r="C1495" s="60" t="inlineStr">
        <is>
          <t>1000</t>
        </is>
      </c>
      <c r="D1495" s="60" t="n">
        <v>1101</v>
      </c>
      <c r="E1495" s="60" t="inlineStr">
        <is>
          <t>경영기획</t>
        </is>
      </c>
      <c r="F1495" s="60" t="n">
        <v>62901000</v>
      </c>
      <c r="G1495" s="60" t="inlineStr">
        <is>
          <t>지급수수료-컨설팅</t>
        </is>
      </c>
      <c r="H1495" s="61" t="n">
        <v>12723240</v>
      </c>
      <c r="J1495" s="63">
        <f>IF($A1495="","",IFERROR(INDEX(부서매핑!$C$5:$C$504,MATCH($D1495&amp;"",부서매핑!$A$5:$A$504,0)),"미매핑"))</f>
        <v/>
      </c>
      <c r="K1495" s="63">
        <f>IF($A1495="","",IFERROR(INDEX(계정매핑!$C$5:$C$504,MATCH($F1495&amp;"",계정매핑!$A$5:$A$504,0)),"미매핑"))</f>
        <v/>
      </c>
      <c r="L1495" s="4">
        <f>IF($A1495="","",VALUE($A1495&amp;""))</f>
        <v/>
      </c>
      <c r="M1495" s="4">
        <f>IF($A1495="","",VALUE($B1495&amp;""))</f>
        <v/>
      </c>
      <c r="N1495" s="64">
        <f>IF($A1495="","",$H1495*설정!$C$15)</f>
        <v/>
      </c>
      <c r="O1495" s="4">
        <f>IF($A1495="","",J1495&amp;"|"&amp;K1495)</f>
        <v/>
      </c>
      <c r="P1495" s="63">
        <f>IF($A1495="","",IF(COUNTIFS(예산_원본!$T$5:$T$3004,O1495,예산_원본!$B$5:$B$3004,설정!$C$8,예산_원본!$U$5:$U$3004,L1495)&gt;0,"Y","N"))</f>
        <v/>
      </c>
      <c r="Q1495" s="63">
        <f>IF($A1495="","",IF(COUNTIF(집계!$E$7:$E$506,O1495)&gt;0,"Y","N"))</f>
        <v/>
      </c>
    </row>
    <row r="1496">
      <c r="A1496" s="60" t="n">
        <v>2026</v>
      </c>
      <c r="B1496" s="60" t="n">
        <v>8</v>
      </c>
      <c r="C1496" s="60" t="inlineStr">
        <is>
          <t>1000</t>
        </is>
      </c>
      <c r="D1496" s="60" t="n">
        <v>1101</v>
      </c>
      <c r="E1496" s="60" t="inlineStr">
        <is>
          <t>경영기획</t>
        </is>
      </c>
      <c r="F1496" s="60" t="n">
        <v>62902000</v>
      </c>
      <c r="G1496" s="60" t="inlineStr">
        <is>
          <t>지급수수료-기타</t>
        </is>
      </c>
      <c r="H1496" s="61" t="n">
        <v>5394420</v>
      </c>
      <c r="J1496" s="63">
        <f>IF($A1496="","",IFERROR(INDEX(부서매핑!$C$5:$C$504,MATCH($D1496&amp;"",부서매핑!$A$5:$A$504,0)),"미매핑"))</f>
        <v/>
      </c>
      <c r="K1496" s="63">
        <f>IF($A1496="","",IFERROR(INDEX(계정매핑!$C$5:$C$504,MATCH($F1496&amp;"",계정매핑!$A$5:$A$504,0)),"미매핑"))</f>
        <v/>
      </c>
      <c r="L1496" s="4">
        <f>IF($A1496="","",VALUE($A1496&amp;""))</f>
        <v/>
      </c>
      <c r="M1496" s="4">
        <f>IF($A1496="","",VALUE($B1496&amp;""))</f>
        <v/>
      </c>
      <c r="N1496" s="64">
        <f>IF($A1496="","",$H1496*설정!$C$15)</f>
        <v/>
      </c>
      <c r="O1496" s="4">
        <f>IF($A1496="","",J1496&amp;"|"&amp;K1496)</f>
        <v/>
      </c>
      <c r="P1496" s="63">
        <f>IF($A1496="","",IF(COUNTIFS(예산_원본!$T$5:$T$3004,O1496,예산_원본!$B$5:$B$3004,설정!$C$8,예산_원본!$U$5:$U$3004,L1496)&gt;0,"Y","N"))</f>
        <v/>
      </c>
      <c r="Q1496" s="63">
        <f>IF($A1496="","",IF(COUNTIF(집계!$E$7:$E$506,O1496)&gt;0,"Y","N"))</f>
        <v/>
      </c>
    </row>
    <row r="1497">
      <c r="A1497" s="60" t="n">
        <v>2026</v>
      </c>
      <c r="B1497" s="60" t="n">
        <v>8</v>
      </c>
      <c r="C1497" s="60" t="inlineStr">
        <is>
          <t>1000</t>
        </is>
      </c>
      <c r="D1497" s="60" t="n">
        <v>1201</v>
      </c>
      <c r="E1497" s="60" t="inlineStr">
        <is>
          <t>재무회계</t>
        </is>
      </c>
      <c r="F1497" s="60" t="n">
        <v>62101000</v>
      </c>
      <c r="G1497" s="60" t="inlineStr">
        <is>
          <t>여비교통비-국내</t>
        </is>
      </c>
      <c r="H1497" s="61" t="n">
        <v>992410</v>
      </c>
      <c r="J1497" s="63">
        <f>IF($A1497="","",IFERROR(INDEX(부서매핑!$C$5:$C$504,MATCH($D1497&amp;"",부서매핑!$A$5:$A$504,0)),"미매핑"))</f>
        <v/>
      </c>
      <c r="K1497" s="63">
        <f>IF($A1497="","",IFERROR(INDEX(계정매핑!$C$5:$C$504,MATCH($F1497&amp;"",계정매핑!$A$5:$A$504,0)),"미매핑"))</f>
        <v/>
      </c>
      <c r="L1497" s="4">
        <f>IF($A1497="","",VALUE($A1497&amp;""))</f>
        <v/>
      </c>
      <c r="M1497" s="4">
        <f>IF($A1497="","",VALUE($B1497&amp;""))</f>
        <v/>
      </c>
      <c r="N1497" s="64">
        <f>IF($A1497="","",$H1497*설정!$C$15)</f>
        <v/>
      </c>
      <c r="O1497" s="4">
        <f>IF($A1497="","",J1497&amp;"|"&amp;K1497)</f>
        <v/>
      </c>
      <c r="P1497" s="63">
        <f>IF($A1497="","",IF(COUNTIFS(예산_원본!$T$5:$T$3004,O1497,예산_원본!$B$5:$B$3004,설정!$C$8,예산_원본!$U$5:$U$3004,L1497)&gt;0,"Y","N"))</f>
        <v/>
      </c>
      <c r="Q1497" s="63">
        <f>IF($A1497="","",IF(COUNTIF(집계!$E$7:$E$506,O1497)&gt;0,"Y","N"))</f>
        <v/>
      </c>
    </row>
    <row r="1498">
      <c r="A1498" s="60" t="n">
        <v>2026</v>
      </c>
      <c r="B1498" s="60" t="n">
        <v>8</v>
      </c>
      <c r="C1498" s="60" t="inlineStr">
        <is>
          <t>1000</t>
        </is>
      </c>
      <c r="D1498" s="60" t="n">
        <v>1201</v>
      </c>
      <c r="E1498" s="60" t="inlineStr">
        <is>
          <t>재무회계</t>
        </is>
      </c>
      <c r="F1498" s="60" t="n">
        <v>62102000</v>
      </c>
      <c r="G1498" s="60" t="inlineStr">
        <is>
          <t>여비교통비-해외</t>
        </is>
      </c>
      <c r="H1498" s="61" t="n">
        <v>180960</v>
      </c>
      <c r="J1498" s="63">
        <f>IF($A1498="","",IFERROR(INDEX(부서매핑!$C$5:$C$504,MATCH($D1498&amp;"",부서매핑!$A$5:$A$504,0)),"미매핑"))</f>
        <v/>
      </c>
      <c r="K1498" s="63">
        <f>IF($A1498="","",IFERROR(INDEX(계정매핑!$C$5:$C$504,MATCH($F1498&amp;"",계정매핑!$A$5:$A$504,0)),"미매핑"))</f>
        <v/>
      </c>
      <c r="L1498" s="4">
        <f>IF($A1498="","",VALUE($A1498&amp;""))</f>
        <v/>
      </c>
      <c r="M1498" s="4">
        <f>IF($A1498="","",VALUE($B1498&amp;""))</f>
        <v/>
      </c>
      <c r="N1498" s="64">
        <f>IF($A1498="","",$H1498*설정!$C$15)</f>
        <v/>
      </c>
      <c r="O1498" s="4">
        <f>IF($A1498="","",J1498&amp;"|"&amp;K1498)</f>
        <v/>
      </c>
      <c r="P1498" s="63">
        <f>IF($A1498="","",IF(COUNTIFS(예산_원본!$T$5:$T$3004,O1498,예산_원본!$B$5:$B$3004,설정!$C$8,예산_원본!$U$5:$U$3004,L1498)&gt;0,"Y","N"))</f>
        <v/>
      </c>
      <c r="Q1498" s="63">
        <f>IF($A1498="","",IF(COUNTIF(집계!$E$7:$E$506,O1498)&gt;0,"Y","N"))</f>
        <v/>
      </c>
    </row>
    <row r="1499">
      <c r="A1499" s="60" t="n">
        <v>2026</v>
      </c>
      <c r="B1499" s="60" t="n">
        <v>8</v>
      </c>
      <c r="C1499" s="60" t="inlineStr">
        <is>
          <t>1000</t>
        </is>
      </c>
      <c r="D1499" s="60" t="n">
        <v>1201</v>
      </c>
      <c r="E1499" s="60" t="inlineStr">
        <is>
          <t>재무회계</t>
        </is>
      </c>
      <c r="F1499" s="60" t="n">
        <v>62201000</v>
      </c>
      <c r="G1499" s="60" t="inlineStr">
        <is>
          <t>통신비</t>
        </is>
      </c>
      <c r="H1499" s="61" t="n">
        <v>529470</v>
      </c>
      <c r="J1499" s="63">
        <f>IF($A1499="","",IFERROR(INDEX(부서매핑!$C$5:$C$504,MATCH($D1499&amp;"",부서매핑!$A$5:$A$504,0)),"미매핑"))</f>
        <v/>
      </c>
      <c r="K1499" s="63">
        <f>IF($A1499="","",IFERROR(INDEX(계정매핑!$C$5:$C$504,MATCH($F1499&amp;"",계정매핑!$A$5:$A$504,0)),"미매핑"))</f>
        <v/>
      </c>
      <c r="L1499" s="4">
        <f>IF($A1499="","",VALUE($A1499&amp;""))</f>
        <v/>
      </c>
      <c r="M1499" s="4">
        <f>IF($A1499="","",VALUE($B1499&amp;""))</f>
        <v/>
      </c>
      <c r="N1499" s="64">
        <f>IF($A1499="","",$H1499*설정!$C$15)</f>
        <v/>
      </c>
      <c r="O1499" s="4">
        <f>IF($A1499="","",J1499&amp;"|"&amp;K1499)</f>
        <v/>
      </c>
      <c r="P1499" s="63">
        <f>IF($A1499="","",IF(COUNTIFS(예산_원본!$T$5:$T$3004,O1499,예산_원본!$B$5:$B$3004,설정!$C$8,예산_원본!$U$5:$U$3004,L1499)&gt;0,"Y","N"))</f>
        <v/>
      </c>
      <c r="Q1499" s="63">
        <f>IF($A1499="","",IF(COUNTIF(집계!$E$7:$E$506,O1499)&gt;0,"Y","N"))</f>
        <v/>
      </c>
    </row>
    <row r="1500">
      <c r="A1500" s="60" t="n">
        <v>2026</v>
      </c>
      <c r="B1500" s="60" t="n">
        <v>8</v>
      </c>
      <c r="C1500" s="60" t="inlineStr">
        <is>
          <t>1000</t>
        </is>
      </c>
      <c r="D1500" s="60" t="n">
        <v>1201</v>
      </c>
      <c r="E1500" s="60" t="inlineStr">
        <is>
          <t>재무회계</t>
        </is>
      </c>
      <c r="F1500" s="60" t="n">
        <v>62301000</v>
      </c>
      <c r="G1500" s="60" t="inlineStr">
        <is>
          <t>소모품비</t>
        </is>
      </c>
      <c r="H1500" s="61" t="n">
        <v>620640</v>
      </c>
      <c r="J1500" s="63">
        <f>IF($A1500="","",IFERROR(INDEX(부서매핑!$C$5:$C$504,MATCH($D1500&amp;"",부서매핑!$A$5:$A$504,0)),"미매핑"))</f>
        <v/>
      </c>
      <c r="K1500" s="63">
        <f>IF($A1500="","",IFERROR(INDEX(계정매핑!$C$5:$C$504,MATCH($F1500&amp;"",계정매핑!$A$5:$A$504,0)),"미매핑"))</f>
        <v/>
      </c>
      <c r="L1500" s="4">
        <f>IF($A1500="","",VALUE($A1500&amp;""))</f>
        <v/>
      </c>
      <c r="M1500" s="4">
        <f>IF($A1500="","",VALUE($B1500&amp;""))</f>
        <v/>
      </c>
      <c r="N1500" s="64">
        <f>IF($A1500="","",$H1500*설정!$C$15)</f>
        <v/>
      </c>
      <c r="O1500" s="4">
        <f>IF($A1500="","",J1500&amp;"|"&amp;K1500)</f>
        <v/>
      </c>
      <c r="P1500" s="63">
        <f>IF($A1500="","",IF(COUNTIFS(예산_원본!$T$5:$T$3004,O1500,예산_원본!$B$5:$B$3004,설정!$C$8,예산_원본!$U$5:$U$3004,L1500)&gt;0,"Y","N"))</f>
        <v/>
      </c>
      <c r="Q1500" s="63">
        <f>IF($A1500="","",IF(COUNTIF(집계!$E$7:$E$506,O1500)&gt;0,"Y","N"))</f>
        <v/>
      </c>
    </row>
    <row r="1501">
      <c r="A1501" s="60" t="n">
        <v>2026</v>
      </c>
      <c r="B1501" s="60" t="n">
        <v>8</v>
      </c>
      <c r="C1501" s="60" t="inlineStr">
        <is>
          <t>1000</t>
        </is>
      </c>
      <c r="D1501" s="60" t="n">
        <v>1201</v>
      </c>
      <c r="E1501" s="60" t="inlineStr">
        <is>
          <t>재무회계</t>
        </is>
      </c>
      <c r="F1501" s="60" t="n">
        <v>62501000</v>
      </c>
      <c r="G1501" s="60" t="inlineStr">
        <is>
          <t>회의비</t>
        </is>
      </c>
      <c r="H1501" s="61" t="n">
        <v>491760</v>
      </c>
      <c r="J1501" s="63">
        <f>IF($A1501="","",IFERROR(INDEX(부서매핑!$C$5:$C$504,MATCH($D1501&amp;"",부서매핑!$A$5:$A$504,0)),"미매핑"))</f>
        <v/>
      </c>
      <c r="K1501" s="63">
        <f>IF($A1501="","",IFERROR(INDEX(계정매핑!$C$5:$C$504,MATCH($F1501&amp;"",계정매핑!$A$5:$A$504,0)),"미매핑"))</f>
        <v/>
      </c>
      <c r="L1501" s="4">
        <f>IF($A1501="","",VALUE($A1501&amp;""))</f>
        <v/>
      </c>
      <c r="M1501" s="4">
        <f>IF($A1501="","",VALUE($B1501&amp;""))</f>
        <v/>
      </c>
      <c r="N1501" s="64">
        <f>IF($A1501="","",$H1501*설정!$C$15)</f>
        <v/>
      </c>
      <c r="O1501" s="4">
        <f>IF($A1501="","",J1501&amp;"|"&amp;K1501)</f>
        <v/>
      </c>
      <c r="P1501" s="63">
        <f>IF($A1501="","",IF(COUNTIFS(예산_원본!$T$5:$T$3004,O1501,예산_원본!$B$5:$B$3004,설정!$C$8,예산_원본!$U$5:$U$3004,L1501)&gt;0,"Y","N"))</f>
        <v/>
      </c>
      <c r="Q1501" s="63">
        <f>IF($A1501="","",IF(COUNTIF(집계!$E$7:$E$506,O1501)&gt;0,"Y","N"))</f>
        <v/>
      </c>
    </row>
    <row r="1502">
      <c r="A1502" s="60" t="n">
        <v>2026</v>
      </c>
      <c r="B1502" s="60" t="n">
        <v>8</v>
      </c>
      <c r="C1502" s="60" t="inlineStr">
        <is>
          <t>1000</t>
        </is>
      </c>
      <c r="D1502" s="60" t="n">
        <v>1201</v>
      </c>
      <c r="E1502" s="60" t="inlineStr">
        <is>
          <t>재무회계</t>
        </is>
      </c>
      <c r="F1502" s="60" t="n">
        <v>62901000</v>
      </c>
      <c r="G1502" s="60" t="inlineStr">
        <is>
          <t>지급수수료-컨설팅</t>
        </is>
      </c>
      <c r="H1502" s="61" t="n">
        <v>19354300</v>
      </c>
      <c r="J1502" s="63">
        <f>IF($A1502="","",IFERROR(INDEX(부서매핑!$C$5:$C$504,MATCH($D1502&amp;"",부서매핑!$A$5:$A$504,0)),"미매핑"))</f>
        <v/>
      </c>
      <c r="K1502" s="63">
        <f>IF($A1502="","",IFERROR(INDEX(계정매핑!$C$5:$C$504,MATCH($F1502&amp;"",계정매핑!$A$5:$A$504,0)),"미매핑"))</f>
        <v/>
      </c>
      <c r="L1502" s="4">
        <f>IF($A1502="","",VALUE($A1502&amp;""))</f>
        <v/>
      </c>
      <c r="M1502" s="4">
        <f>IF($A1502="","",VALUE($B1502&amp;""))</f>
        <v/>
      </c>
      <c r="N1502" s="64">
        <f>IF($A1502="","",$H1502*설정!$C$15)</f>
        <v/>
      </c>
      <c r="O1502" s="4">
        <f>IF($A1502="","",J1502&amp;"|"&amp;K1502)</f>
        <v/>
      </c>
      <c r="P1502" s="63">
        <f>IF($A1502="","",IF(COUNTIFS(예산_원본!$T$5:$T$3004,O1502,예산_원본!$B$5:$B$3004,설정!$C$8,예산_원본!$U$5:$U$3004,L1502)&gt;0,"Y","N"))</f>
        <v/>
      </c>
      <c r="Q1502" s="63">
        <f>IF($A1502="","",IF(COUNTIF(집계!$E$7:$E$506,O1502)&gt;0,"Y","N"))</f>
        <v/>
      </c>
    </row>
    <row r="1503">
      <c r="A1503" s="60" t="n">
        <v>2026</v>
      </c>
      <c r="B1503" s="60" t="n">
        <v>8</v>
      </c>
      <c r="C1503" s="60" t="inlineStr">
        <is>
          <t>1000</t>
        </is>
      </c>
      <c r="D1503" s="60" t="n">
        <v>1201</v>
      </c>
      <c r="E1503" s="60" t="inlineStr">
        <is>
          <t>재무회계</t>
        </is>
      </c>
      <c r="F1503" s="60" t="n">
        <v>62902000</v>
      </c>
      <c r="G1503" s="60" t="inlineStr">
        <is>
          <t>지급수수료-기타</t>
        </is>
      </c>
      <c r="H1503" s="61" t="n">
        <v>8392160</v>
      </c>
      <c r="J1503" s="63">
        <f>IF($A1503="","",IFERROR(INDEX(부서매핑!$C$5:$C$504,MATCH($D1503&amp;"",부서매핑!$A$5:$A$504,0)),"미매핑"))</f>
        <v/>
      </c>
      <c r="K1503" s="63">
        <f>IF($A1503="","",IFERROR(INDEX(계정매핑!$C$5:$C$504,MATCH($F1503&amp;"",계정매핑!$A$5:$A$504,0)),"미매핑"))</f>
        <v/>
      </c>
      <c r="L1503" s="4">
        <f>IF($A1503="","",VALUE($A1503&amp;""))</f>
        <v/>
      </c>
      <c r="M1503" s="4">
        <f>IF($A1503="","",VALUE($B1503&amp;""))</f>
        <v/>
      </c>
      <c r="N1503" s="64">
        <f>IF($A1503="","",$H1503*설정!$C$15)</f>
        <v/>
      </c>
      <c r="O1503" s="4">
        <f>IF($A1503="","",J1503&amp;"|"&amp;K1503)</f>
        <v/>
      </c>
      <c r="P1503" s="63">
        <f>IF($A1503="","",IF(COUNTIFS(예산_원본!$T$5:$T$3004,O1503,예산_원본!$B$5:$B$3004,설정!$C$8,예산_원본!$U$5:$U$3004,L1503)&gt;0,"Y","N"))</f>
        <v/>
      </c>
      <c r="Q1503" s="63">
        <f>IF($A1503="","",IF(COUNTIF(집계!$E$7:$E$506,O1503)&gt;0,"Y","N"))</f>
        <v/>
      </c>
    </row>
    <row r="1504">
      <c r="A1504" s="60" t="n">
        <v>2026</v>
      </c>
      <c r="B1504" s="60" t="n">
        <v>8</v>
      </c>
      <c r="C1504" s="60" t="inlineStr">
        <is>
          <t>1000</t>
        </is>
      </c>
      <c r="D1504" s="60" t="n">
        <v>1301</v>
      </c>
      <c r="E1504" s="60" t="inlineStr">
        <is>
          <t>인사</t>
        </is>
      </c>
      <c r="F1504" s="60" t="n">
        <v>62101000</v>
      </c>
      <c r="G1504" s="60" t="inlineStr">
        <is>
          <t>여비교통비-국내</t>
        </is>
      </c>
      <c r="H1504" s="61" t="n">
        <v>1442160</v>
      </c>
      <c r="J1504" s="63">
        <f>IF($A1504="","",IFERROR(INDEX(부서매핑!$C$5:$C$504,MATCH($D1504&amp;"",부서매핑!$A$5:$A$504,0)),"미매핑"))</f>
        <v/>
      </c>
      <c r="K1504" s="63">
        <f>IF($A1504="","",IFERROR(INDEX(계정매핑!$C$5:$C$504,MATCH($F1504&amp;"",계정매핑!$A$5:$A$504,0)),"미매핑"))</f>
        <v/>
      </c>
      <c r="L1504" s="4">
        <f>IF($A1504="","",VALUE($A1504&amp;""))</f>
        <v/>
      </c>
      <c r="M1504" s="4">
        <f>IF($A1504="","",VALUE($B1504&amp;""))</f>
        <v/>
      </c>
      <c r="N1504" s="64">
        <f>IF($A1504="","",$H1504*설정!$C$15)</f>
        <v/>
      </c>
      <c r="O1504" s="4">
        <f>IF($A1504="","",J1504&amp;"|"&amp;K1504)</f>
        <v/>
      </c>
      <c r="P1504" s="63">
        <f>IF($A1504="","",IF(COUNTIFS(예산_원본!$T$5:$T$3004,O1504,예산_원본!$B$5:$B$3004,설정!$C$8,예산_원본!$U$5:$U$3004,L1504)&gt;0,"Y","N"))</f>
        <v/>
      </c>
      <c r="Q1504" s="63">
        <f>IF($A1504="","",IF(COUNTIF(집계!$E$7:$E$506,O1504)&gt;0,"Y","N"))</f>
        <v/>
      </c>
    </row>
    <row r="1505">
      <c r="A1505" s="60" t="n">
        <v>2026</v>
      </c>
      <c r="B1505" s="60" t="n">
        <v>8</v>
      </c>
      <c r="C1505" s="60" t="inlineStr">
        <is>
          <t>1000</t>
        </is>
      </c>
      <c r="D1505" s="60" t="n">
        <v>1301</v>
      </c>
      <c r="E1505" s="60" t="inlineStr">
        <is>
          <t>인사</t>
        </is>
      </c>
      <c r="F1505" s="60" t="n">
        <v>62102000</v>
      </c>
      <c r="G1505" s="60" t="inlineStr">
        <is>
          <t>여비교통비-해외</t>
        </is>
      </c>
      <c r="H1505" s="61" t="n">
        <v>260920</v>
      </c>
      <c r="J1505" s="63">
        <f>IF($A1505="","",IFERROR(INDEX(부서매핑!$C$5:$C$504,MATCH($D1505&amp;"",부서매핑!$A$5:$A$504,0)),"미매핑"))</f>
        <v/>
      </c>
      <c r="K1505" s="63">
        <f>IF($A1505="","",IFERROR(INDEX(계정매핑!$C$5:$C$504,MATCH($F1505&amp;"",계정매핑!$A$5:$A$504,0)),"미매핑"))</f>
        <v/>
      </c>
      <c r="L1505" s="4">
        <f>IF($A1505="","",VALUE($A1505&amp;""))</f>
        <v/>
      </c>
      <c r="M1505" s="4">
        <f>IF($A1505="","",VALUE($B1505&amp;""))</f>
        <v/>
      </c>
      <c r="N1505" s="64">
        <f>IF($A1505="","",$H1505*설정!$C$15)</f>
        <v/>
      </c>
      <c r="O1505" s="4">
        <f>IF($A1505="","",J1505&amp;"|"&amp;K1505)</f>
        <v/>
      </c>
      <c r="P1505" s="63">
        <f>IF($A1505="","",IF(COUNTIFS(예산_원본!$T$5:$T$3004,O1505,예산_원본!$B$5:$B$3004,설정!$C$8,예산_원본!$U$5:$U$3004,L1505)&gt;0,"Y","N"))</f>
        <v/>
      </c>
      <c r="Q1505" s="63">
        <f>IF($A1505="","",IF(COUNTIF(집계!$E$7:$E$506,O1505)&gt;0,"Y","N"))</f>
        <v/>
      </c>
    </row>
    <row r="1506">
      <c r="A1506" s="60" t="n">
        <v>2026</v>
      </c>
      <c r="B1506" s="60" t="n">
        <v>8</v>
      </c>
      <c r="C1506" s="60" t="inlineStr">
        <is>
          <t>1000</t>
        </is>
      </c>
      <c r="D1506" s="60" t="n">
        <v>1301</v>
      </c>
      <c r="E1506" s="60" t="inlineStr">
        <is>
          <t>인사</t>
        </is>
      </c>
      <c r="F1506" s="60" t="n">
        <v>62201000</v>
      </c>
      <c r="G1506" s="60" t="inlineStr">
        <is>
          <t>통신비</t>
        </is>
      </c>
      <c r="H1506" s="61" t="n">
        <v>585090</v>
      </c>
      <c r="J1506" s="63">
        <f>IF($A1506="","",IFERROR(INDEX(부서매핑!$C$5:$C$504,MATCH($D1506&amp;"",부서매핑!$A$5:$A$504,0)),"미매핑"))</f>
        <v/>
      </c>
      <c r="K1506" s="63">
        <f>IF($A1506="","",IFERROR(INDEX(계정매핑!$C$5:$C$504,MATCH($F1506&amp;"",계정매핑!$A$5:$A$504,0)),"미매핑"))</f>
        <v/>
      </c>
      <c r="L1506" s="4">
        <f>IF($A1506="","",VALUE($A1506&amp;""))</f>
        <v/>
      </c>
      <c r="M1506" s="4">
        <f>IF($A1506="","",VALUE($B1506&amp;""))</f>
        <v/>
      </c>
      <c r="N1506" s="64">
        <f>IF($A1506="","",$H1506*설정!$C$15)</f>
        <v/>
      </c>
      <c r="O1506" s="4">
        <f>IF($A1506="","",J1506&amp;"|"&amp;K1506)</f>
        <v/>
      </c>
      <c r="P1506" s="63">
        <f>IF($A1506="","",IF(COUNTIFS(예산_원본!$T$5:$T$3004,O1506,예산_원본!$B$5:$B$3004,설정!$C$8,예산_원본!$U$5:$U$3004,L1506)&gt;0,"Y","N"))</f>
        <v/>
      </c>
      <c r="Q1506" s="63">
        <f>IF($A1506="","",IF(COUNTIF(집계!$E$7:$E$506,O1506)&gt;0,"Y","N"))</f>
        <v/>
      </c>
    </row>
    <row r="1507">
      <c r="A1507" s="60" t="n">
        <v>2026</v>
      </c>
      <c r="B1507" s="60" t="n">
        <v>8</v>
      </c>
      <c r="C1507" s="60" t="inlineStr">
        <is>
          <t>1000</t>
        </is>
      </c>
      <c r="D1507" s="60" t="n">
        <v>1301</v>
      </c>
      <c r="E1507" s="60" t="inlineStr">
        <is>
          <t>인사</t>
        </is>
      </c>
      <c r="F1507" s="60" t="n">
        <v>62301000</v>
      </c>
      <c r="G1507" s="60" t="inlineStr">
        <is>
          <t>소모품비</t>
        </is>
      </c>
      <c r="H1507" s="61" t="n">
        <v>652210</v>
      </c>
      <c r="J1507" s="63">
        <f>IF($A1507="","",IFERROR(INDEX(부서매핑!$C$5:$C$504,MATCH($D1507&amp;"",부서매핑!$A$5:$A$504,0)),"미매핑"))</f>
        <v/>
      </c>
      <c r="K1507" s="63">
        <f>IF($A1507="","",IFERROR(INDEX(계정매핑!$C$5:$C$504,MATCH($F1507&amp;"",계정매핑!$A$5:$A$504,0)),"미매핑"))</f>
        <v/>
      </c>
      <c r="L1507" s="4">
        <f>IF($A1507="","",VALUE($A1507&amp;""))</f>
        <v/>
      </c>
      <c r="M1507" s="4">
        <f>IF($A1507="","",VALUE($B1507&amp;""))</f>
        <v/>
      </c>
      <c r="N1507" s="64">
        <f>IF($A1507="","",$H1507*설정!$C$15)</f>
        <v/>
      </c>
      <c r="O1507" s="4">
        <f>IF($A1507="","",J1507&amp;"|"&amp;K1507)</f>
        <v/>
      </c>
      <c r="P1507" s="63">
        <f>IF($A1507="","",IF(COUNTIFS(예산_원본!$T$5:$T$3004,O1507,예산_원본!$B$5:$B$3004,설정!$C$8,예산_원본!$U$5:$U$3004,L1507)&gt;0,"Y","N"))</f>
        <v/>
      </c>
      <c r="Q1507" s="63">
        <f>IF($A1507="","",IF(COUNTIF(집계!$E$7:$E$506,O1507)&gt;0,"Y","N"))</f>
        <v/>
      </c>
    </row>
    <row r="1508">
      <c r="A1508" s="60" t="n">
        <v>2026</v>
      </c>
      <c r="B1508" s="60" t="n">
        <v>8</v>
      </c>
      <c r="C1508" s="60" t="inlineStr">
        <is>
          <t>1000</t>
        </is>
      </c>
      <c r="D1508" s="60" t="n">
        <v>1301</v>
      </c>
      <c r="E1508" s="60" t="inlineStr">
        <is>
          <t>인사</t>
        </is>
      </c>
      <c r="F1508" s="60" t="n">
        <v>62501000</v>
      </c>
      <c r="G1508" s="60" t="inlineStr">
        <is>
          <t>회의비</t>
        </is>
      </c>
      <c r="H1508" s="61" t="n">
        <v>848960</v>
      </c>
      <c r="J1508" s="63">
        <f>IF($A1508="","",IFERROR(INDEX(부서매핑!$C$5:$C$504,MATCH($D1508&amp;"",부서매핑!$A$5:$A$504,0)),"미매핑"))</f>
        <v/>
      </c>
      <c r="K1508" s="63">
        <f>IF($A1508="","",IFERROR(INDEX(계정매핑!$C$5:$C$504,MATCH($F1508&amp;"",계정매핑!$A$5:$A$504,0)),"미매핑"))</f>
        <v/>
      </c>
      <c r="L1508" s="4">
        <f>IF($A1508="","",VALUE($A1508&amp;""))</f>
        <v/>
      </c>
      <c r="M1508" s="4">
        <f>IF($A1508="","",VALUE($B1508&amp;""))</f>
        <v/>
      </c>
      <c r="N1508" s="64">
        <f>IF($A1508="","",$H1508*설정!$C$15)</f>
        <v/>
      </c>
      <c r="O1508" s="4">
        <f>IF($A1508="","",J1508&amp;"|"&amp;K1508)</f>
        <v/>
      </c>
      <c r="P1508" s="63">
        <f>IF($A1508="","",IF(COUNTIFS(예산_원본!$T$5:$T$3004,O1508,예산_원본!$B$5:$B$3004,설정!$C$8,예산_원본!$U$5:$U$3004,L1508)&gt;0,"Y","N"))</f>
        <v/>
      </c>
      <c r="Q1508" s="63">
        <f>IF($A1508="","",IF(COUNTIF(집계!$E$7:$E$506,O1508)&gt;0,"Y","N"))</f>
        <v/>
      </c>
    </row>
    <row r="1509">
      <c r="A1509" s="60" t="n">
        <v>2026</v>
      </c>
      <c r="B1509" s="60" t="n">
        <v>8</v>
      </c>
      <c r="C1509" s="60" t="inlineStr">
        <is>
          <t>1000</t>
        </is>
      </c>
      <c r="D1509" s="60" t="n">
        <v>1301</v>
      </c>
      <c r="E1509" s="60" t="inlineStr">
        <is>
          <t>인사</t>
        </is>
      </c>
      <c r="F1509" s="60" t="n">
        <v>62601000</v>
      </c>
      <c r="G1509" s="60" t="inlineStr">
        <is>
          <t>업무추진비</t>
        </is>
      </c>
      <c r="H1509" s="61" t="n">
        <v>2047980</v>
      </c>
      <c r="J1509" s="63">
        <f>IF($A1509="","",IFERROR(INDEX(부서매핑!$C$5:$C$504,MATCH($D1509&amp;"",부서매핑!$A$5:$A$504,0)),"미매핑"))</f>
        <v/>
      </c>
      <c r="K1509" s="63">
        <f>IF($A1509="","",IFERROR(INDEX(계정매핑!$C$5:$C$504,MATCH($F1509&amp;"",계정매핑!$A$5:$A$504,0)),"미매핑"))</f>
        <v/>
      </c>
      <c r="L1509" s="4">
        <f>IF($A1509="","",VALUE($A1509&amp;""))</f>
        <v/>
      </c>
      <c r="M1509" s="4">
        <f>IF($A1509="","",VALUE($B1509&amp;""))</f>
        <v/>
      </c>
      <c r="N1509" s="64">
        <f>IF($A1509="","",$H1509*설정!$C$15)</f>
        <v/>
      </c>
      <c r="O1509" s="4">
        <f>IF($A1509="","",J1509&amp;"|"&amp;K1509)</f>
        <v/>
      </c>
      <c r="P1509" s="63">
        <f>IF($A1509="","",IF(COUNTIFS(예산_원본!$T$5:$T$3004,O1509,예산_원본!$B$5:$B$3004,설정!$C$8,예산_원본!$U$5:$U$3004,L1509)&gt;0,"Y","N"))</f>
        <v/>
      </c>
      <c r="Q1509" s="63">
        <f>IF($A1509="","",IF(COUNTIF(집계!$E$7:$E$506,O1509)&gt;0,"Y","N"))</f>
        <v/>
      </c>
    </row>
    <row r="1510">
      <c r="A1510" s="60" t="n">
        <v>2026</v>
      </c>
      <c r="B1510" s="60" t="n">
        <v>8</v>
      </c>
      <c r="C1510" s="60" t="inlineStr">
        <is>
          <t>1000</t>
        </is>
      </c>
      <c r="D1510" s="60" t="n">
        <v>1301</v>
      </c>
      <c r="E1510" s="60" t="inlineStr">
        <is>
          <t>인사</t>
        </is>
      </c>
      <c r="F1510" s="60" t="n">
        <v>62801000</v>
      </c>
      <c r="G1510" s="60" t="inlineStr">
        <is>
          <t>교육훈련비-사내</t>
        </is>
      </c>
      <c r="H1510" s="61" t="n">
        <v>8287760</v>
      </c>
      <c r="J1510" s="63">
        <f>IF($A1510="","",IFERROR(INDEX(부서매핑!$C$5:$C$504,MATCH($D1510&amp;"",부서매핑!$A$5:$A$504,0)),"미매핑"))</f>
        <v/>
      </c>
      <c r="K1510" s="63">
        <f>IF($A1510="","",IFERROR(INDEX(계정매핑!$C$5:$C$504,MATCH($F1510&amp;"",계정매핑!$A$5:$A$504,0)),"미매핑"))</f>
        <v/>
      </c>
      <c r="L1510" s="4">
        <f>IF($A1510="","",VALUE($A1510&amp;""))</f>
        <v/>
      </c>
      <c r="M1510" s="4">
        <f>IF($A1510="","",VALUE($B1510&amp;""))</f>
        <v/>
      </c>
      <c r="N1510" s="64">
        <f>IF($A1510="","",$H1510*설정!$C$15)</f>
        <v/>
      </c>
      <c r="O1510" s="4">
        <f>IF($A1510="","",J1510&amp;"|"&amp;K1510)</f>
        <v/>
      </c>
      <c r="P1510" s="63">
        <f>IF($A1510="","",IF(COUNTIFS(예산_원본!$T$5:$T$3004,O1510,예산_원본!$B$5:$B$3004,설정!$C$8,예산_원본!$U$5:$U$3004,L1510)&gt;0,"Y","N"))</f>
        <v/>
      </c>
      <c r="Q1510" s="63">
        <f>IF($A1510="","",IF(COUNTIF(집계!$E$7:$E$506,O1510)&gt;0,"Y","N"))</f>
        <v/>
      </c>
    </row>
    <row r="1511">
      <c r="A1511" s="60" t="n">
        <v>2026</v>
      </c>
      <c r="B1511" s="60" t="n">
        <v>8</v>
      </c>
      <c r="C1511" s="60" t="inlineStr">
        <is>
          <t>1000</t>
        </is>
      </c>
      <c r="D1511" s="60" t="n">
        <v>1301</v>
      </c>
      <c r="E1511" s="60" t="inlineStr">
        <is>
          <t>인사</t>
        </is>
      </c>
      <c r="F1511" s="60" t="n">
        <v>62802000</v>
      </c>
      <c r="G1511" s="60" t="inlineStr">
        <is>
          <t>교육훈련비-외부위탁</t>
        </is>
      </c>
      <c r="H1511" s="61" t="n">
        <v>13755210</v>
      </c>
      <c r="J1511" s="63">
        <f>IF($A1511="","",IFERROR(INDEX(부서매핑!$C$5:$C$504,MATCH($D1511&amp;"",부서매핑!$A$5:$A$504,0)),"미매핑"))</f>
        <v/>
      </c>
      <c r="K1511" s="63">
        <f>IF($A1511="","",IFERROR(INDEX(계정매핑!$C$5:$C$504,MATCH($F1511&amp;"",계정매핑!$A$5:$A$504,0)),"미매핑"))</f>
        <v/>
      </c>
      <c r="L1511" s="4">
        <f>IF($A1511="","",VALUE($A1511&amp;""))</f>
        <v/>
      </c>
      <c r="M1511" s="4">
        <f>IF($A1511="","",VALUE($B1511&amp;""))</f>
        <v/>
      </c>
      <c r="N1511" s="64">
        <f>IF($A1511="","",$H1511*설정!$C$15)</f>
        <v/>
      </c>
      <c r="O1511" s="4">
        <f>IF($A1511="","",J1511&amp;"|"&amp;K1511)</f>
        <v/>
      </c>
      <c r="P1511" s="63">
        <f>IF($A1511="","",IF(COUNTIFS(예산_원본!$T$5:$T$3004,O1511,예산_원본!$B$5:$B$3004,설정!$C$8,예산_원본!$U$5:$U$3004,L1511)&gt;0,"Y","N"))</f>
        <v/>
      </c>
      <c r="Q1511" s="63">
        <f>IF($A1511="","",IF(COUNTIF(집계!$E$7:$E$506,O1511)&gt;0,"Y","N"))</f>
        <v/>
      </c>
    </row>
    <row r="1512">
      <c r="A1512" s="60" t="n">
        <v>2026</v>
      </c>
      <c r="B1512" s="60" t="n">
        <v>8</v>
      </c>
      <c r="C1512" s="60" t="inlineStr">
        <is>
          <t>1000</t>
        </is>
      </c>
      <c r="D1512" s="60" t="n">
        <v>1401</v>
      </c>
      <c r="E1512" s="60" t="inlineStr">
        <is>
          <t>상품개발</t>
        </is>
      </c>
      <c r="F1512" s="60" t="n">
        <v>62101000</v>
      </c>
      <c r="G1512" s="60" t="inlineStr">
        <is>
          <t>여비교통비-국내</t>
        </is>
      </c>
      <c r="H1512" s="61" t="n">
        <v>2148840</v>
      </c>
      <c r="J1512" s="63">
        <f>IF($A1512="","",IFERROR(INDEX(부서매핑!$C$5:$C$504,MATCH($D1512&amp;"",부서매핑!$A$5:$A$504,0)),"미매핑"))</f>
        <v/>
      </c>
      <c r="K1512" s="63">
        <f>IF($A1512="","",IFERROR(INDEX(계정매핑!$C$5:$C$504,MATCH($F1512&amp;"",계정매핑!$A$5:$A$504,0)),"미매핑"))</f>
        <v/>
      </c>
      <c r="L1512" s="4">
        <f>IF($A1512="","",VALUE($A1512&amp;""))</f>
        <v/>
      </c>
      <c r="M1512" s="4">
        <f>IF($A1512="","",VALUE($B1512&amp;""))</f>
        <v/>
      </c>
      <c r="N1512" s="64">
        <f>IF($A1512="","",$H1512*설정!$C$15)</f>
        <v/>
      </c>
      <c r="O1512" s="4">
        <f>IF($A1512="","",J1512&amp;"|"&amp;K1512)</f>
        <v/>
      </c>
      <c r="P1512" s="63">
        <f>IF($A1512="","",IF(COUNTIFS(예산_원본!$T$5:$T$3004,O1512,예산_원본!$B$5:$B$3004,설정!$C$8,예산_원본!$U$5:$U$3004,L1512)&gt;0,"Y","N"))</f>
        <v/>
      </c>
      <c r="Q1512" s="63">
        <f>IF($A1512="","",IF(COUNTIF(집계!$E$7:$E$506,O1512)&gt;0,"Y","N"))</f>
        <v/>
      </c>
    </row>
    <row r="1513">
      <c r="A1513" s="60" t="n">
        <v>2026</v>
      </c>
      <c r="B1513" s="60" t="n">
        <v>8</v>
      </c>
      <c r="C1513" s="60" t="inlineStr">
        <is>
          <t>1000</t>
        </is>
      </c>
      <c r="D1513" s="60" t="n">
        <v>1401</v>
      </c>
      <c r="E1513" s="60" t="inlineStr">
        <is>
          <t>상품개발</t>
        </is>
      </c>
      <c r="F1513" s="60" t="n">
        <v>62102000</v>
      </c>
      <c r="G1513" s="60" t="inlineStr">
        <is>
          <t>여비교통비-해외</t>
        </is>
      </c>
      <c r="H1513" s="61" t="n">
        <v>373500</v>
      </c>
      <c r="J1513" s="63">
        <f>IF($A1513="","",IFERROR(INDEX(부서매핑!$C$5:$C$504,MATCH($D1513&amp;"",부서매핑!$A$5:$A$504,0)),"미매핑"))</f>
        <v/>
      </c>
      <c r="K1513" s="63">
        <f>IF($A1513="","",IFERROR(INDEX(계정매핑!$C$5:$C$504,MATCH($F1513&amp;"",계정매핑!$A$5:$A$504,0)),"미매핑"))</f>
        <v/>
      </c>
      <c r="L1513" s="4">
        <f>IF($A1513="","",VALUE($A1513&amp;""))</f>
        <v/>
      </c>
      <c r="M1513" s="4">
        <f>IF($A1513="","",VALUE($B1513&amp;""))</f>
        <v/>
      </c>
      <c r="N1513" s="64">
        <f>IF($A1513="","",$H1513*설정!$C$15)</f>
        <v/>
      </c>
      <c r="O1513" s="4">
        <f>IF($A1513="","",J1513&amp;"|"&amp;K1513)</f>
        <v/>
      </c>
      <c r="P1513" s="63">
        <f>IF($A1513="","",IF(COUNTIFS(예산_원본!$T$5:$T$3004,O1513,예산_원본!$B$5:$B$3004,설정!$C$8,예산_원본!$U$5:$U$3004,L1513)&gt;0,"Y","N"))</f>
        <v/>
      </c>
      <c r="Q1513" s="63">
        <f>IF($A1513="","",IF(COUNTIF(집계!$E$7:$E$506,O1513)&gt;0,"Y","N"))</f>
        <v/>
      </c>
    </row>
    <row r="1514">
      <c r="A1514" s="60" t="n">
        <v>2026</v>
      </c>
      <c r="B1514" s="60" t="n">
        <v>8</v>
      </c>
      <c r="C1514" s="60" t="inlineStr">
        <is>
          <t>1000</t>
        </is>
      </c>
      <c r="D1514" s="60" t="n">
        <v>1401</v>
      </c>
      <c r="E1514" s="60" t="inlineStr">
        <is>
          <t>상품개발</t>
        </is>
      </c>
      <c r="F1514" s="60" t="n">
        <v>62201000</v>
      </c>
      <c r="G1514" s="60" t="inlineStr">
        <is>
          <t>통신비</t>
        </is>
      </c>
      <c r="H1514" s="61" t="n">
        <v>543860</v>
      </c>
      <c r="J1514" s="63">
        <f>IF($A1514="","",IFERROR(INDEX(부서매핑!$C$5:$C$504,MATCH($D1514&amp;"",부서매핑!$A$5:$A$504,0)),"미매핑"))</f>
        <v/>
      </c>
      <c r="K1514" s="63">
        <f>IF($A1514="","",IFERROR(INDEX(계정매핑!$C$5:$C$504,MATCH($F1514&amp;"",계정매핑!$A$5:$A$504,0)),"미매핑"))</f>
        <v/>
      </c>
      <c r="L1514" s="4">
        <f>IF($A1514="","",VALUE($A1514&amp;""))</f>
        <v/>
      </c>
      <c r="M1514" s="4">
        <f>IF($A1514="","",VALUE($B1514&amp;""))</f>
        <v/>
      </c>
      <c r="N1514" s="64">
        <f>IF($A1514="","",$H1514*설정!$C$15)</f>
        <v/>
      </c>
      <c r="O1514" s="4">
        <f>IF($A1514="","",J1514&amp;"|"&amp;K1514)</f>
        <v/>
      </c>
      <c r="P1514" s="63">
        <f>IF($A1514="","",IF(COUNTIFS(예산_원본!$T$5:$T$3004,O1514,예산_원본!$B$5:$B$3004,설정!$C$8,예산_원본!$U$5:$U$3004,L1514)&gt;0,"Y","N"))</f>
        <v/>
      </c>
      <c r="Q1514" s="63">
        <f>IF($A1514="","",IF(COUNTIF(집계!$E$7:$E$506,O1514)&gt;0,"Y","N"))</f>
        <v/>
      </c>
    </row>
    <row r="1515">
      <c r="A1515" s="60" t="n">
        <v>2026</v>
      </c>
      <c r="B1515" s="60" t="n">
        <v>8</v>
      </c>
      <c r="C1515" s="60" t="inlineStr">
        <is>
          <t>1000</t>
        </is>
      </c>
      <c r="D1515" s="60" t="n">
        <v>1401</v>
      </c>
      <c r="E1515" s="60" t="inlineStr">
        <is>
          <t>상품개발</t>
        </is>
      </c>
      <c r="F1515" s="60" t="n">
        <v>62301000</v>
      </c>
      <c r="G1515" s="60" t="inlineStr">
        <is>
          <t>소모품비</t>
        </is>
      </c>
      <c r="H1515" s="61" t="n">
        <v>402040</v>
      </c>
      <c r="J1515" s="63">
        <f>IF($A1515="","",IFERROR(INDEX(부서매핑!$C$5:$C$504,MATCH($D1515&amp;"",부서매핑!$A$5:$A$504,0)),"미매핑"))</f>
        <v/>
      </c>
      <c r="K1515" s="63">
        <f>IF($A1515="","",IFERROR(INDEX(계정매핑!$C$5:$C$504,MATCH($F1515&amp;"",계정매핑!$A$5:$A$504,0)),"미매핑"))</f>
        <v/>
      </c>
      <c r="L1515" s="4">
        <f>IF($A1515="","",VALUE($A1515&amp;""))</f>
        <v/>
      </c>
      <c r="M1515" s="4">
        <f>IF($A1515="","",VALUE($B1515&amp;""))</f>
        <v/>
      </c>
      <c r="N1515" s="64">
        <f>IF($A1515="","",$H1515*설정!$C$15)</f>
        <v/>
      </c>
      <c r="O1515" s="4">
        <f>IF($A1515="","",J1515&amp;"|"&amp;K1515)</f>
        <v/>
      </c>
      <c r="P1515" s="63">
        <f>IF($A1515="","",IF(COUNTIFS(예산_원본!$T$5:$T$3004,O1515,예산_원본!$B$5:$B$3004,설정!$C$8,예산_원본!$U$5:$U$3004,L1515)&gt;0,"Y","N"))</f>
        <v/>
      </c>
      <c r="Q1515" s="63">
        <f>IF($A1515="","",IF(COUNTIF(집계!$E$7:$E$506,O1515)&gt;0,"Y","N"))</f>
        <v/>
      </c>
    </row>
    <row r="1516">
      <c r="A1516" s="60" t="n">
        <v>2026</v>
      </c>
      <c r="B1516" s="60" t="n">
        <v>8</v>
      </c>
      <c r="C1516" s="60" t="inlineStr">
        <is>
          <t>1000</t>
        </is>
      </c>
      <c r="D1516" s="60" t="n">
        <v>1401</v>
      </c>
      <c r="E1516" s="60" t="inlineStr">
        <is>
          <t>상품개발</t>
        </is>
      </c>
      <c r="F1516" s="60" t="n">
        <v>62401000</v>
      </c>
      <c r="G1516" s="60" t="inlineStr">
        <is>
          <t>도서인쇄비</t>
        </is>
      </c>
      <c r="H1516" s="61" t="n">
        <v>880700</v>
      </c>
      <c r="J1516" s="63">
        <f>IF($A1516="","",IFERROR(INDEX(부서매핑!$C$5:$C$504,MATCH($D1516&amp;"",부서매핑!$A$5:$A$504,0)),"미매핑"))</f>
        <v/>
      </c>
      <c r="K1516" s="63">
        <f>IF($A1516="","",IFERROR(INDEX(계정매핑!$C$5:$C$504,MATCH($F1516&amp;"",계정매핑!$A$5:$A$504,0)),"미매핑"))</f>
        <v/>
      </c>
      <c r="L1516" s="4">
        <f>IF($A1516="","",VALUE($A1516&amp;""))</f>
        <v/>
      </c>
      <c r="M1516" s="4">
        <f>IF($A1516="","",VALUE($B1516&amp;""))</f>
        <v/>
      </c>
      <c r="N1516" s="64">
        <f>IF($A1516="","",$H1516*설정!$C$15)</f>
        <v/>
      </c>
      <c r="O1516" s="4">
        <f>IF($A1516="","",J1516&amp;"|"&amp;K1516)</f>
        <v/>
      </c>
      <c r="P1516" s="63">
        <f>IF($A1516="","",IF(COUNTIFS(예산_원본!$T$5:$T$3004,O1516,예산_원본!$B$5:$B$3004,설정!$C$8,예산_원본!$U$5:$U$3004,L1516)&gt;0,"Y","N"))</f>
        <v/>
      </c>
      <c r="Q1516" s="63">
        <f>IF($A1516="","",IF(COUNTIF(집계!$E$7:$E$506,O1516)&gt;0,"Y","N"))</f>
        <v/>
      </c>
    </row>
    <row r="1517">
      <c r="A1517" s="60" t="n">
        <v>2026</v>
      </c>
      <c r="B1517" s="60" t="n">
        <v>8</v>
      </c>
      <c r="C1517" s="60" t="inlineStr">
        <is>
          <t>1000</t>
        </is>
      </c>
      <c r="D1517" s="60" t="n">
        <v>1401</v>
      </c>
      <c r="E1517" s="60" t="inlineStr">
        <is>
          <t>상품개발</t>
        </is>
      </c>
      <c r="F1517" s="60" t="n">
        <v>62501000</v>
      </c>
      <c r="G1517" s="60" t="inlineStr">
        <is>
          <t>회의비</t>
        </is>
      </c>
      <c r="H1517" s="61" t="n">
        <v>598260</v>
      </c>
      <c r="J1517" s="63">
        <f>IF($A1517="","",IFERROR(INDEX(부서매핑!$C$5:$C$504,MATCH($D1517&amp;"",부서매핑!$A$5:$A$504,0)),"미매핑"))</f>
        <v/>
      </c>
      <c r="K1517" s="63">
        <f>IF($A1517="","",IFERROR(INDEX(계정매핑!$C$5:$C$504,MATCH($F1517&amp;"",계정매핑!$A$5:$A$504,0)),"미매핑"))</f>
        <v/>
      </c>
      <c r="L1517" s="4">
        <f>IF($A1517="","",VALUE($A1517&amp;""))</f>
        <v/>
      </c>
      <c r="M1517" s="4">
        <f>IF($A1517="","",VALUE($B1517&amp;""))</f>
        <v/>
      </c>
      <c r="N1517" s="64">
        <f>IF($A1517="","",$H1517*설정!$C$15)</f>
        <v/>
      </c>
      <c r="O1517" s="4">
        <f>IF($A1517="","",J1517&amp;"|"&amp;K1517)</f>
        <v/>
      </c>
      <c r="P1517" s="63">
        <f>IF($A1517="","",IF(COUNTIFS(예산_원본!$T$5:$T$3004,O1517,예산_원본!$B$5:$B$3004,설정!$C$8,예산_원본!$U$5:$U$3004,L1517)&gt;0,"Y","N"))</f>
        <v/>
      </c>
      <c r="Q1517" s="63">
        <f>IF($A1517="","",IF(COUNTIF(집계!$E$7:$E$506,O1517)&gt;0,"Y","N"))</f>
        <v/>
      </c>
    </row>
    <row r="1518">
      <c r="A1518" s="60" t="n">
        <v>2026</v>
      </c>
      <c r="B1518" s="60" t="n">
        <v>8</v>
      </c>
      <c r="C1518" s="60" t="inlineStr">
        <is>
          <t>1000</t>
        </is>
      </c>
      <c r="D1518" s="60" t="n">
        <v>1401</v>
      </c>
      <c r="E1518" s="60" t="inlineStr">
        <is>
          <t>상품개발</t>
        </is>
      </c>
      <c r="F1518" s="60" t="n">
        <v>62901000</v>
      </c>
      <c r="G1518" s="60" t="inlineStr">
        <is>
          <t>지급수수료-컨설팅</t>
        </is>
      </c>
      <c r="H1518" s="61" t="n">
        <v>9896960</v>
      </c>
      <c r="J1518" s="63">
        <f>IF($A1518="","",IFERROR(INDEX(부서매핑!$C$5:$C$504,MATCH($D1518&amp;"",부서매핑!$A$5:$A$504,0)),"미매핑"))</f>
        <v/>
      </c>
      <c r="K1518" s="63">
        <f>IF($A1518="","",IFERROR(INDEX(계정매핑!$C$5:$C$504,MATCH($F1518&amp;"",계정매핑!$A$5:$A$504,0)),"미매핑"))</f>
        <v/>
      </c>
      <c r="L1518" s="4">
        <f>IF($A1518="","",VALUE($A1518&amp;""))</f>
        <v/>
      </c>
      <c r="M1518" s="4">
        <f>IF($A1518="","",VALUE($B1518&amp;""))</f>
        <v/>
      </c>
      <c r="N1518" s="64">
        <f>IF($A1518="","",$H1518*설정!$C$15)</f>
        <v/>
      </c>
      <c r="O1518" s="4">
        <f>IF($A1518="","",J1518&amp;"|"&amp;K1518)</f>
        <v/>
      </c>
      <c r="P1518" s="63">
        <f>IF($A1518="","",IF(COUNTIFS(예산_원본!$T$5:$T$3004,O1518,예산_원본!$B$5:$B$3004,설정!$C$8,예산_원본!$U$5:$U$3004,L1518)&gt;0,"Y","N"))</f>
        <v/>
      </c>
      <c r="Q1518" s="63">
        <f>IF($A1518="","",IF(COUNTIF(집계!$E$7:$E$506,O1518)&gt;0,"Y","N"))</f>
        <v/>
      </c>
    </row>
    <row r="1519">
      <c r="A1519" s="60" t="n">
        <v>2026</v>
      </c>
      <c r="B1519" s="60" t="n">
        <v>8</v>
      </c>
      <c r="C1519" s="60" t="inlineStr">
        <is>
          <t>1000</t>
        </is>
      </c>
      <c r="D1519" s="60" t="n">
        <v>1401</v>
      </c>
      <c r="E1519" s="60" t="inlineStr">
        <is>
          <t>상품개발</t>
        </is>
      </c>
      <c r="F1519" s="60" t="n">
        <v>62902000</v>
      </c>
      <c r="G1519" s="60" t="inlineStr">
        <is>
          <t>지급수수료-기타</t>
        </is>
      </c>
      <c r="H1519" s="61" t="n">
        <v>4157050</v>
      </c>
      <c r="J1519" s="63">
        <f>IF($A1519="","",IFERROR(INDEX(부서매핑!$C$5:$C$504,MATCH($D1519&amp;"",부서매핑!$A$5:$A$504,0)),"미매핑"))</f>
        <v/>
      </c>
      <c r="K1519" s="63">
        <f>IF($A1519="","",IFERROR(INDEX(계정매핑!$C$5:$C$504,MATCH($F1519&amp;"",계정매핑!$A$5:$A$504,0)),"미매핑"))</f>
        <v/>
      </c>
      <c r="L1519" s="4">
        <f>IF($A1519="","",VALUE($A1519&amp;""))</f>
        <v/>
      </c>
      <c r="M1519" s="4">
        <f>IF($A1519="","",VALUE($B1519&amp;""))</f>
        <v/>
      </c>
      <c r="N1519" s="64">
        <f>IF($A1519="","",$H1519*설정!$C$15)</f>
        <v/>
      </c>
      <c r="O1519" s="4">
        <f>IF($A1519="","",J1519&amp;"|"&amp;K1519)</f>
        <v/>
      </c>
      <c r="P1519" s="63">
        <f>IF($A1519="","",IF(COUNTIFS(예산_원본!$T$5:$T$3004,O1519,예산_원본!$B$5:$B$3004,설정!$C$8,예산_원본!$U$5:$U$3004,L1519)&gt;0,"Y","N"))</f>
        <v/>
      </c>
      <c r="Q1519" s="63">
        <f>IF($A1519="","",IF(COUNTIF(집계!$E$7:$E$506,O1519)&gt;0,"Y","N"))</f>
        <v/>
      </c>
    </row>
    <row r="1520">
      <c r="A1520" s="60" t="n">
        <v>2026</v>
      </c>
      <c r="B1520" s="60" t="n">
        <v>8</v>
      </c>
      <c r="C1520" s="60" t="inlineStr">
        <is>
          <t>1000</t>
        </is>
      </c>
      <c r="D1520" s="60" t="n">
        <v>1501</v>
      </c>
      <c r="E1520" s="60" t="inlineStr">
        <is>
          <t>마케팅전략</t>
        </is>
      </c>
      <c r="F1520" s="60" t="n">
        <v>62101000</v>
      </c>
      <c r="G1520" s="60" t="inlineStr">
        <is>
          <t>여비교통비-국내</t>
        </is>
      </c>
      <c r="H1520" s="61" t="n">
        <v>1779880</v>
      </c>
      <c r="J1520" s="63">
        <f>IF($A1520="","",IFERROR(INDEX(부서매핑!$C$5:$C$504,MATCH($D1520&amp;"",부서매핑!$A$5:$A$504,0)),"미매핑"))</f>
        <v/>
      </c>
      <c r="K1520" s="63">
        <f>IF($A1520="","",IFERROR(INDEX(계정매핑!$C$5:$C$504,MATCH($F1520&amp;"",계정매핑!$A$5:$A$504,0)),"미매핑"))</f>
        <v/>
      </c>
      <c r="L1520" s="4">
        <f>IF($A1520="","",VALUE($A1520&amp;""))</f>
        <v/>
      </c>
      <c r="M1520" s="4">
        <f>IF($A1520="","",VALUE($B1520&amp;""))</f>
        <v/>
      </c>
      <c r="N1520" s="64">
        <f>IF($A1520="","",$H1520*설정!$C$15)</f>
        <v/>
      </c>
      <c r="O1520" s="4">
        <f>IF($A1520="","",J1520&amp;"|"&amp;K1520)</f>
        <v/>
      </c>
      <c r="P1520" s="63">
        <f>IF($A1520="","",IF(COUNTIFS(예산_원본!$T$5:$T$3004,O1520,예산_원본!$B$5:$B$3004,설정!$C$8,예산_원본!$U$5:$U$3004,L1520)&gt;0,"Y","N"))</f>
        <v/>
      </c>
      <c r="Q1520" s="63">
        <f>IF($A1520="","",IF(COUNTIF(집계!$E$7:$E$506,O1520)&gt;0,"Y","N"))</f>
        <v/>
      </c>
    </row>
    <row r="1521">
      <c r="A1521" s="60" t="n">
        <v>2026</v>
      </c>
      <c r="B1521" s="60" t="n">
        <v>8</v>
      </c>
      <c r="C1521" s="60" t="inlineStr">
        <is>
          <t>1000</t>
        </is>
      </c>
      <c r="D1521" s="60" t="n">
        <v>1501</v>
      </c>
      <c r="E1521" s="60" t="inlineStr">
        <is>
          <t>마케팅전략</t>
        </is>
      </c>
      <c r="F1521" s="60" t="n">
        <v>62102000</v>
      </c>
      <c r="G1521" s="60" t="inlineStr">
        <is>
          <t>여비교통비-해외</t>
        </is>
      </c>
      <c r="H1521" s="61" t="n">
        <v>329180</v>
      </c>
      <c r="J1521" s="63">
        <f>IF($A1521="","",IFERROR(INDEX(부서매핑!$C$5:$C$504,MATCH($D1521&amp;"",부서매핑!$A$5:$A$504,0)),"미매핑"))</f>
        <v/>
      </c>
      <c r="K1521" s="63">
        <f>IF($A1521="","",IFERROR(INDEX(계정매핑!$C$5:$C$504,MATCH($F1521&amp;"",계정매핑!$A$5:$A$504,0)),"미매핑"))</f>
        <v/>
      </c>
      <c r="L1521" s="4">
        <f>IF($A1521="","",VALUE($A1521&amp;""))</f>
        <v/>
      </c>
      <c r="M1521" s="4">
        <f>IF($A1521="","",VALUE($B1521&amp;""))</f>
        <v/>
      </c>
      <c r="N1521" s="64">
        <f>IF($A1521="","",$H1521*설정!$C$15)</f>
        <v/>
      </c>
      <c r="O1521" s="4">
        <f>IF($A1521="","",J1521&amp;"|"&amp;K1521)</f>
        <v/>
      </c>
      <c r="P1521" s="63">
        <f>IF($A1521="","",IF(COUNTIFS(예산_원본!$T$5:$T$3004,O1521,예산_원본!$B$5:$B$3004,설정!$C$8,예산_원본!$U$5:$U$3004,L1521)&gt;0,"Y","N"))</f>
        <v/>
      </c>
      <c r="Q1521" s="63">
        <f>IF($A1521="","",IF(COUNTIF(집계!$E$7:$E$506,O1521)&gt;0,"Y","N"))</f>
        <v/>
      </c>
    </row>
    <row r="1522">
      <c r="A1522" s="60" t="n">
        <v>2026</v>
      </c>
      <c r="B1522" s="60" t="n">
        <v>8</v>
      </c>
      <c r="C1522" s="60" t="inlineStr">
        <is>
          <t>1000</t>
        </is>
      </c>
      <c r="D1522" s="60" t="n">
        <v>1501</v>
      </c>
      <c r="E1522" s="60" t="inlineStr">
        <is>
          <t>마케팅전략</t>
        </is>
      </c>
      <c r="F1522" s="60" t="n">
        <v>62201000</v>
      </c>
      <c r="G1522" s="60" t="inlineStr">
        <is>
          <t>통신비</t>
        </is>
      </c>
      <c r="H1522" s="61" t="n">
        <v>697110</v>
      </c>
      <c r="J1522" s="63">
        <f>IF($A1522="","",IFERROR(INDEX(부서매핑!$C$5:$C$504,MATCH($D1522&amp;"",부서매핑!$A$5:$A$504,0)),"미매핑"))</f>
        <v/>
      </c>
      <c r="K1522" s="63">
        <f>IF($A1522="","",IFERROR(INDEX(계정매핑!$C$5:$C$504,MATCH($F1522&amp;"",계정매핑!$A$5:$A$504,0)),"미매핑"))</f>
        <v/>
      </c>
      <c r="L1522" s="4">
        <f>IF($A1522="","",VALUE($A1522&amp;""))</f>
        <v/>
      </c>
      <c r="M1522" s="4">
        <f>IF($A1522="","",VALUE($B1522&amp;""))</f>
        <v/>
      </c>
      <c r="N1522" s="64">
        <f>IF($A1522="","",$H1522*설정!$C$15)</f>
        <v/>
      </c>
      <c r="O1522" s="4">
        <f>IF($A1522="","",J1522&amp;"|"&amp;K1522)</f>
        <v/>
      </c>
      <c r="P1522" s="63">
        <f>IF($A1522="","",IF(COUNTIFS(예산_원본!$T$5:$T$3004,O1522,예산_원본!$B$5:$B$3004,설정!$C$8,예산_원본!$U$5:$U$3004,L1522)&gt;0,"Y","N"))</f>
        <v/>
      </c>
      <c r="Q1522" s="63">
        <f>IF($A1522="","",IF(COUNTIF(집계!$E$7:$E$506,O1522)&gt;0,"Y","N"))</f>
        <v/>
      </c>
    </row>
    <row r="1523">
      <c r="A1523" s="60" t="n">
        <v>2026</v>
      </c>
      <c r="B1523" s="60" t="n">
        <v>8</v>
      </c>
      <c r="C1523" s="60" t="inlineStr">
        <is>
          <t>1000</t>
        </is>
      </c>
      <c r="D1523" s="60" t="n">
        <v>1501</v>
      </c>
      <c r="E1523" s="60" t="inlineStr">
        <is>
          <t>마케팅전략</t>
        </is>
      </c>
      <c r="F1523" s="60" t="n">
        <v>62301000</v>
      </c>
      <c r="G1523" s="60" t="inlineStr">
        <is>
          <t>소모품비</t>
        </is>
      </c>
      <c r="H1523" s="61" t="n">
        <v>518780</v>
      </c>
      <c r="J1523" s="63">
        <f>IF($A1523="","",IFERROR(INDEX(부서매핑!$C$5:$C$504,MATCH($D1523&amp;"",부서매핑!$A$5:$A$504,0)),"미매핑"))</f>
        <v/>
      </c>
      <c r="K1523" s="63">
        <f>IF($A1523="","",IFERROR(INDEX(계정매핑!$C$5:$C$504,MATCH($F1523&amp;"",계정매핑!$A$5:$A$504,0)),"미매핑"))</f>
        <v/>
      </c>
      <c r="L1523" s="4">
        <f>IF($A1523="","",VALUE($A1523&amp;""))</f>
        <v/>
      </c>
      <c r="M1523" s="4">
        <f>IF($A1523="","",VALUE($B1523&amp;""))</f>
        <v/>
      </c>
      <c r="N1523" s="64">
        <f>IF($A1523="","",$H1523*설정!$C$15)</f>
        <v/>
      </c>
      <c r="O1523" s="4">
        <f>IF($A1523="","",J1523&amp;"|"&amp;K1523)</f>
        <v/>
      </c>
      <c r="P1523" s="63">
        <f>IF($A1523="","",IF(COUNTIFS(예산_원본!$T$5:$T$3004,O1523,예산_원본!$B$5:$B$3004,설정!$C$8,예산_원본!$U$5:$U$3004,L1523)&gt;0,"Y","N"))</f>
        <v/>
      </c>
      <c r="Q1523" s="63">
        <f>IF($A1523="","",IF(COUNTIF(집계!$E$7:$E$506,O1523)&gt;0,"Y","N"))</f>
        <v/>
      </c>
    </row>
    <row r="1524">
      <c r="A1524" s="60" t="n">
        <v>2026</v>
      </c>
      <c r="B1524" s="60" t="n">
        <v>8</v>
      </c>
      <c r="C1524" s="60" t="inlineStr">
        <is>
          <t>1000</t>
        </is>
      </c>
      <c r="D1524" s="60" t="n">
        <v>1501</v>
      </c>
      <c r="E1524" s="60" t="inlineStr">
        <is>
          <t>마케팅전략</t>
        </is>
      </c>
      <c r="F1524" s="60" t="n">
        <v>62401000</v>
      </c>
      <c r="G1524" s="60" t="inlineStr">
        <is>
          <t>도서인쇄비</t>
        </is>
      </c>
      <c r="H1524" s="61" t="n">
        <v>4561140</v>
      </c>
      <c r="J1524" s="63">
        <f>IF($A1524="","",IFERROR(INDEX(부서매핑!$C$5:$C$504,MATCH($D1524&amp;"",부서매핑!$A$5:$A$504,0)),"미매핑"))</f>
        <v/>
      </c>
      <c r="K1524" s="63">
        <f>IF($A1524="","",IFERROR(INDEX(계정매핑!$C$5:$C$504,MATCH($F1524&amp;"",계정매핑!$A$5:$A$504,0)),"미매핑"))</f>
        <v/>
      </c>
      <c r="L1524" s="4">
        <f>IF($A1524="","",VALUE($A1524&amp;""))</f>
        <v/>
      </c>
      <c r="M1524" s="4">
        <f>IF($A1524="","",VALUE($B1524&amp;""))</f>
        <v/>
      </c>
      <c r="N1524" s="64">
        <f>IF($A1524="","",$H1524*설정!$C$15)</f>
        <v/>
      </c>
      <c r="O1524" s="4">
        <f>IF($A1524="","",J1524&amp;"|"&amp;K1524)</f>
        <v/>
      </c>
      <c r="P1524" s="63">
        <f>IF($A1524="","",IF(COUNTIFS(예산_원본!$T$5:$T$3004,O1524,예산_원본!$B$5:$B$3004,설정!$C$8,예산_원본!$U$5:$U$3004,L1524)&gt;0,"Y","N"))</f>
        <v/>
      </c>
      <c r="Q1524" s="63">
        <f>IF($A1524="","",IF(COUNTIF(집계!$E$7:$E$506,O1524)&gt;0,"Y","N"))</f>
        <v/>
      </c>
    </row>
    <row r="1525">
      <c r="A1525" s="60" t="n">
        <v>2026</v>
      </c>
      <c r="B1525" s="60" t="n">
        <v>8</v>
      </c>
      <c r="C1525" s="60" t="inlineStr">
        <is>
          <t>1000</t>
        </is>
      </c>
      <c r="D1525" s="60" t="n">
        <v>1501</v>
      </c>
      <c r="E1525" s="60" t="inlineStr">
        <is>
          <t>마케팅전략</t>
        </is>
      </c>
      <c r="F1525" s="60" t="n">
        <v>62501000</v>
      </c>
      <c r="G1525" s="60" t="inlineStr">
        <is>
          <t>회의비</t>
        </is>
      </c>
      <c r="H1525" s="61" t="n">
        <v>676460</v>
      </c>
      <c r="J1525" s="63">
        <f>IF($A1525="","",IFERROR(INDEX(부서매핑!$C$5:$C$504,MATCH($D1525&amp;"",부서매핑!$A$5:$A$504,0)),"미매핑"))</f>
        <v/>
      </c>
      <c r="K1525" s="63">
        <f>IF($A1525="","",IFERROR(INDEX(계정매핑!$C$5:$C$504,MATCH($F1525&amp;"",계정매핑!$A$5:$A$504,0)),"미매핑"))</f>
        <v/>
      </c>
      <c r="L1525" s="4">
        <f>IF($A1525="","",VALUE($A1525&amp;""))</f>
        <v/>
      </c>
      <c r="M1525" s="4">
        <f>IF($A1525="","",VALUE($B1525&amp;""))</f>
        <v/>
      </c>
      <c r="N1525" s="64">
        <f>IF($A1525="","",$H1525*설정!$C$15)</f>
        <v/>
      </c>
      <c r="O1525" s="4">
        <f>IF($A1525="","",J1525&amp;"|"&amp;K1525)</f>
        <v/>
      </c>
      <c r="P1525" s="63">
        <f>IF($A1525="","",IF(COUNTIFS(예산_원본!$T$5:$T$3004,O1525,예산_원본!$B$5:$B$3004,설정!$C$8,예산_원본!$U$5:$U$3004,L1525)&gt;0,"Y","N"))</f>
        <v/>
      </c>
      <c r="Q1525" s="63">
        <f>IF($A1525="","",IF(COUNTIF(집계!$E$7:$E$506,O1525)&gt;0,"Y","N"))</f>
        <v/>
      </c>
    </row>
    <row r="1526">
      <c r="A1526" s="60" t="n">
        <v>2026</v>
      </c>
      <c r="B1526" s="60" t="n">
        <v>8</v>
      </c>
      <c r="C1526" s="60" t="inlineStr">
        <is>
          <t>1000</t>
        </is>
      </c>
      <c r="D1526" s="60" t="n">
        <v>1501</v>
      </c>
      <c r="E1526" s="60" t="inlineStr">
        <is>
          <t>마케팅전략</t>
        </is>
      </c>
      <c r="F1526" s="60" t="n">
        <v>62601000</v>
      </c>
      <c r="G1526" s="60" t="inlineStr">
        <is>
          <t>업무추진비</t>
        </is>
      </c>
      <c r="H1526" s="61" t="n">
        <v>1626500</v>
      </c>
      <c r="J1526" s="63">
        <f>IF($A1526="","",IFERROR(INDEX(부서매핑!$C$5:$C$504,MATCH($D1526&amp;"",부서매핑!$A$5:$A$504,0)),"미매핑"))</f>
        <v/>
      </c>
      <c r="K1526" s="63">
        <f>IF($A1526="","",IFERROR(INDEX(계정매핑!$C$5:$C$504,MATCH($F1526&amp;"",계정매핑!$A$5:$A$504,0)),"미매핑"))</f>
        <v/>
      </c>
      <c r="L1526" s="4">
        <f>IF($A1526="","",VALUE($A1526&amp;""))</f>
        <v/>
      </c>
      <c r="M1526" s="4">
        <f>IF($A1526="","",VALUE($B1526&amp;""))</f>
        <v/>
      </c>
      <c r="N1526" s="64">
        <f>IF($A1526="","",$H1526*설정!$C$15)</f>
        <v/>
      </c>
      <c r="O1526" s="4">
        <f>IF($A1526="","",J1526&amp;"|"&amp;K1526)</f>
        <v/>
      </c>
      <c r="P1526" s="63">
        <f>IF($A1526="","",IF(COUNTIFS(예산_원본!$T$5:$T$3004,O1526,예산_원본!$B$5:$B$3004,설정!$C$8,예산_원본!$U$5:$U$3004,L1526)&gt;0,"Y","N"))</f>
        <v/>
      </c>
      <c r="Q1526" s="63">
        <f>IF($A1526="","",IF(COUNTIF(집계!$E$7:$E$506,O1526)&gt;0,"Y","N"))</f>
        <v/>
      </c>
    </row>
    <row r="1527">
      <c r="A1527" s="60" t="n">
        <v>2026</v>
      </c>
      <c r="B1527" s="60" t="n">
        <v>8</v>
      </c>
      <c r="C1527" s="60" t="inlineStr">
        <is>
          <t>1000</t>
        </is>
      </c>
      <c r="D1527" s="60" t="n">
        <v>1501</v>
      </c>
      <c r="E1527" s="60" t="inlineStr">
        <is>
          <t>마케팅전략</t>
        </is>
      </c>
      <c r="F1527" s="60" t="n">
        <v>62701000</v>
      </c>
      <c r="G1527" s="60" t="inlineStr">
        <is>
          <t>광고선전비</t>
        </is>
      </c>
      <c r="H1527" s="61" t="n">
        <v>77581080</v>
      </c>
      <c r="J1527" s="63">
        <f>IF($A1527="","",IFERROR(INDEX(부서매핑!$C$5:$C$504,MATCH($D1527&amp;"",부서매핑!$A$5:$A$504,0)),"미매핑"))</f>
        <v/>
      </c>
      <c r="K1527" s="63">
        <f>IF($A1527="","",IFERROR(INDEX(계정매핑!$C$5:$C$504,MATCH($F1527&amp;"",계정매핑!$A$5:$A$504,0)),"미매핑"))</f>
        <v/>
      </c>
      <c r="L1527" s="4">
        <f>IF($A1527="","",VALUE($A1527&amp;""))</f>
        <v/>
      </c>
      <c r="M1527" s="4">
        <f>IF($A1527="","",VALUE($B1527&amp;""))</f>
        <v/>
      </c>
      <c r="N1527" s="64">
        <f>IF($A1527="","",$H1527*설정!$C$15)</f>
        <v/>
      </c>
      <c r="O1527" s="4">
        <f>IF($A1527="","",J1527&amp;"|"&amp;K1527)</f>
        <v/>
      </c>
      <c r="P1527" s="63">
        <f>IF($A1527="","",IF(COUNTIFS(예산_원본!$T$5:$T$3004,O1527,예산_원본!$B$5:$B$3004,설정!$C$8,예산_원본!$U$5:$U$3004,L1527)&gt;0,"Y","N"))</f>
        <v/>
      </c>
      <c r="Q1527" s="63">
        <f>IF($A1527="","",IF(COUNTIF(집계!$E$7:$E$506,O1527)&gt;0,"Y","N"))</f>
        <v/>
      </c>
    </row>
    <row r="1528">
      <c r="A1528" s="60" t="n">
        <v>2026</v>
      </c>
      <c r="B1528" s="60" t="n">
        <v>8</v>
      </c>
      <c r="C1528" s="60" t="inlineStr">
        <is>
          <t>1000</t>
        </is>
      </c>
      <c r="D1528" s="60" t="n">
        <v>1502</v>
      </c>
      <c r="E1528" s="60" t="inlineStr">
        <is>
          <t>디지털마케팅</t>
        </is>
      </c>
      <c r="F1528" s="60" t="n">
        <v>62101000</v>
      </c>
      <c r="G1528" s="60" t="inlineStr">
        <is>
          <t>여비교통비-국내</t>
        </is>
      </c>
      <c r="H1528" s="61" t="n">
        <v>1261280</v>
      </c>
      <c r="J1528" s="63">
        <f>IF($A1528="","",IFERROR(INDEX(부서매핑!$C$5:$C$504,MATCH($D1528&amp;"",부서매핑!$A$5:$A$504,0)),"미매핑"))</f>
        <v/>
      </c>
      <c r="K1528" s="63">
        <f>IF($A1528="","",IFERROR(INDEX(계정매핑!$C$5:$C$504,MATCH($F1528&amp;"",계정매핑!$A$5:$A$504,0)),"미매핑"))</f>
        <v/>
      </c>
      <c r="L1528" s="4">
        <f>IF($A1528="","",VALUE($A1528&amp;""))</f>
        <v/>
      </c>
      <c r="M1528" s="4">
        <f>IF($A1528="","",VALUE($B1528&amp;""))</f>
        <v/>
      </c>
      <c r="N1528" s="64">
        <f>IF($A1528="","",$H1528*설정!$C$15)</f>
        <v/>
      </c>
      <c r="O1528" s="4">
        <f>IF($A1528="","",J1528&amp;"|"&amp;K1528)</f>
        <v/>
      </c>
      <c r="P1528" s="63">
        <f>IF($A1528="","",IF(COUNTIFS(예산_원본!$T$5:$T$3004,O1528,예산_원본!$B$5:$B$3004,설정!$C$8,예산_원본!$U$5:$U$3004,L1528)&gt;0,"Y","N"))</f>
        <v/>
      </c>
      <c r="Q1528" s="63">
        <f>IF($A1528="","",IF(COUNTIF(집계!$E$7:$E$506,O1528)&gt;0,"Y","N"))</f>
        <v/>
      </c>
    </row>
    <row r="1529">
      <c r="A1529" s="60" t="n">
        <v>2026</v>
      </c>
      <c r="B1529" s="60" t="n">
        <v>8</v>
      </c>
      <c r="C1529" s="60" t="inlineStr">
        <is>
          <t>1000</t>
        </is>
      </c>
      <c r="D1529" s="60" t="n">
        <v>1502</v>
      </c>
      <c r="E1529" s="60" t="inlineStr">
        <is>
          <t>디지털마케팅</t>
        </is>
      </c>
      <c r="F1529" s="60" t="n">
        <v>62102000</v>
      </c>
      <c r="G1529" s="60" t="inlineStr">
        <is>
          <t>여비교통비-해외</t>
        </is>
      </c>
      <c r="H1529" s="61" t="n">
        <v>232440</v>
      </c>
      <c r="J1529" s="63">
        <f>IF($A1529="","",IFERROR(INDEX(부서매핑!$C$5:$C$504,MATCH($D1529&amp;"",부서매핑!$A$5:$A$504,0)),"미매핑"))</f>
        <v/>
      </c>
      <c r="K1529" s="63">
        <f>IF($A1529="","",IFERROR(INDEX(계정매핑!$C$5:$C$504,MATCH($F1529&amp;"",계정매핑!$A$5:$A$504,0)),"미매핑"))</f>
        <v/>
      </c>
      <c r="L1529" s="4">
        <f>IF($A1529="","",VALUE($A1529&amp;""))</f>
        <v/>
      </c>
      <c r="M1529" s="4">
        <f>IF($A1529="","",VALUE($B1529&amp;""))</f>
        <v/>
      </c>
      <c r="N1529" s="64">
        <f>IF($A1529="","",$H1529*설정!$C$15)</f>
        <v/>
      </c>
      <c r="O1529" s="4">
        <f>IF($A1529="","",J1529&amp;"|"&amp;K1529)</f>
        <v/>
      </c>
      <c r="P1529" s="63">
        <f>IF($A1529="","",IF(COUNTIFS(예산_원본!$T$5:$T$3004,O1529,예산_원본!$B$5:$B$3004,설정!$C$8,예산_원본!$U$5:$U$3004,L1529)&gt;0,"Y","N"))</f>
        <v/>
      </c>
      <c r="Q1529" s="63">
        <f>IF($A1529="","",IF(COUNTIF(집계!$E$7:$E$506,O1529)&gt;0,"Y","N"))</f>
        <v/>
      </c>
    </row>
    <row r="1530">
      <c r="A1530" s="60" t="n">
        <v>2026</v>
      </c>
      <c r="B1530" s="60" t="n">
        <v>8</v>
      </c>
      <c r="C1530" s="60" t="inlineStr">
        <is>
          <t>1000</t>
        </is>
      </c>
      <c r="D1530" s="60" t="n">
        <v>1502</v>
      </c>
      <c r="E1530" s="60" t="inlineStr">
        <is>
          <t>디지털마케팅</t>
        </is>
      </c>
      <c r="F1530" s="60" t="n">
        <v>62201000</v>
      </c>
      <c r="G1530" s="60" t="inlineStr">
        <is>
          <t>통신비</t>
        </is>
      </c>
      <c r="H1530" s="61" t="n">
        <v>461320</v>
      </c>
      <c r="J1530" s="63">
        <f>IF($A1530="","",IFERROR(INDEX(부서매핑!$C$5:$C$504,MATCH($D1530&amp;"",부서매핑!$A$5:$A$504,0)),"미매핑"))</f>
        <v/>
      </c>
      <c r="K1530" s="63">
        <f>IF($A1530="","",IFERROR(INDEX(계정매핑!$C$5:$C$504,MATCH($F1530&amp;"",계정매핑!$A$5:$A$504,0)),"미매핑"))</f>
        <v/>
      </c>
      <c r="L1530" s="4">
        <f>IF($A1530="","",VALUE($A1530&amp;""))</f>
        <v/>
      </c>
      <c r="M1530" s="4">
        <f>IF($A1530="","",VALUE($B1530&amp;""))</f>
        <v/>
      </c>
      <c r="N1530" s="64">
        <f>IF($A1530="","",$H1530*설정!$C$15)</f>
        <v/>
      </c>
      <c r="O1530" s="4">
        <f>IF($A1530="","",J1530&amp;"|"&amp;K1530)</f>
        <v/>
      </c>
      <c r="P1530" s="63">
        <f>IF($A1530="","",IF(COUNTIFS(예산_원본!$T$5:$T$3004,O1530,예산_원본!$B$5:$B$3004,설정!$C$8,예산_원본!$U$5:$U$3004,L1530)&gt;0,"Y","N"))</f>
        <v/>
      </c>
      <c r="Q1530" s="63">
        <f>IF($A1530="","",IF(COUNTIF(집계!$E$7:$E$506,O1530)&gt;0,"Y","N"))</f>
        <v/>
      </c>
    </row>
    <row r="1531">
      <c r="A1531" s="60" t="n">
        <v>2026</v>
      </c>
      <c r="B1531" s="60" t="n">
        <v>8</v>
      </c>
      <c r="C1531" s="60" t="inlineStr">
        <is>
          <t>1000</t>
        </is>
      </c>
      <c r="D1531" s="60" t="n">
        <v>1502</v>
      </c>
      <c r="E1531" s="60" t="inlineStr">
        <is>
          <t>디지털마케팅</t>
        </is>
      </c>
      <c r="F1531" s="60" t="n">
        <v>62301000</v>
      </c>
      <c r="G1531" s="60" t="inlineStr">
        <is>
          <t>소모품비</t>
        </is>
      </c>
      <c r="H1531" s="61" t="n">
        <v>334430</v>
      </c>
      <c r="J1531" s="63">
        <f>IF($A1531="","",IFERROR(INDEX(부서매핑!$C$5:$C$504,MATCH($D1531&amp;"",부서매핑!$A$5:$A$504,0)),"미매핑"))</f>
        <v/>
      </c>
      <c r="K1531" s="63">
        <f>IF($A1531="","",IFERROR(INDEX(계정매핑!$C$5:$C$504,MATCH($F1531&amp;"",계정매핑!$A$5:$A$504,0)),"미매핑"))</f>
        <v/>
      </c>
      <c r="L1531" s="4">
        <f>IF($A1531="","",VALUE($A1531&amp;""))</f>
        <v/>
      </c>
      <c r="M1531" s="4">
        <f>IF($A1531="","",VALUE($B1531&amp;""))</f>
        <v/>
      </c>
      <c r="N1531" s="64">
        <f>IF($A1531="","",$H1531*설정!$C$15)</f>
        <v/>
      </c>
      <c r="O1531" s="4">
        <f>IF($A1531="","",J1531&amp;"|"&amp;K1531)</f>
        <v/>
      </c>
      <c r="P1531" s="63">
        <f>IF($A1531="","",IF(COUNTIFS(예산_원본!$T$5:$T$3004,O1531,예산_원본!$B$5:$B$3004,설정!$C$8,예산_원본!$U$5:$U$3004,L1531)&gt;0,"Y","N"))</f>
        <v/>
      </c>
      <c r="Q1531" s="63">
        <f>IF($A1531="","",IF(COUNTIF(집계!$E$7:$E$506,O1531)&gt;0,"Y","N"))</f>
        <v/>
      </c>
    </row>
    <row r="1532">
      <c r="A1532" s="60" t="n">
        <v>2026</v>
      </c>
      <c r="B1532" s="60" t="n">
        <v>8</v>
      </c>
      <c r="C1532" s="60" t="inlineStr">
        <is>
          <t>1000</t>
        </is>
      </c>
      <c r="D1532" s="60" t="n">
        <v>1502</v>
      </c>
      <c r="E1532" s="60" t="inlineStr">
        <is>
          <t>디지털마케팅</t>
        </is>
      </c>
      <c r="F1532" s="60" t="n">
        <v>62401000</v>
      </c>
      <c r="G1532" s="60" t="inlineStr">
        <is>
          <t>도서인쇄비</t>
        </is>
      </c>
      <c r="H1532" s="61" t="n">
        <v>2864810</v>
      </c>
      <c r="J1532" s="63">
        <f>IF($A1532="","",IFERROR(INDEX(부서매핑!$C$5:$C$504,MATCH($D1532&amp;"",부서매핑!$A$5:$A$504,0)),"미매핑"))</f>
        <v/>
      </c>
      <c r="K1532" s="63">
        <f>IF($A1532="","",IFERROR(INDEX(계정매핑!$C$5:$C$504,MATCH($F1532&amp;"",계정매핑!$A$5:$A$504,0)),"미매핑"))</f>
        <v/>
      </c>
      <c r="L1532" s="4">
        <f>IF($A1532="","",VALUE($A1532&amp;""))</f>
        <v/>
      </c>
      <c r="M1532" s="4">
        <f>IF($A1532="","",VALUE($B1532&amp;""))</f>
        <v/>
      </c>
      <c r="N1532" s="64">
        <f>IF($A1532="","",$H1532*설정!$C$15)</f>
        <v/>
      </c>
      <c r="O1532" s="4">
        <f>IF($A1532="","",J1532&amp;"|"&amp;K1532)</f>
        <v/>
      </c>
      <c r="P1532" s="63">
        <f>IF($A1532="","",IF(COUNTIFS(예산_원본!$T$5:$T$3004,O1532,예산_원본!$B$5:$B$3004,설정!$C$8,예산_원본!$U$5:$U$3004,L1532)&gt;0,"Y","N"))</f>
        <v/>
      </c>
      <c r="Q1532" s="63">
        <f>IF($A1532="","",IF(COUNTIF(집계!$E$7:$E$506,O1532)&gt;0,"Y","N"))</f>
        <v/>
      </c>
    </row>
    <row r="1533">
      <c r="A1533" s="60" t="n">
        <v>2026</v>
      </c>
      <c r="B1533" s="60" t="n">
        <v>8</v>
      </c>
      <c r="C1533" s="60" t="inlineStr">
        <is>
          <t>1000</t>
        </is>
      </c>
      <c r="D1533" s="60" t="n">
        <v>1502</v>
      </c>
      <c r="E1533" s="60" t="inlineStr">
        <is>
          <t>디지털마케팅</t>
        </is>
      </c>
      <c r="F1533" s="60" t="n">
        <v>62501000</v>
      </c>
      <c r="G1533" s="60" t="inlineStr">
        <is>
          <t>회의비</t>
        </is>
      </c>
      <c r="H1533" s="61" t="n">
        <v>518780</v>
      </c>
      <c r="J1533" s="63">
        <f>IF($A1533="","",IFERROR(INDEX(부서매핑!$C$5:$C$504,MATCH($D1533&amp;"",부서매핑!$A$5:$A$504,0)),"미매핑"))</f>
        <v/>
      </c>
      <c r="K1533" s="63">
        <f>IF($A1533="","",IFERROR(INDEX(계정매핑!$C$5:$C$504,MATCH($F1533&amp;"",계정매핑!$A$5:$A$504,0)),"미매핑"))</f>
        <v/>
      </c>
      <c r="L1533" s="4">
        <f>IF($A1533="","",VALUE($A1533&amp;""))</f>
        <v/>
      </c>
      <c r="M1533" s="4">
        <f>IF($A1533="","",VALUE($B1533&amp;""))</f>
        <v/>
      </c>
      <c r="N1533" s="64">
        <f>IF($A1533="","",$H1533*설정!$C$15)</f>
        <v/>
      </c>
      <c r="O1533" s="4">
        <f>IF($A1533="","",J1533&amp;"|"&amp;K1533)</f>
        <v/>
      </c>
      <c r="P1533" s="63">
        <f>IF($A1533="","",IF(COUNTIFS(예산_원본!$T$5:$T$3004,O1533,예산_원본!$B$5:$B$3004,설정!$C$8,예산_원본!$U$5:$U$3004,L1533)&gt;0,"Y","N"))</f>
        <v/>
      </c>
      <c r="Q1533" s="63">
        <f>IF($A1533="","",IF(COUNTIF(집계!$E$7:$E$506,O1533)&gt;0,"Y","N"))</f>
        <v/>
      </c>
    </row>
    <row r="1534">
      <c r="A1534" s="60" t="n">
        <v>2026</v>
      </c>
      <c r="B1534" s="60" t="n">
        <v>8</v>
      </c>
      <c r="C1534" s="60" t="inlineStr">
        <is>
          <t>1000</t>
        </is>
      </c>
      <c r="D1534" s="60" t="n">
        <v>1502</v>
      </c>
      <c r="E1534" s="60" t="inlineStr">
        <is>
          <t>디지털마케팅</t>
        </is>
      </c>
      <c r="F1534" s="60" t="n">
        <v>62601000</v>
      </c>
      <c r="G1534" s="60" t="inlineStr">
        <is>
          <t>업무추진비</t>
        </is>
      </c>
      <c r="H1534" s="61" t="n">
        <v>934780</v>
      </c>
      <c r="J1534" s="63">
        <f>IF($A1534="","",IFERROR(INDEX(부서매핑!$C$5:$C$504,MATCH($D1534&amp;"",부서매핑!$A$5:$A$504,0)),"미매핑"))</f>
        <v/>
      </c>
      <c r="K1534" s="63">
        <f>IF($A1534="","",IFERROR(INDEX(계정매핑!$C$5:$C$504,MATCH($F1534&amp;"",계정매핑!$A$5:$A$504,0)),"미매핑"))</f>
        <v/>
      </c>
      <c r="L1534" s="4">
        <f>IF($A1534="","",VALUE($A1534&amp;""))</f>
        <v/>
      </c>
      <c r="M1534" s="4">
        <f>IF($A1534="","",VALUE($B1534&amp;""))</f>
        <v/>
      </c>
      <c r="N1534" s="64">
        <f>IF($A1534="","",$H1534*설정!$C$15)</f>
        <v/>
      </c>
      <c r="O1534" s="4">
        <f>IF($A1534="","",J1534&amp;"|"&amp;K1534)</f>
        <v/>
      </c>
      <c r="P1534" s="63">
        <f>IF($A1534="","",IF(COUNTIFS(예산_원본!$T$5:$T$3004,O1534,예산_원본!$B$5:$B$3004,설정!$C$8,예산_원본!$U$5:$U$3004,L1534)&gt;0,"Y","N"))</f>
        <v/>
      </c>
      <c r="Q1534" s="63">
        <f>IF($A1534="","",IF(COUNTIF(집계!$E$7:$E$506,O1534)&gt;0,"Y","N"))</f>
        <v/>
      </c>
    </row>
    <row r="1535">
      <c r="A1535" s="60" t="n">
        <v>2026</v>
      </c>
      <c r="B1535" s="60" t="n">
        <v>8</v>
      </c>
      <c r="C1535" s="60" t="inlineStr">
        <is>
          <t>1000</t>
        </is>
      </c>
      <c r="D1535" s="60" t="n">
        <v>1502</v>
      </c>
      <c r="E1535" s="60" t="inlineStr">
        <is>
          <t>디지털마케팅</t>
        </is>
      </c>
      <c r="F1535" s="60" t="n">
        <v>62701000</v>
      </c>
      <c r="G1535" s="60" t="inlineStr">
        <is>
          <t>광고선전비</t>
        </is>
      </c>
      <c r="H1535" s="61" t="n">
        <v>54723530</v>
      </c>
      <c r="J1535" s="63">
        <f>IF($A1535="","",IFERROR(INDEX(부서매핑!$C$5:$C$504,MATCH($D1535&amp;"",부서매핑!$A$5:$A$504,0)),"미매핑"))</f>
        <v/>
      </c>
      <c r="K1535" s="63">
        <f>IF($A1535="","",IFERROR(INDEX(계정매핑!$C$5:$C$504,MATCH($F1535&amp;"",계정매핑!$A$5:$A$504,0)),"미매핑"))</f>
        <v/>
      </c>
      <c r="L1535" s="4">
        <f>IF($A1535="","",VALUE($A1535&amp;""))</f>
        <v/>
      </c>
      <c r="M1535" s="4">
        <f>IF($A1535="","",VALUE($B1535&amp;""))</f>
        <v/>
      </c>
      <c r="N1535" s="64">
        <f>IF($A1535="","",$H1535*설정!$C$15)</f>
        <v/>
      </c>
      <c r="O1535" s="4">
        <f>IF($A1535="","",J1535&amp;"|"&amp;K1535)</f>
        <v/>
      </c>
      <c r="P1535" s="63">
        <f>IF($A1535="","",IF(COUNTIFS(예산_원본!$T$5:$T$3004,O1535,예산_원본!$B$5:$B$3004,설정!$C$8,예산_원본!$U$5:$U$3004,L1535)&gt;0,"Y","N"))</f>
        <v/>
      </c>
      <c r="Q1535" s="63">
        <f>IF($A1535="","",IF(COUNTIF(집계!$E$7:$E$506,O1535)&gt;0,"Y","N"))</f>
        <v/>
      </c>
    </row>
    <row r="1536">
      <c r="A1536" s="60" t="n">
        <v>2026</v>
      </c>
      <c r="B1536" s="60" t="n">
        <v>8</v>
      </c>
      <c r="C1536" s="60" t="inlineStr">
        <is>
          <t>1000</t>
        </is>
      </c>
      <c r="D1536" s="60" t="n">
        <v>1601</v>
      </c>
      <c r="E1536" s="60" t="inlineStr">
        <is>
          <t>영업지원-본사</t>
        </is>
      </c>
      <c r="F1536" s="60" t="n">
        <v>62101000</v>
      </c>
      <c r="G1536" s="60" t="inlineStr">
        <is>
          <t>여비교통비-국내</t>
        </is>
      </c>
      <c r="H1536" s="61" t="n">
        <v>3426530</v>
      </c>
      <c r="J1536" s="63">
        <f>IF($A1536="","",IFERROR(INDEX(부서매핑!$C$5:$C$504,MATCH($D1536&amp;"",부서매핑!$A$5:$A$504,0)),"미매핑"))</f>
        <v/>
      </c>
      <c r="K1536" s="63">
        <f>IF($A1536="","",IFERROR(INDEX(계정매핑!$C$5:$C$504,MATCH($F1536&amp;"",계정매핑!$A$5:$A$504,0)),"미매핑"))</f>
        <v/>
      </c>
      <c r="L1536" s="4">
        <f>IF($A1536="","",VALUE($A1536&amp;""))</f>
        <v/>
      </c>
      <c r="M1536" s="4">
        <f>IF($A1536="","",VALUE($B1536&amp;""))</f>
        <v/>
      </c>
      <c r="N1536" s="64">
        <f>IF($A1536="","",$H1536*설정!$C$15)</f>
        <v/>
      </c>
      <c r="O1536" s="4">
        <f>IF($A1536="","",J1536&amp;"|"&amp;K1536)</f>
        <v/>
      </c>
      <c r="P1536" s="63">
        <f>IF($A1536="","",IF(COUNTIFS(예산_원본!$T$5:$T$3004,O1536,예산_원본!$B$5:$B$3004,설정!$C$8,예산_원본!$U$5:$U$3004,L1536)&gt;0,"Y","N"))</f>
        <v/>
      </c>
      <c r="Q1536" s="63">
        <f>IF($A1536="","",IF(COUNTIF(집계!$E$7:$E$506,O1536)&gt;0,"Y","N"))</f>
        <v/>
      </c>
    </row>
    <row r="1537">
      <c r="A1537" s="60" t="n">
        <v>2026</v>
      </c>
      <c r="B1537" s="60" t="n">
        <v>8</v>
      </c>
      <c r="C1537" s="60" t="inlineStr">
        <is>
          <t>1000</t>
        </is>
      </c>
      <c r="D1537" s="60" t="n">
        <v>1601</v>
      </c>
      <c r="E1537" s="60" t="inlineStr">
        <is>
          <t>영업지원-본사</t>
        </is>
      </c>
      <c r="F1537" s="60" t="n">
        <v>62102000</v>
      </c>
      <c r="G1537" s="60" t="inlineStr">
        <is>
          <t>여비교통비-해외</t>
        </is>
      </c>
      <c r="H1537" s="61" t="n">
        <v>673320</v>
      </c>
      <c r="J1537" s="63">
        <f>IF($A1537="","",IFERROR(INDEX(부서매핑!$C$5:$C$504,MATCH($D1537&amp;"",부서매핑!$A$5:$A$504,0)),"미매핑"))</f>
        <v/>
      </c>
      <c r="K1537" s="63">
        <f>IF($A1537="","",IFERROR(INDEX(계정매핑!$C$5:$C$504,MATCH($F1537&amp;"",계정매핑!$A$5:$A$504,0)),"미매핑"))</f>
        <v/>
      </c>
      <c r="L1537" s="4">
        <f>IF($A1537="","",VALUE($A1537&amp;""))</f>
        <v/>
      </c>
      <c r="M1537" s="4">
        <f>IF($A1537="","",VALUE($B1537&amp;""))</f>
        <v/>
      </c>
      <c r="N1537" s="64">
        <f>IF($A1537="","",$H1537*설정!$C$15)</f>
        <v/>
      </c>
      <c r="O1537" s="4">
        <f>IF($A1537="","",J1537&amp;"|"&amp;K1537)</f>
        <v/>
      </c>
      <c r="P1537" s="63">
        <f>IF($A1537="","",IF(COUNTIFS(예산_원본!$T$5:$T$3004,O1537,예산_원본!$B$5:$B$3004,설정!$C$8,예산_원본!$U$5:$U$3004,L1537)&gt;0,"Y","N"))</f>
        <v/>
      </c>
      <c r="Q1537" s="63">
        <f>IF($A1537="","",IF(COUNTIF(집계!$E$7:$E$506,O1537)&gt;0,"Y","N"))</f>
        <v/>
      </c>
    </row>
    <row r="1538">
      <c r="A1538" s="60" t="n">
        <v>2026</v>
      </c>
      <c r="B1538" s="60" t="n">
        <v>8</v>
      </c>
      <c r="C1538" s="60" t="inlineStr">
        <is>
          <t>1000</t>
        </is>
      </c>
      <c r="D1538" s="60" t="n">
        <v>1601</v>
      </c>
      <c r="E1538" s="60" t="inlineStr">
        <is>
          <t>영업지원-본사</t>
        </is>
      </c>
      <c r="F1538" s="60" t="n">
        <v>62201000</v>
      </c>
      <c r="G1538" s="60" t="inlineStr">
        <is>
          <t>통신비</t>
        </is>
      </c>
      <c r="H1538" s="61" t="n">
        <v>1029290</v>
      </c>
      <c r="J1538" s="63">
        <f>IF($A1538="","",IFERROR(INDEX(부서매핑!$C$5:$C$504,MATCH($D1538&amp;"",부서매핑!$A$5:$A$504,0)),"미매핑"))</f>
        <v/>
      </c>
      <c r="K1538" s="63">
        <f>IF($A1538="","",IFERROR(INDEX(계정매핑!$C$5:$C$504,MATCH($F1538&amp;"",계정매핑!$A$5:$A$504,0)),"미매핑"))</f>
        <v/>
      </c>
      <c r="L1538" s="4">
        <f>IF($A1538="","",VALUE($A1538&amp;""))</f>
        <v/>
      </c>
      <c r="M1538" s="4">
        <f>IF($A1538="","",VALUE($B1538&amp;""))</f>
        <v/>
      </c>
      <c r="N1538" s="64">
        <f>IF($A1538="","",$H1538*설정!$C$15)</f>
        <v/>
      </c>
      <c r="O1538" s="4">
        <f>IF($A1538="","",J1538&amp;"|"&amp;K1538)</f>
        <v/>
      </c>
      <c r="P1538" s="63">
        <f>IF($A1538="","",IF(COUNTIFS(예산_원본!$T$5:$T$3004,O1538,예산_원본!$B$5:$B$3004,설정!$C$8,예산_원본!$U$5:$U$3004,L1538)&gt;0,"Y","N"))</f>
        <v/>
      </c>
      <c r="Q1538" s="63">
        <f>IF($A1538="","",IF(COUNTIF(집계!$E$7:$E$506,O1538)&gt;0,"Y","N"))</f>
        <v/>
      </c>
    </row>
    <row r="1539">
      <c r="A1539" s="60" t="n">
        <v>2026</v>
      </c>
      <c r="B1539" s="60" t="n">
        <v>8</v>
      </c>
      <c r="C1539" s="60" t="inlineStr">
        <is>
          <t>1000</t>
        </is>
      </c>
      <c r="D1539" s="60" t="n">
        <v>1601</v>
      </c>
      <c r="E1539" s="60" t="inlineStr">
        <is>
          <t>영업지원-본사</t>
        </is>
      </c>
      <c r="F1539" s="60" t="n">
        <v>62301000</v>
      </c>
      <c r="G1539" s="60" t="inlineStr">
        <is>
          <t>소모품비</t>
        </is>
      </c>
      <c r="H1539" s="61" t="n">
        <v>580560</v>
      </c>
      <c r="J1539" s="63">
        <f>IF($A1539="","",IFERROR(INDEX(부서매핑!$C$5:$C$504,MATCH($D1539&amp;"",부서매핑!$A$5:$A$504,0)),"미매핑"))</f>
        <v/>
      </c>
      <c r="K1539" s="63">
        <f>IF($A1539="","",IFERROR(INDEX(계정매핑!$C$5:$C$504,MATCH($F1539&amp;"",계정매핑!$A$5:$A$504,0)),"미매핑"))</f>
        <v/>
      </c>
      <c r="L1539" s="4">
        <f>IF($A1539="","",VALUE($A1539&amp;""))</f>
        <v/>
      </c>
      <c r="M1539" s="4">
        <f>IF($A1539="","",VALUE($B1539&amp;""))</f>
        <v/>
      </c>
      <c r="N1539" s="64">
        <f>IF($A1539="","",$H1539*설정!$C$15)</f>
        <v/>
      </c>
      <c r="O1539" s="4">
        <f>IF($A1539="","",J1539&amp;"|"&amp;K1539)</f>
        <v/>
      </c>
      <c r="P1539" s="63">
        <f>IF($A1539="","",IF(COUNTIFS(예산_원본!$T$5:$T$3004,O1539,예산_원본!$B$5:$B$3004,설정!$C$8,예산_원본!$U$5:$U$3004,L1539)&gt;0,"Y","N"))</f>
        <v/>
      </c>
      <c r="Q1539" s="63">
        <f>IF($A1539="","",IF(COUNTIF(집계!$E$7:$E$506,O1539)&gt;0,"Y","N"))</f>
        <v/>
      </c>
    </row>
    <row r="1540">
      <c r="A1540" s="60" t="n">
        <v>2026</v>
      </c>
      <c r="B1540" s="60" t="n">
        <v>8</v>
      </c>
      <c r="C1540" s="60" t="inlineStr">
        <is>
          <t>1000</t>
        </is>
      </c>
      <c r="D1540" s="60" t="n">
        <v>1601</v>
      </c>
      <c r="E1540" s="60" t="inlineStr">
        <is>
          <t>영업지원-본사</t>
        </is>
      </c>
      <c r="F1540" s="60" t="n">
        <v>62501000</v>
      </c>
      <c r="G1540" s="60" t="inlineStr">
        <is>
          <t>회의비</t>
        </is>
      </c>
      <c r="H1540" s="61" t="n">
        <v>1013250</v>
      </c>
      <c r="J1540" s="63">
        <f>IF($A1540="","",IFERROR(INDEX(부서매핑!$C$5:$C$504,MATCH($D1540&amp;"",부서매핑!$A$5:$A$504,0)),"미매핑"))</f>
        <v/>
      </c>
      <c r="K1540" s="63">
        <f>IF($A1540="","",IFERROR(INDEX(계정매핑!$C$5:$C$504,MATCH($F1540&amp;"",계정매핑!$A$5:$A$504,0)),"미매핑"))</f>
        <v/>
      </c>
      <c r="L1540" s="4">
        <f>IF($A1540="","",VALUE($A1540&amp;""))</f>
        <v/>
      </c>
      <c r="M1540" s="4">
        <f>IF($A1540="","",VALUE($B1540&amp;""))</f>
        <v/>
      </c>
      <c r="N1540" s="64">
        <f>IF($A1540="","",$H1540*설정!$C$15)</f>
        <v/>
      </c>
      <c r="O1540" s="4">
        <f>IF($A1540="","",J1540&amp;"|"&amp;K1540)</f>
        <v/>
      </c>
      <c r="P1540" s="63">
        <f>IF($A1540="","",IF(COUNTIFS(예산_원본!$T$5:$T$3004,O1540,예산_원본!$B$5:$B$3004,설정!$C$8,예산_원본!$U$5:$U$3004,L1540)&gt;0,"Y","N"))</f>
        <v/>
      </c>
      <c r="Q1540" s="63">
        <f>IF($A1540="","",IF(COUNTIF(집계!$E$7:$E$506,O1540)&gt;0,"Y","N"))</f>
        <v/>
      </c>
    </row>
    <row r="1541">
      <c r="A1541" s="60" t="n">
        <v>2026</v>
      </c>
      <c r="B1541" s="60" t="n">
        <v>8</v>
      </c>
      <c r="C1541" s="60" t="inlineStr">
        <is>
          <t>1000</t>
        </is>
      </c>
      <c r="D1541" s="60" t="n">
        <v>1601</v>
      </c>
      <c r="E1541" s="60" t="inlineStr">
        <is>
          <t>영업지원-본사</t>
        </is>
      </c>
      <c r="F1541" s="60" t="n">
        <v>62601000</v>
      </c>
      <c r="G1541" s="60" t="inlineStr">
        <is>
          <t>업무추진비</t>
        </is>
      </c>
      <c r="H1541" s="61" t="n">
        <v>1941670</v>
      </c>
      <c r="J1541" s="63">
        <f>IF($A1541="","",IFERROR(INDEX(부서매핑!$C$5:$C$504,MATCH($D1541&amp;"",부서매핑!$A$5:$A$504,0)),"미매핑"))</f>
        <v/>
      </c>
      <c r="K1541" s="63">
        <f>IF($A1541="","",IFERROR(INDEX(계정매핑!$C$5:$C$504,MATCH($F1541&amp;"",계정매핑!$A$5:$A$504,0)),"미매핑"))</f>
        <v/>
      </c>
      <c r="L1541" s="4">
        <f>IF($A1541="","",VALUE($A1541&amp;""))</f>
        <v/>
      </c>
      <c r="M1541" s="4">
        <f>IF($A1541="","",VALUE($B1541&amp;""))</f>
        <v/>
      </c>
      <c r="N1541" s="64">
        <f>IF($A1541="","",$H1541*설정!$C$15)</f>
        <v/>
      </c>
      <c r="O1541" s="4">
        <f>IF($A1541="","",J1541&amp;"|"&amp;K1541)</f>
        <v/>
      </c>
      <c r="P1541" s="63">
        <f>IF($A1541="","",IF(COUNTIFS(예산_원본!$T$5:$T$3004,O1541,예산_원본!$B$5:$B$3004,설정!$C$8,예산_원본!$U$5:$U$3004,L1541)&gt;0,"Y","N"))</f>
        <v/>
      </c>
      <c r="Q1541" s="63">
        <f>IF($A1541="","",IF(COUNTIF(집계!$E$7:$E$506,O1541)&gt;0,"Y","N"))</f>
        <v/>
      </c>
    </row>
    <row r="1542">
      <c r="A1542" s="60" t="n">
        <v>2026</v>
      </c>
      <c r="B1542" s="60" t="n">
        <v>8</v>
      </c>
      <c r="C1542" s="60" t="inlineStr">
        <is>
          <t>1000</t>
        </is>
      </c>
      <c r="D1542" s="60" t="n">
        <v>1601</v>
      </c>
      <c r="E1542" s="60" t="inlineStr">
        <is>
          <t>영업지원-본사</t>
        </is>
      </c>
      <c r="F1542" s="60" t="n">
        <v>63101000</v>
      </c>
      <c r="G1542" s="60" t="inlineStr">
        <is>
          <t>임차료</t>
        </is>
      </c>
      <c r="H1542" s="61" t="n">
        <v>9595420</v>
      </c>
      <c r="J1542" s="63">
        <f>IF($A1542="","",IFERROR(INDEX(부서매핑!$C$5:$C$504,MATCH($D1542&amp;"",부서매핑!$A$5:$A$504,0)),"미매핑"))</f>
        <v/>
      </c>
      <c r="K1542" s="63">
        <f>IF($A1542="","",IFERROR(INDEX(계정매핑!$C$5:$C$504,MATCH($F1542&amp;"",계정매핑!$A$5:$A$504,0)),"미매핑"))</f>
        <v/>
      </c>
      <c r="L1542" s="4">
        <f>IF($A1542="","",VALUE($A1542&amp;""))</f>
        <v/>
      </c>
      <c r="M1542" s="4">
        <f>IF($A1542="","",VALUE($B1542&amp;""))</f>
        <v/>
      </c>
      <c r="N1542" s="64">
        <f>IF($A1542="","",$H1542*설정!$C$15)</f>
        <v/>
      </c>
      <c r="O1542" s="4">
        <f>IF($A1542="","",J1542&amp;"|"&amp;K1542)</f>
        <v/>
      </c>
      <c r="P1542" s="63">
        <f>IF($A1542="","",IF(COUNTIFS(예산_원본!$T$5:$T$3004,O1542,예산_원본!$B$5:$B$3004,설정!$C$8,예산_원본!$U$5:$U$3004,L1542)&gt;0,"Y","N"))</f>
        <v/>
      </c>
      <c r="Q1542" s="63">
        <f>IF($A1542="","",IF(COUNTIF(집계!$E$7:$E$506,O1542)&gt;0,"Y","N"))</f>
        <v/>
      </c>
    </row>
    <row r="1543">
      <c r="A1543" s="60" t="n">
        <v>2026</v>
      </c>
      <c r="B1543" s="60" t="n">
        <v>8</v>
      </c>
      <c r="C1543" s="60" t="inlineStr">
        <is>
          <t>1000</t>
        </is>
      </c>
      <c r="D1543" s="60" t="n">
        <v>1601</v>
      </c>
      <c r="E1543" s="60" t="inlineStr">
        <is>
          <t>영업지원-본사</t>
        </is>
      </c>
      <c r="F1543" s="60" t="n">
        <v>63201000</v>
      </c>
      <c r="G1543" s="60" t="inlineStr">
        <is>
          <t>차량유지비</t>
        </is>
      </c>
      <c r="H1543" s="61" t="n">
        <v>5391960</v>
      </c>
      <c r="J1543" s="63">
        <f>IF($A1543="","",IFERROR(INDEX(부서매핑!$C$5:$C$504,MATCH($D1543&amp;"",부서매핑!$A$5:$A$504,0)),"미매핑"))</f>
        <v/>
      </c>
      <c r="K1543" s="63">
        <f>IF($A1543="","",IFERROR(INDEX(계정매핑!$C$5:$C$504,MATCH($F1543&amp;"",계정매핑!$A$5:$A$504,0)),"미매핑"))</f>
        <v/>
      </c>
      <c r="L1543" s="4">
        <f>IF($A1543="","",VALUE($A1543&amp;""))</f>
        <v/>
      </c>
      <c r="M1543" s="4">
        <f>IF($A1543="","",VALUE($B1543&amp;""))</f>
        <v/>
      </c>
      <c r="N1543" s="64">
        <f>IF($A1543="","",$H1543*설정!$C$15)</f>
        <v/>
      </c>
      <c r="O1543" s="4">
        <f>IF($A1543="","",J1543&amp;"|"&amp;K1543)</f>
        <v/>
      </c>
      <c r="P1543" s="63">
        <f>IF($A1543="","",IF(COUNTIFS(예산_원본!$T$5:$T$3004,O1543,예산_원본!$B$5:$B$3004,설정!$C$8,예산_원본!$U$5:$U$3004,L1543)&gt;0,"Y","N"))</f>
        <v/>
      </c>
      <c r="Q1543" s="63">
        <f>IF($A1543="","",IF(COUNTIF(집계!$E$7:$E$506,O1543)&gt;0,"Y","N"))</f>
        <v/>
      </c>
    </row>
    <row r="1544">
      <c r="A1544" s="60" t="n">
        <v>2026</v>
      </c>
      <c r="B1544" s="60" t="n">
        <v>8</v>
      </c>
      <c r="C1544" s="60" t="inlineStr">
        <is>
          <t>1000</t>
        </is>
      </c>
      <c r="D1544" s="60" t="n">
        <v>1602</v>
      </c>
      <c r="E1544" s="60" t="inlineStr">
        <is>
          <t>영업지원-지역본부</t>
        </is>
      </c>
      <c r="F1544" s="60" t="n">
        <v>62101000</v>
      </c>
      <c r="G1544" s="60" t="inlineStr">
        <is>
          <t>여비교통비-국내</t>
        </is>
      </c>
      <c r="H1544" s="61" t="n">
        <v>3122800</v>
      </c>
      <c r="J1544" s="63">
        <f>IF($A1544="","",IFERROR(INDEX(부서매핑!$C$5:$C$504,MATCH($D1544&amp;"",부서매핑!$A$5:$A$504,0)),"미매핑"))</f>
        <v/>
      </c>
      <c r="K1544" s="63">
        <f>IF($A1544="","",IFERROR(INDEX(계정매핑!$C$5:$C$504,MATCH($F1544&amp;"",계정매핑!$A$5:$A$504,0)),"미매핑"))</f>
        <v/>
      </c>
      <c r="L1544" s="4">
        <f>IF($A1544="","",VALUE($A1544&amp;""))</f>
        <v/>
      </c>
      <c r="M1544" s="4">
        <f>IF($A1544="","",VALUE($B1544&amp;""))</f>
        <v/>
      </c>
      <c r="N1544" s="64">
        <f>IF($A1544="","",$H1544*설정!$C$15)</f>
        <v/>
      </c>
      <c r="O1544" s="4">
        <f>IF($A1544="","",J1544&amp;"|"&amp;K1544)</f>
        <v/>
      </c>
      <c r="P1544" s="63">
        <f>IF($A1544="","",IF(COUNTIFS(예산_원본!$T$5:$T$3004,O1544,예산_원본!$B$5:$B$3004,설정!$C$8,예산_원본!$U$5:$U$3004,L1544)&gt;0,"Y","N"))</f>
        <v/>
      </c>
      <c r="Q1544" s="63">
        <f>IF($A1544="","",IF(COUNTIF(집계!$E$7:$E$506,O1544)&gt;0,"Y","N"))</f>
        <v/>
      </c>
    </row>
    <row r="1545">
      <c r="A1545" s="60" t="n">
        <v>2026</v>
      </c>
      <c r="B1545" s="60" t="n">
        <v>8</v>
      </c>
      <c r="C1545" s="60" t="inlineStr">
        <is>
          <t>1000</t>
        </is>
      </c>
      <c r="D1545" s="60" t="n">
        <v>1602</v>
      </c>
      <c r="E1545" s="60" t="inlineStr">
        <is>
          <t>영업지원-지역본부</t>
        </is>
      </c>
      <c r="F1545" s="60" t="n">
        <v>62102000</v>
      </c>
      <c r="G1545" s="60" t="inlineStr">
        <is>
          <t>여비교통비-해외</t>
        </is>
      </c>
      <c r="H1545" s="61" t="n">
        <v>544210</v>
      </c>
      <c r="J1545" s="63">
        <f>IF($A1545="","",IFERROR(INDEX(부서매핑!$C$5:$C$504,MATCH($D1545&amp;"",부서매핑!$A$5:$A$504,0)),"미매핑"))</f>
        <v/>
      </c>
      <c r="K1545" s="63">
        <f>IF($A1545="","",IFERROR(INDEX(계정매핑!$C$5:$C$504,MATCH($F1545&amp;"",계정매핑!$A$5:$A$504,0)),"미매핑"))</f>
        <v/>
      </c>
      <c r="L1545" s="4">
        <f>IF($A1545="","",VALUE($A1545&amp;""))</f>
        <v/>
      </c>
      <c r="M1545" s="4">
        <f>IF($A1545="","",VALUE($B1545&amp;""))</f>
        <v/>
      </c>
      <c r="N1545" s="64">
        <f>IF($A1545="","",$H1545*설정!$C$15)</f>
        <v/>
      </c>
      <c r="O1545" s="4">
        <f>IF($A1545="","",J1545&amp;"|"&amp;K1545)</f>
        <v/>
      </c>
      <c r="P1545" s="63">
        <f>IF($A1545="","",IF(COUNTIFS(예산_원본!$T$5:$T$3004,O1545,예산_원본!$B$5:$B$3004,설정!$C$8,예산_원본!$U$5:$U$3004,L1545)&gt;0,"Y","N"))</f>
        <v/>
      </c>
      <c r="Q1545" s="63">
        <f>IF($A1545="","",IF(COUNTIF(집계!$E$7:$E$506,O1545)&gt;0,"Y","N"))</f>
        <v/>
      </c>
    </row>
    <row r="1546">
      <c r="A1546" s="60" t="n">
        <v>2026</v>
      </c>
      <c r="B1546" s="60" t="n">
        <v>8</v>
      </c>
      <c r="C1546" s="60" t="inlineStr">
        <is>
          <t>1000</t>
        </is>
      </c>
      <c r="D1546" s="60" t="n">
        <v>1602</v>
      </c>
      <c r="E1546" s="60" t="inlineStr">
        <is>
          <t>영업지원-지역본부</t>
        </is>
      </c>
      <c r="F1546" s="60" t="n">
        <v>62201000</v>
      </c>
      <c r="G1546" s="60" t="inlineStr">
        <is>
          <t>통신비</t>
        </is>
      </c>
      <c r="H1546" s="61" t="n">
        <v>809790</v>
      </c>
      <c r="J1546" s="63">
        <f>IF($A1546="","",IFERROR(INDEX(부서매핑!$C$5:$C$504,MATCH($D1546&amp;"",부서매핑!$A$5:$A$504,0)),"미매핑"))</f>
        <v/>
      </c>
      <c r="K1546" s="63">
        <f>IF($A1546="","",IFERROR(INDEX(계정매핑!$C$5:$C$504,MATCH($F1546&amp;"",계정매핑!$A$5:$A$504,0)),"미매핑"))</f>
        <v/>
      </c>
      <c r="L1546" s="4">
        <f>IF($A1546="","",VALUE($A1546&amp;""))</f>
        <v/>
      </c>
      <c r="M1546" s="4">
        <f>IF($A1546="","",VALUE($B1546&amp;""))</f>
        <v/>
      </c>
      <c r="N1546" s="64">
        <f>IF($A1546="","",$H1546*설정!$C$15)</f>
        <v/>
      </c>
      <c r="O1546" s="4">
        <f>IF($A1546="","",J1546&amp;"|"&amp;K1546)</f>
        <v/>
      </c>
      <c r="P1546" s="63">
        <f>IF($A1546="","",IF(COUNTIFS(예산_원본!$T$5:$T$3004,O1546,예산_원본!$B$5:$B$3004,설정!$C$8,예산_원본!$U$5:$U$3004,L1546)&gt;0,"Y","N"))</f>
        <v/>
      </c>
      <c r="Q1546" s="63">
        <f>IF($A1546="","",IF(COUNTIF(집계!$E$7:$E$506,O1546)&gt;0,"Y","N"))</f>
        <v/>
      </c>
    </row>
    <row r="1547">
      <c r="A1547" s="60" t="n">
        <v>2026</v>
      </c>
      <c r="B1547" s="60" t="n">
        <v>8</v>
      </c>
      <c r="C1547" s="60" t="inlineStr">
        <is>
          <t>1000</t>
        </is>
      </c>
      <c r="D1547" s="60" t="n">
        <v>1602</v>
      </c>
      <c r="E1547" s="60" t="inlineStr">
        <is>
          <t>영업지원-지역본부</t>
        </is>
      </c>
      <c r="F1547" s="60" t="n">
        <v>62301000</v>
      </c>
      <c r="G1547" s="60" t="inlineStr">
        <is>
          <t>소모품비</t>
        </is>
      </c>
      <c r="H1547" s="61" t="n">
        <v>468000</v>
      </c>
      <c r="J1547" s="63">
        <f>IF($A1547="","",IFERROR(INDEX(부서매핑!$C$5:$C$504,MATCH($D1547&amp;"",부서매핑!$A$5:$A$504,0)),"미매핑"))</f>
        <v/>
      </c>
      <c r="K1547" s="63">
        <f>IF($A1547="","",IFERROR(INDEX(계정매핑!$C$5:$C$504,MATCH($F1547&amp;"",계정매핑!$A$5:$A$504,0)),"미매핑"))</f>
        <v/>
      </c>
      <c r="L1547" s="4">
        <f>IF($A1547="","",VALUE($A1547&amp;""))</f>
        <v/>
      </c>
      <c r="M1547" s="4">
        <f>IF($A1547="","",VALUE($B1547&amp;""))</f>
        <v/>
      </c>
      <c r="N1547" s="64">
        <f>IF($A1547="","",$H1547*설정!$C$15)</f>
        <v/>
      </c>
      <c r="O1547" s="4">
        <f>IF($A1547="","",J1547&amp;"|"&amp;K1547)</f>
        <v/>
      </c>
      <c r="P1547" s="63">
        <f>IF($A1547="","",IF(COUNTIFS(예산_원본!$T$5:$T$3004,O1547,예산_원본!$B$5:$B$3004,설정!$C$8,예산_원본!$U$5:$U$3004,L1547)&gt;0,"Y","N"))</f>
        <v/>
      </c>
      <c r="Q1547" s="63">
        <f>IF($A1547="","",IF(COUNTIF(집계!$E$7:$E$506,O1547)&gt;0,"Y","N"))</f>
        <v/>
      </c>
    </row>
    <row r="1548">
      <c r="A1548" s="60" t="n">
        <v>2026</v>
      </c>
      <c r="B1548" s="60" t="n">
        <v>8</v>
      </c>
      <c r="C1548" s="60" t="inlineStr">
        <is>
          <t>1000</t>
        </is>
      </c>
      <c r="D1548" s="60" t="n">
        <v>1602</v>
      </c>
      <c r="E1548" s="60" t="inlineStr">
        <is>
          <t>영업지원-지역본부</t>
        </is>
      </c>
      <c r="F1548" s="60" t="n">
        <v>62501000</v>
      </c>
      <c r="G1548" s="60" t="inlineStr">
        <is>
          <t>회의비</t>
        </is>
      </c>
      <c r="H1548" s="61" t="n">
        <v>845960</v>
      </c>
      <c r="J1548" s="63">
        <f>IF($A1548="","",IFERROR(INDEX(부서매핑!$C$5:$C$504,MATCH($D1548&amp;"",부서매핑!$A$5:$A$504,0)),"미매핑"))</f>
        <v/>
      </c>
      <c r="K1548" s="63">
        <f>IF($A1548="","",IFERROR(INDEX(계정매핑!$C$5:$C$504,MATCH($F1548&amp;"",계정매핑!$A$5:$A$504,0)),"미매핑"))</f>
        <v/>
      </c>
      <c r="L1548" s="4">
        <f>IF($A1548="","",VALUE($A1548&amp;""))</f>
        <v/>
      </c>
      <c r="M1548" s="4">
        <f>IF($A1548="","",VALUE($B1548&amp;""))</f>
        <v/>
      </c>
      <c r="N1548" s="64">
        <f>IF($A1548="","",$H1548*설정!$C$15)</f>
        <v/>
      </c>
      <c r="O1548" s="4">
        <f>IF($A1548="","",J1548&amp;"|"&amp;K1548)</f>
        <v/>
      </c>
      <c r="P1548" s="63">
        <f>IF($A1548="","",IF(COUNTIFS(예산_원본!$T$5:$T$3004,O1548,예산_원본!$B$5:$B$3004,설정!$C$8,예산_원본!$U$5:$U$3004,L1548)&gt;0,"Y","N"))</f>
        <v/>
      </c>
      <c r="Q1548" s="63">
        <f>IF($A1548="","",IF(COUNTIF(집계!$E$7:$E$506,O1548)&gt;0,"Y","N"))</f>
        <v/>
      </c>
    </row>
    <row r="1549">
      <c r="A1549" s="60" t="n">
        <v>2026</v>
      </c>
      <c r="B1549" s="60" t="n">
        <v>8</v>
      </c>
      <c r="C1549" s="60" t="inlineStr">
        <is>
          <t>1000</t>
        </is>
      </c>
      <c r="D1549" s="60" t="n">
        <v>1602</v>
      </c>
      <c r="E1549" s="60" t="inlineStr">
        <is>
          <t>영업지원-지역본부</t>
        </is>
      </c>
      <c r="F1549" s="60" t="n">
        <v>62601000</v>
      </c>
      <c r="G1549" s="60" t="inlineStr">
        <is>
          <t>업무추진비</t>
        </is>
      </c>
      <c r="H1549" s="61" t="n">
        <v>1537980</v>
      </c>
      <c r="J1549" s="63">
        <f>IF($A1549="","",IFERROR(INDEX(부서매핑!$C$5:$C$504,MATCH($D1549&amp;"",부서매핑!$A$5:$A$504,0)),"미매핑"))</f>
        <v/>
      </c>
      <c r="K1549" s="63">
        <f>IF($A1549="","",IFERROR(INDEX(계정매핑!$C$5:$C$504,MATCH($F1549&amp;"",계정매핑!$A$5:$A$504,0)),"미매핑"))</f>
        <v/>
      </c>
      <c r="L1549" s="4">
        <f>IF($A1549="","",VALUE($A1549&amp;""))</f>
        <v/>
      </c>
      <c r="M1549" s="4">
        <f>IF($A1549="","",VALUE($B1549&amp;""))</f>
        <v/>
      </c>
      <c r="N1549" s="64">
        <f>IF($A1549="","",$H1549*설정!$C$15)</f>
        <v/>
      </c>
      <c r="O1549" s="4">
        <f>IF($A1549="","",J1549&amp;"|"&amp;K1549)</f>
        <v/>
      </c>
      <c r="P1549" s="63">
        <f>IF($A1549="","",IF(COUNTIFS(예산_원본!$T$5:$T$3004,O1549,예산_원본!$B$5:$B$3004,설정!$C$8,예산_원본!$U$5:$U$3004,L1549)&gt;0,"Y","N"))</f>
        <v/>
      </c>
      <c r="Q1549" s="63">
        <f>IF($A1549="","",IF(COUNTIF(집계!$E$7:$E$506,O1549)&gt;0,"Y","N"))</f>
        <v/>
      </c>
    </row>
    <row r="1550">
      <c r="A1550" s="60" t="n">
        <v>2026</v>
      </c>
      <c r="B1550" s="60" t="n">
        <v>8</v>
      </c>
      <c r="C1550" s="60" t="inlineStr">
        <is>
          <t>1000</t>
        </is>
      </c>
      <c r="D1550" s="60" t="n">
        <v>1602</v>
      </c>
      <c r="E1550" s="60" t="inlineStr">
        <is>
          <t>영업지원-지역본부</t>
        </is>
      </c>
      <c r="F1550" s="60" t="n">
        <v>63101000</v>
      </c>
      <c r="G1550" s="60" t="inlineStr">
        <is>
          <t>임차료</t>
        </is>
      </c>
      <c r="H1550" s="61" t="n">
        <v>7943590</v>
      </c>
      <c r="J1550" s="63">
        <f>IF($A1550="","",IFERROR(INDEX(부서매핑!$C$5:$C$504,MATCH($D1550&amp;"",부서매핑!$A$5:$A$504,0)),"미매핑"))</f>
        <v/>
      </c>
      <c r="K1550" s="63">
        <f>IF($A1550="","",IFERROR(INDEX(계정매핑!$C$5:$C$504,MATCH($F1550&amp;"",계정매핑!$A$5:$A$504,0)),"미매핑"))</f>
        <v/>
      </c>
      <c r="L1550" s="4">
        <f>IF($A1550="","",VALUE($A1550&amp;""))</f>
        <v/>
      </c>
      <c r="M1550" s="4">
        <f>IF($A1550="","",VALUE($B1550&amp;""))</f>
        <v/>
      </c>
      <c r="N1550" s="64">
        <f>IF($A1550="","",$H1550*설정!$C$15)</f>
        <v/>
      </c>
      <c r="O1550" s="4">
        <f>IF($A1550="","",J1550&amp;"|"&amp;K1550)</f>
        <v/>
      </c>
      <c r="P1550" s="63">
        <f>IF($A1550="","",IF(COUNTIFS(예산_원본!$T$5:$T$3004,O1550,예산_원본!$B$5:$B$3004,설정!$C$8,예산_원본!$U$5:$U$3004,L1550)&gt;0,"Y","N"))</f>
        <v/>
      </c>
      <c r="Q1550" s="63">
        <f>IF($A1550="","",IF(COUNTIF(집계!$E$7:$E$506,O1550)&gt;0,"Y","N"))</f>
        <v/>
      </c>
    </row>
    <row r="1551">
      <c r="A1551" s="60" t="n">
        <v>2026</v>
      </c>
      <c r="B1551" s="60" t="n">
        <v>8</v>
      </c>
      <c r="C1551" s="60" t="inlineStr">
        <is>
          <t>1000</t>
        </is>
      </c>
      <c r="D1551" s="60" t="n">
        <v>1602</v>
      </c>
      <c r="E1551" s="60" t="inlineStr">
        <is>
          <t>영업지원-지역본부</t>
        </is>
      </c>
      <c r="F1551" s="60" t="n">
        <v>63201000</v>
      </c>
      <c r="G1551" s="60" t="inlineStr">
        <is>
          <t>차량유지비</t>
        </is>
      </c>
      <c r="H1551" s="61" t="n">
        <v>4132370</v>
      </c>
      <c r="J1551" s="63">
        <f>IF($A1551="","",IFERROR(INDEX(부서매핑!$C$5:$C$504,MATCH($D1551&amp;"",부서매핑!$A$5:$A$504,0)),"미매핑"))</f>
        <v/>
      </c>
      <c r="K1551" s="63">
        <f>IF($A1551="","",IFERROR(INDEX(계정매핑!$C$5:$C$504,MATCH($F1551&amp;"",계정매핑!$A$5:$A$504,0)),"미매핑"))</f>
        <v/>
      </c>
      <c r="L1551" s="4">
        <f>IF($A1551="","",VALUE($A1551&amp;""))</f>
        <v/>
      </c>
      <c r="M1551" s="4">
        <f>IF($A1551="","",VALUE($B1551&amp;""))</f>
        <v/>
      </c>
      <c r="N1551" s="64">
        <f>IF($A1551="","",$H1551*설정!$C$15)</f>
        <v/>
      </c>
      <c r="O1551" s="4">
        <f>IF($A1551="","",J1551&amp;"|"&amp;K1551)</f>
        <v/>
      </c>
      <c r="P1551" s="63">
        <f>IF($A1551="","",IF(COUNTIFS(예산_원본!$T$5:$T$3004,O1551,예산_원본!$B$5:$B$3004,설정!$C$8,예산_원본!$U$5:$U$3004,L1551)&gt;0,"Y","N"))</f>
        <v/>
      </c>
      <c r="Q1551" s="63">
        <f>IF($A1551="","",IF(COUNTIF(집계!$E$7:$E$506,O1551)&gt;0,"Y","N"))</f>
        <v/>
      </c>
    </row>
    <row r="1552">
      <c r="A1552" s="60" t="n">
        <v>2026</v>
      </c>
      <c r="B1552" s="60" t="n">
        <v>8</v>
      </c>
      <c r="C1552" s="60" t="inlineStr">
        <is>
          <t>1000</t>
        </is>
      </c>
      <c r="D1552" s="60" t="n">
        <v>1701</v>
      </c>
      <c r="E1552" s="60" t="inlineStr">
        <is>
          <t>IT운영</t>
        </is>
      </c>
      <c r="F1552" s="60" t="n">
        <v>62101000</v>
      </c>
      <c r="G1552" s="60" t="inlineStr">
        <is>
          <t>여비교통비-국내</t>
        </is>
      </c>
      <c r="H1552" s="61" t="n">
        <v>945640</v>
      </c>
      <c r="J1552" s="63">
        <f>IF($A1552="","",IFERROR(INDEX(부서매핑!$C$5:$C$504,MATCH($D1552&amp;"",부서매핑!$A$5:$A$504,0)),"미매핑"))</f>
        <v/>
      </c>
      <c r="K1552" s="63">
        <f>IF($A1552="","",IFERROR(INDEX(계정매핑!$C$5:$C$504,MATCH($F1552&amp;"",계정매핑!$A$5:$A$504,0)),"미매핑"))</f>
        <v/>
      </c>
      <c r="L1552" s="4">
        <f>IF($A1552="","",VALUE($A1552&amp;""))</f>
        <v/>
      </c>
      <c r="M1552" s="4">
        <f>IF($A1552="","",VALUE($B1552&amp;""))</f>
        <v/>
      </c>
      <c r="N1552" s="64">
        <f>IF($A1552="","",$H1552*설정!$C$15)</f>
        <v/>
      </c>
      <c r="O1552" s="4">
        <f>IF($A1552="","",J1552&amp;"|"&amp;K1552)</f>
        <v/>
      </c>
      <c r="P1552" s="63">
        <f>IF($A1552="","",IF(COUNTIFS(예산_원본!$T$5:$T$3004,O1552,예산_원본!$B$5:$B$3004,설정!$C$8,예산_원본!$U$5:$U$3004,L1552)&gt;0,"Y","N"))</f>
        <v/>
      </c>
      <c r="Q1552" s="63">
        <f>IF($A1552="","",IF(COUNTIF(집계!$E$7:$E$506,O1552)&gt;0,"Y","N"))</f>
        <v/>
      </c>
    </row>
    <row r="1553">
      <c r="A1553" s="60" t="n">
        <v>2026</v>
      </c>
      <c r="B1553" s="60" t="n">
        <v>8</v>
      </c>
      <c r="C1553" s="60" t="inlineStr">
        <is>
          <t>1000</t>
        </is>
      </c>
      <c r="D1553" s="60" t="n">
        <v>1701</v>
      </c>
      <c r="E1553" s="60" t="inlineStr">
        <is>
          <t>IT운영</t>
        </is>
      </c>
      <c r="F1553" s="60" t="n">
        <v>62102000</v>
      </c>
      <c r="G1553" s="60" t="inlineStr">
        <is>
          <t>여비교통비-해외</t>
        </is>
      </c>
      <c r="H1553" s="61" t="n">
        <v>178570</v>
      </c>
      <c r="J1553" s="63">
        <f>IF($A1553="","",IFERROR(INDEX(부서매핑!$C$5:$C$504,MATCH($D1553&amp;"",부서매핑!$A$5:$A$504,0)),"미매핑"))</f>
        <v/>
      </c>
      <c r="K1553" s="63">
        <f>IF($A1553="","",IFERROR(INDEX(계정매핑!$C$5:$C$504,MATCH($F1553&amp;"",계정매핑!$A$5:$A$504,0)),"미매핑"))</f>
        <v/>
      </c>
      <c r="L1553" s="4">
        <f>IF($A1553="","",VALUE($A1553&amp;""))</f>
        <v/>
      </c>
      <c r="M1553" s="4">
        <f>IF($A1553="","",VALUE($B1553&amp;""))</f>
        <v/>
      </c>
      <c r="N1553" s="64">
        <f>IF($A1553="","",$H1553*설정!$C$15)</f>
        <v/>
      </c>
      <c r="O1553" s="4">
        <f>IF($A1553="","",J1553&amp;"|"&amp;K1553)</f>
        <v/>
      </c>
      <c r="P1553" s="63">
        <f>IF($A1553="","",IF(COUNTIFS(예산_원본!$T$5:$T$3004,O1553,예산_원본!$B$5:$B$3004,설정!$C$8,예산_원본!$U$5:$U$3004,L1553)&gt;0,"Y","N"))</f>
        <v/>
      </c>
      <c r="Q1553" s="63">
        <f>IF($A1553="","",IF(COUNTIF(집계!$E$7:$E$506,O1553)&gt;0,"Y","N"))</f>
        <v/>
      </c>
    </row>
    <row r="1554">
      <c r="A1554" s="60" t="n">
        <v>2026</v>
      </c>
      <c r="B1554" s="60" t="n">
        <v>8</v>
      </c>
      <c r="C1554" s="60" t="inlineStr">
        <is>
          <t>1000</t>
        </is>
      </c>
      <c r="D1554" s="60" t="n">
        <v>1701</v>
      </c>
      <c r="E1554" s="60" t="inlineStr">
        <is>
          <t>IT운영</t>
        </is>
      </c>
      <c r="F1554" s="60" t="n">
        <v>62201000</v>
      </c>
      <c r="G1554" s="60" t="inlineStr">
        <is>
          <t>통신비</t>
        </is>
      </c>
      <c r="H1554" s="61" t="n">
        <v>15122990</v>
      </c>
      <c r="J1554" s="63">
        <f>IF($A1554="","",IFERROR(INDEX(부서매핑!$C$5:$C$504,MATCH($D1554&amp;"",부서매핑!$A$5:$A$504,0)),"미매핑"))</f>
        <v/>
      </c>
      <c r="K1554" s="63">
        <f>IF($A1554="","",IFERROR(INDEX(계정매핑!$C$5:$C$504,MATCH($F1554&amp;"",계정매핑!$A$5:$A$504,0)),"미매핑"))</f>
        <v/>
      </c>
      <c r="L1554" s="4">
        <f>IF($A1554="","",VALUE($A1554&amp;""))</f>
        <v/>
      </c>
      <c r="M1554" s="4">
        <f>IF($A1554="","",VALUE($B1554&amp;""))</f>
        <v/>
      </c>
      <c r="N1554" s="64">
        <f>IF($A1554="","",$H1554*설정!$C$15)</f>
        <v/>
      </c>
      <c r="O1554" s="4">
        <f>IF($A1554="","",J1554&amp;"|"&amp;K1554)</f>
        <v/>
      </c>
      <c r="P1554" s="63">
        <f>IF($A1554="","",IF(COUNTIFS(예산_원본!$T$5:$T$3004,O1554,예산_원본!$B$5:$B$3004,설정!$C$8,예산_원본!$U$5:$U$3004,L1554)&gt;0,"Y","N"))</f>
        <v/>
      </c>
      <c r="Q1554" s="63">
        <f>IF($A1554="","",IF(COUNTIF(집계!$E$7:$E$506,O1554)&gt;0,"Y","N"))</f>
        <v/>
      </c>
    </row>
    <row r="1555">
      <c r="A1555" s="60" t="n">
        <v>2026</v>
      </c>
      <c r="B1555" s="60" t="n">
        <v>8</v>
      </c>
      <c r="C1555" s="60" t="inlineStr">
        <is>
          <t>1000</t>
        </is>
      </c>
      <c r="D1555" s="60" t="n">
        <v>1701</v>
      </c>
      <c r="E1555" s="60" t="inlineStr">
        <is>
          <t>IT운영</t>
        </is>
      </c>
      <c r="F1555" s="60" t="n">
        <v>62301000</v>
      </c>
      <c r="G1555" s="60" t="inlineStr">
        <is>
          <t>소모품비</t>
        </is>
      </c>
      <c r="H1555" s="61" t="n">
        <v>1076790</v>
      </c>
      <c r="J1555" s="63">
        <f>IF($A1555="","",IFERROR(INDEX(부서매핑!$C$5:$C$504,MATCH($D1555&amp;"",부서매핑!$A$5:$A$504,0)),"미매핑"))</f>
        <v/>
      </c>
      <c r="K1555" s="63">
        <f>IF($A1555="","",IFERROR(INDEX(계정매핑!$C$5:$C$504,MATCH($F1555&amp;"",계정매핑!$A$5:$A$504,0)),"미매핑"))</f>
        <v/>
      </c>
      <c r="L1555" s="4">
        <f>IF($A1555="","",VALUE($A1555&amp;""))</f>
        <v/>
      </c>
      <c r="M1555" s="4">
        <f>IF($A1555="","",VALUE($B1555&amp;""))</f>
        <v/>
      </c>
      <c r="N1555" s="64">
        <f>IF($A1555="","",$H1555*설정!$C$15)</f>
        <v/>
      </c>
      <c r="O1555" s="4">
        <f>IF($A1555="","",J1555&amp;"|"&amp;K1555)</f>
        <v/>
      </c>
      <c r="P1555" s="63">
        <f>IF($A1555="","",IF(COUNTIFS(예산_원본!$T$5:$T$3004,O1555,예산_원본!$B$5:$B$3004,설정!$C$8,예산_원본!$U$5:$U$3004,L1555)&gt;0,"Y","N"))</f>
        <v/>
      </c>
      <c r="Q1555" s="63">
        <f>IF($A1555="","",IF(COUNTIF(집계!$E$7:$E$506,O1555)&gt;0,"Y","N"))</f>
        <v/>
      </c>
    </row>
    <row r="1556">
      <c r="A1556" s="60" t="n">
        <v>2026</v>
      </c>
      <c r="B1556" s="60" t="n">
        <v>8</v>
      </c>
      <c r="C1556" s="60" t="inlineStr">
        <is>
          <t>1000</t>
        </is>
      </c>
      <c r="D1556" s="60" t="n">
        <v>1701</v>
      </c>
      <c r="E1556" s="60" t="inlineStr">
        <is>
          <t>IT운영</t>
        </is>
      </c>
      <c r="F1556" s="60" t="n">
        <v>62501000</v>
      </c>
      <c r="G1556" s="60" t="inlineStr">
        <is>
          <t>회의비</t>
        </is>
      </c>
      <c r="H1556" s="61" t="n">
        <v>375560</v>
      </c>
      <c r="J1556" s="63">
        <f>IF($A1556="","",IFERROR(INDEX(부서매핑!$C$5:$C$504,MATCH($D1556&amp;"",부서매핑!$A$5:$A$504,0)),"미매핑"))</f>
        <v/>
      </c>
      <c r="K1556" s="63">
        <f>IF($A1556="","",IFERROR(INDEX(계정매핑!$C$5:$C$504,MATCH($F1556&amp;"",계정매핑!$A$5:$A$504,0)),"미매핑"))</f>
        <v/>
      </c>
      <c r="L1556" s="4">
        <f>IF($A1556="","",VALUE($A1556&amp;""))</f>
        <v/>
      </c>
      <c r="M1556" s="4">
        <f>IF($A1556="","",VALUE($B1556&amp;""))</f>
        <v/>
      </c>
      <c r="N1556" s="64">
        <f>IF($A1556="","",$H1556*설정!$C$15)</f>
        <v/>
      </c>
      <c r="O1556" s="4">
        <f>IF($A1556="","",J1556&amp;"|"&amp;K1556)</f>
        <v/>
      </c>
      <c r="P1556" s="63">
        <f>IF($A1556="","",IF(COUNTIFS(예산_원본!$T$5:$T$3004,O1556,예산_원본!$B$5:$B$3004,설정!$C$8,예산_원본!$U$5:$U$3004,L1556)&gt;0,"Y","N"))</f>
        <v/>
      </c>
      <c r="Q1556" s="63">
        <f>IF($A1556="","",IF(COUNTIF(집계!$E$7:$E$506,O1556)&gt;0,"Y","N"))</f>
        <v/>
      </c>
    </row>
    <row r="1557">
      <c r="A1557" s="60" t="n">
        <v>2026</v>
      </c>
      <c r="B1557" s="60" t="n">
        <v>8</v>
      </c>
      <c r="C1557" s="60" t="inlineStr">
        <is>
          <t>1000</t>
        </is>
      </c>
      <c r="D1557" s="60" t="n">
        <v>1701</v>
      </c>
      <c r="E1557" s="60" t="inlineStr">
        <is>
          <t>IT운영</t>
        </is>
      </c>
      <c r="F1557" s="60" t="n">
        <v>63001000</v>
      </c>
      <c r="G1557" s="60" t="inlineStr">
        <is>
          <t>전산운영비-SW유지보수</t>
        </is>
      </c>
      <c r="H1557" s="61" t="n">
        <v>119789410</v>
      </c>
      <c r="J1557" s="63">
        <f>IF($A1557="","",IFERROR(INDEX(부서매핑!$C$5:$C$504,MATCH($D1557&amp;"",부서매핑!$A$5:$A$504,0)),"미매핑"))</f>
        <v/>
      </c>
      <c r="K1557" s="63">
        <f>IF($A1557="","",IFERROR(INDEX(계정매핑!$C$5:$C$504,MATCH($F1557&amp;"",계정매핑!$A$5:$A$504,0)),"미매핑"))</f>
        <v/>
      </c>
      <c r="L1557" s="4">
        <f>IF($A1557="","",VALUE($A1557&amp;""))</f>
        <v/>
      </c>
      <c r="M1557" s="4">
        <f>IF($A1557="","",VALUE($B1557&amp;""))</f>
        <v/>
      </c>
      <c r="N1557" s="64">
        <f>IF($A1557="","",$H1557*설정!$C$15)</f>
        <v/>
      </c>
      <c r="O1557" s="4">
        <f>IF($A1557="","",J1557&amp;"|"&amp;K1557)</f>
        <v/>
      </c>
      <c r="P1557" s="63">
        <f>IF($A1557="","",IF(COUNTIFS(예산_원본!$T$5:$T$3004,O1557,예산_원본!$B$5:$B$3004,설정!$C$8,예산_원본!$U$5:$U$3004,L1557)&gt;0,"Y","N"))</f>
        <v/>
      </c>
      <c r="Q1557" s="63">
        <f>IF($A1557="","",IF(COUNTIF(집계!$E$7:$E$506,O1557)&gt;0,"Y","N"))</f>
        <v/>
      </c>
    </row>
    <row r="1558">
      <c r="A1558" s="60" t="n">
        <v>2026</v>
      </c>
      <c r="B1558" s="60" t="n">
        <v>8</v>
      </c>
      <c r="C1558" s="60" t="inlineStr">
        <is>
          <t>1000</t>
        </is>
      </c>
      <c r="D1558" s="60" t="n">
        <v>1701</v>
      </c>
      <c r="E1558" s="60" t="inlineStr">
        <is>
          <t>IT운영</t>
        </is>
      </c>
      <c r="F1558" s="60" t="n">
        <v>63002000</v>
      </c>
      <c r="G1558" s="60" t="inlineStr">
        <is>
          <t>전산운영비-클라우드</t>
        </is>
      </c>
      <c r="H1558" s="61" t="n">
        <v>96722410</v>
      </c>
      <c r="J1558" s="63">
        <f>IF($A1558="","",IFERROR(INDEX(부서매핑!$C$5:$C$504,MATCH($D1558&amp;"",부서매핑!$A$5:$A$504,0)),"미매핑"))</f>
        <v/>
      </c>
      <c r="K1558" s="63">
        <f>IF($A1558="","",IFERROR(INDEX(계정매핑!$C$5:$C$504,MATCH($F1558&amp;"",계정매핑!$A$5:$A$504,0)),"미매핑"))</f>
        <v/>
      </c>
      <c r="L1558" s="4">
        <f>IF($A1558="","",VALUE($A1558&amp;""))</f>
        <v/>
      </c>
      <c r="M1558" s="4">
        <f>IF($A1558="","",VALUE($B1558&amp;""))</f>
        <v/>
      </c>
      <c r="N1558" s="64">
        <f>IF($A1558="","",$H1558*설정!$C$15)</f>
        <v/>
      </c>
      <c r="O1558" s="4">
        <f>IF($A1558="","",J1558&amp;"|"&amp;K1558)</f>
        <v/>
      </c>
      <c r="P1558" s="63">
        <f>IF($A1558="","",IF(COUNTIFS(예산_원본!$T$5:$T$3004,O1558,예산_원본!$B$5:$B$3004,설정!$C$8,예산_원본!$U$5:$U$3004,L1558)&gt;0,"Y","N"))</f>
        <v/>
      </c>
      <c r="Q1558" s="63">
        <f>IF($A1558="","",IF(COUNTIF(집계!$E$7:$E$506,O1558)&gt;0,"Y","N"))</f>
        <v/>
      </c>
    </row>
    <row r="1559">
      <c r="A1559" s="60" t="n">
        <v>2026</v>
      </c>
      <c r="B1559" s="60" t="n">
        <v>8</v>
      </c>
      <c r="C1559" s="60" t="inlineStr">
        <is>
          <t>1000</t>
        </is>
      </c>
      <c r="D1559" s="60" t="n">
        <v>1801</v>
      </c>
      <c r="E1559" s="60" t="inlineStr">
        <is>
          <t>고객서비스</t>
        </is>
      </c>
      <c r="F1559" s="60" t="n">
        <v>62101000</v>
      </c>
      <c r="G1559" s="60" t="inlineStr">
        <is>
          <t>여비교통비-국내</t>
        </is>
      </c>
      <c r="H1559" s="61" t="n">
        <v>884150</v>
      </c>
      <c r="J1559" s="63">
        <f>IF($A1559="","",IFERROR(INDEX(부서매핑!$C$5:$C$504,MATCH($D1559&amp;"",부서매핑!$A$5:$A$504,0)),"미매핑"))</f>
        <v/>
      </c>
      <c r="K1559" s="63">
        <f>IF($A1559="","",IFERROR(INDEX(계정매핑!$C$5:$C$504,MATCH($F1559&amp;"",계정매핑!$A$5:$A$504,0)),"미매핑"))</f>
        <v/>
      </c>
      <c r="L1559" s="4">
        <f>IF($A1559="","",VALUE($A1559&amp;""))</f>
        <v/>
      </c>
      <c r="M1559" s="4">
        <f>IF($A1559="","",VALUE($B1559&amp;""))</f>
        <v/>
      </c>
      <c r="N1559" s="64">
        <f>IF($A1559="","",$H1559*설정!$C$15)</f>
        <v/>
      </c>
      <c r="O1559" s="4">
        <f>IF($A1559="","",J1559&amp;"|"&amp;K1559)</f>
        <v/>
      </c>
      <c r="P1559" s="63">
        <f>IF($A1559="","",IF(COUNTIFS(예산_원본!$T$5:$T$3004,O1559,예산_원본!$B$5:$B$3004,설정!$C$8,예산_원본!$U$5:$U$3004,L1559)&gt;0,"Y","N"))</f>
        <v/>
      </c>
      <c r="Q1559" s="63">
        <f>IF($A1559="","",IF(COUNTIF(집계!$E$7:$E$506,O1559)&gt;0,"Y","N"))</f>
        <v/>
      </c>
    </row>
    <row r="1560">
      <c r="A1560" s="60" t="n">
        <v>2026</v>
      </c>
      <c r="B1560" s="60" t="n">
        <v>8</v>
      </c>
      <c r="C1560" s="60" t="inlineStr">
        <is>
          <t>1000</t>
        </is>
      </c>
      <c r="D1560" s="60" t="n">
        <v>1801</v>
      </c>
      <c r="E1560" s="60" t="inlineStr">
        <is>
          <t>고객서비스</t>
        </is>
      </c>
      <c r="F1560" s="60" t="n">
        <v>62102000</v>
      </c>
      <c r="G1560" s="60" t="inlineStr">
        <is>
          <t>여비교통비-해외</t>
        </is>
      </c>
      <c r="H1560" s="61" t="n">
        <v>152680</v>
      </c>
      <c r="J1560" s="63">
        <f>IF($A1560="","",IFERROR(INDEX(부서매핑!$C$5:$C$504,MATCH($D1560&amp;"",부서매핑!$A$5:$A$504,0)),"미매핑"))</f>
        <v/>
      </c>
      <c r="K1560" s="63">
        <f>IF($A1560="","",IFERROR(INDEX(계정매핑!$C$5:$C$504,MATCH($F1560&amp;"",계정매핑!$A$5:$A$504,0)),"미매핑"))</f>
        <v/>
      </c>
      <c r="L1560" s="4">
        <f>IF($A1560="","",VALUE($A1560&amp;""))</f>
        <v/>
      </c>
      <c r="M1560" s="4">
        <f>IF($A1560="","",VALUE($B1560&amp;""))</f>
        <v/>
      </c>
      <c r="N1560" s="64">
        <f>IF($A1560="","",$H1560*설정!$C$15)</f>
        <v/>
      </c>
      <c r="O1560" s="4">
        <f>IF($A1560="","",J1560&amp;"|"&amp;K1560)</f>
        <v/>
      </c>
      <c r="P1560" s="63">
        <f>IF($A1560="","",IF(COUNTIFS(예산_원본!$T$5:$T$3004,O1560,예산_원본!$B$5:$B$3004,설정!$C$8,예산_원본!$U$5:$U$3004,L1560)&gt;0,"Y","N"))</f>
        <v/>
      </c>
      <c r="Q1560" s="63">
        <f>IF($A1560="","",IF(COUNTIF(집계!$E$7:$E$506,O1560)&gt;0,"Y","N"))</f>
        <v/>
      </c>
    </row>
    <row r="1561">
      <c r="A1561" s="60" t="n">
        <v>2026</v>
      </c>
      <c r="B1561" s="60" t="n">
        <v>8</v>
      </c>
      <c r="C1561" s="60" t="inlineStr">
        <is>
          <t>1000</t>
        </is>
      </c>
      <c r="D1561" s="60" t="n">
        <v>1801</v>
      </c>
      <c r="E1561" s="60" t="inlineStr">
        <is>
          <t>고객서비스</t>
        </is>
      </c>
      <c r="F1561" s="60" t="n">
        <v>62201000</v>
      </c>
      <c r="G1561" s="60" t="inlineStr">
        <is>
          <t>통신비</t>
        </is>
      </c>
      <c r="H1561" s="61" t="n">
        <v>24456070</v>
      </c>
      <c r="J1561" s="63">
        <f>IF($A1561="","",IFERROR(INDEX(부서매핑!$C$5:$C$504,MATCH($D1561&amp;"",부서매핑!$A$5:$A$504,0)),"미매핑"))</f>
        <v/>
      </c>
      <c r="K1561" s="63">
        <f>IF($A1561="","",IFERROR(INDEX(계정매핑!$C$5:$C$504,MATCH($F1561&amp;"",계정매핑!$A$5:$A$504,0)),"미매핑"))</f>
        <v/>
      </c>
      <c r="L1561" s="4">
        <f>IF($A1561="","",VALUE($A1561&amp;""))</f>
        <v/>
      </c>
      <c r="M1561" s="4">
        <f>IF($A1561="","",VALUE($B1561&amp;""))</f>
        <v/>
      </c>
      <c r="N1561" s="64">
        <f>IF($A1561="","",$H1561*설정!$C$15)</f>
        <v/>
      </c>
      <c r="O1561" s="4">
        <f>IF($A1561="","",J1561&amp;"|"&amp;K1561)</f>
        <v/>
      </c>
      <c r="P1561" s="63">
        <f>IF($A1561="","",IF(COUNTIFS(예산_원본!$T$5:$T$3004,O1561,예산_원본!$B$5:$B$3004,설정!$C$8,예산_원본!$U$5:$U$3004,L1561)&gt;0,"Y","N"))</f>
        <v/>
      </c>
      <c r="Q1561" s="63">
        <f>IF($A1561="","",IF(COUNTIF(집계!$E$7:$E$506,O1561)&gt;0,"Y","N"))</f>
        <v/>
      </c>
    </row>
    <row r="1562">
      <c r="A1562" s="60" t="n">
        <v>2026</v>
      </c>
      <c r="B1562" s="60" t="n">
        <v>8</v>
      </c>
      <c r="C1562" s="60" t="inlineStr">
        <is>
          <t>1000</t>
        </is>
      </c>
      <c r="D1562" s="60" t="n">
        <v>1801</v>
      </c>
      <c r="E1562" s="60" t="inlineStr">
        <is>
          <t>고객서비스</t>
        </is>
      </c>
      <c r="F1562" s="60" t="n">
        <v>62301000</v>
      </c>
      <c r="G1562" s="60" t="inlineStr">
        <is>
          <t>소모품비</t>
        </is>
      </c>
      <c r="H1562" s="61" t="n">
        <v>1204620</v>
      </c>
      <c r="J1562" s="63">
        <f>IF($A1562="","",IFERROR(INDEX(부서매핑!$C$5:$C$504,MATCH($D1562&amp;"",부서매핑!$A$5:$A$504,0)),"미매핑"))</f>
        <v/>
      </c>
      <c r="K1562" s="63">
        <f>IF($A1562="","",IFERROR(INDEX(계정매핑!$C$5:$C$504,MATCH($F1562&amp;"",계정매핑!$A$5:$A$504,0)),"미매핑"))</f>
        <v/>
      </c>
      <c r="L1562" s="4">
        <f>IF($A1562="","",VALUE($A1562&amp;""))</f>
        <v/>
      </c>
      <c r="M1562" s="4">
        <f>IF($A1562="","",VALUE($B1562&amp;""))</f>
        <v/>
      </c>
      <c r="N1562" s="64">
        <f>IF($A1562="","",$H1562*설정!$C$15)</f>
        <v/>
      </c>
      <c r="O1562" s="4">
        <f>IF($A1562="","",J1562&amp;"|"&amp;K1562)</f>
        <v/>
      </c>
      <c r="P1562" s="63">
        <f>IF($A1562="","",IF(COUNTIFS(예산_원본!$T$5:$T$3004,O1562,예산_원본!$B$5:$B$3004,설정!$C$8,예산_원본!$U$5:$U$3004,L1562)&gt;0,"Y","N"))</f>
        <v/>
      </c>
      <c r="Q1562" s="63">
        <f>IF($A1562="","",IF(COUNTIF(집계!$E$7:$E$506,O1562)&gt;0,"Y","N"))</f>
        <v/>
      </c>
    </row>
    <row r="1563">
      <c r="A1563" s="60" t="n">
        <v>2026</v>
      </c>
      <c r="B1563" s="60" t="n">
        <v>8</v>
      </c>
      <c r="C1563" s="60" t="inlineStr">
        <is>
          <t>1000</t>
        </is>
      </c>
      <c r="D1563" s="60" t="n">
        <v>1801</v>
      </c>
      <c r="E1563" s="60" t="inlineStr">
        <is>
          <t>고객서비스</t>
        </is>
      </c>
      <c r="F1563" s="60" t="n">
        <v>62401000</v>
      </c>
      <c r="G1563" s="60" t="inlineStr">
        <is>
          <t>도서인쇄비</t>
        </is>
      </c>
      <c r="H1563" s="61" t="n">
        <v>9632750</v>
      </c>
      <c r="J1563" s="63">
        <f>IF($A1563="","",IFERROR(INDEX(부서매핑!$C$5:$C$504,MATCH($D1563&amp;"",부서매핑!$A$5:$A$504,0)),"미매핑"))</f>
        <v/>
      </c>
      <c r="K1563" s="63">
        <f>IF($A1563="","",IFERROR(INDEX(계정매핑!$C$5:$C$504,MATCH($F1563&amp;"",계정매핑!$A$5:$A$504,0)),"미매핑"))</f>
        <v/>
      </c>
      <c r="L1563" s="4">
        <f>IF($A1563="","",VALUE($A1563&amp;""))</f>
        <v/>
      </c>
      <c r="M1563" s="4">
        <f>IF($A1563="","",VALUE($B1563&amp;""))</f>
        <v/>
      </c>
      <c r="N1563" s="64">
        <f>IF($A1563="","",$H1563*설정!$C$15)</f>
        <v/>
      </c>
      <c r="O1563" s="4">
        <f>IF($A1563="","",J1563&amp;"|"&amp;K1563)</f>
        <v/>
      </c>
      <c r="P1563" s="63">
        <f>IF($A1563="","",IF(COUNTIFS(예산_원본!$T$5:$T$3004,O1563,예산_원본!$B$5:$B$3004,설정!$C$8,예산_원본!$U$5:$U$3004,L1563)&gt;0,"Y","N"))</f>
        <v/>
      </c>
      <c r="Q1563" s="63">
        <f>IF($A1563="","",IF(COUNTIF(집계!$E$7:$E$506,O1563)&gt;0,"Y","N"))</f>
        <v/>
      </c>
    </row>
    <row r="1564">
      <c r="A1564" s="60" t="n">
        <v>2026</v>
      </c>
      <c r="B1564" s="60" t="n">
        <v>8</v>
      </c>
      <c r="C1564" s="60" t="inlineStr">
        <is>
          <t>1000</t>
        </is>
      </c>
      <c r="D1564" s="60" t="n">
        <v>1801</v>
      </c>
      <c r="E1564" s="60" t="inlineStr">
        <is>
          <t>고객서비스</t>
        </is>
      </c>
      <c r="F1564" s="60" t="n">
        <v>62501000</v>
      </c>
      <c r="G1564" s="60" t="inlineStr">
        <is>
          <t>회의비</t>
        </is>
      </c>
      <c r="H1564" s="61" t="n">
        <v>488900</v>
      </c>
      <c r="J1564" s="63">
        <f>IF($A1564="","",IFERROR(INDEX(부서매핑!$C$5:$C$504,MATCH($D1564&amp;"",부서매핑!$A$5:$A$504,0)),"미매핑"))</f>
        <v/>
      </c>
      <c r="K1564" s="63">
        <f>IF($A1564="","",IFERROR(INDEX(계정매핑!$C$5:$C$504,MATCH($F1564&amp;"",계정매핑!$A$5:$A$504,0)),"미매핑"))</f>
        <v/>
      </c>
      <c r="L1564" s="4">
        <f>IF($A1564="","",VALUE($A1564&amp;""))</f>
        <v/>
      </c>
      <c r="M1564" s="4">
        <f>IF($A1564="","",VALUE($B1564&amp;""))</f>
        <v/>
      </c>
      <c r="N1564" s="64">
        <f>IF($A1564="","",$H1564*설정!$C$15)</f>
        <v/>
      </c>
      <c r="O1564" s="4">
        <f>IF($A1564="","",J1564&amp;"|"&amp;K1564)</f>
        <v/>
      </c>
      <c r="P1564" s="63">
        <f>IF($A1564="","",IF(COUNTIFS(예산_원본!$T$5:$T$3004,O1564,예산_원본!$B$5:$B$3004,설정!$C$8,예산_원본!$U$5:$U$3004,L1564)&gt;0,"Y","N"))</f>
        <v/>
      </c>
      <c r="Q1564" s="63">
        <f>IF($A1564="","",IF(COUNTIF(집계!$E$7:$E$506,O1564)&gt;0,"Y","N"))</f>
        <v/>
      </c>
    </row>
    <row r="1565">
      <c r="A1565" s="60" t="n">
        <v>2026</v>
      </c>
      <c r="B1565" s="60" t="n">
        <v>8</v>
      </c>
      <c r="C1565" s="60" t="inlineStr">
        <is>
          <t>1000</t>
        </is>
      </c>
      <c r="D1565" s="60" t="n">
        <v>1801</v>
      </c>
      <c r="E1565" s="60" t="inlineStr">
        <is>
          <t>고객서비스</t>
        </is>
      </c>
      <c r="F1565" s="60" t="n">
        <v>62901000</v>
      </c>
      <c r="G1565" s="60" t="inlineStr">
        <is>
          <t>지급수수료-컨설팅</t>
        </is>
      </c>
      <c r="H1565" s="61" t="n">
        <v>30851120</v>
      </c>
      <c r="J1565" s="63">
        <f>IF($A1565="","",IFERROR(INDEX(부서매핑!$C$5:$C$504,MATCH($D1565&amp;"",부서매핑!$A$5:$A$504,0)),"미매핑"))</f>
        <v/>
      </c>
      <c r="K1565" s="63">
        <f>IF($A1565="","",IFERROR(INDEX(계정매핑!$C$5:$C$504,MATCH($F1565&amp;"",계정매핑!$A$5:$A$504,0)),"미매핑"))</f>
        <v/>
      </c>
      <c r="L1565" s="4">
        <f>IF($A1565="","",VALUE($A1565&amp;""))</f>
        <v/>
      </c>
      <c r="M1565" s="4">
        <f>IF($A1565="","",VALUE($B1565&amp;""))</f>
        <v/>
      </c>
      <c r="N1565" s="64">
        <f>IF($A1565="","",$H1565*설정!$C$15)</f>
        <v/>
      </c>
      <c r="O1565" s="4">
        <f>IF($A1565="","",J1565&amp;"|"&amp;K1565)</f>
        <v/>
      </c>
      <c r="P1565" s="63">
        <f>IF($A1565="","",IF(COUNTIFS(예산_원본!$T$5:$T$3004,O1565,예산_원본!$B$5:$B$3004,설정!$C$8,예산_원본!$U$5:$U$3004,L1565)&gt;0,"Y","N"))</f>
        <v/>
      </c>
      <c r="Q1565" s="63">
        <f>IF($A1565="","",IF(COUNTIF(집계!$E$7:$E$506,O1565)&gt;0,"Y","N"))</f>
        <v/>
      </c>
    </row>
    <row r="1566">
      <c r="A1566" s="60" t="n">
        <v>2026</v>
      </c>
      <c r="B1566" s="60" t="n">
        <v>8</v>
      </c>
      <c r="C1566" s="60" t="inlineStr">
        <is>
          <t>1000</t>
        </is>
      </c>
      <c r="D1566" s="60" t="n">
        <v>1801</v>
      </c>
      <c r="E1566" s="60" t="inlineStr">
        <is>
          <t>고객서비스</t>
        </is>
      </c>
      <c r="F1566" s="60" t="n">
        <v>62902000</v>
      </c>
      <c r="G1566" s="60" t="inlineStr">
        <is>
          <t>지급수수료-기타</t>
        </is>
      </c>
      <c r="H1566" s="61" t="n">
        <v>12193270</v>
      </c>
      <c r="J1566" s="63">
        <f>IF($A1566="","",IFERROR(INDEX(부서매핑!$C$5:$C$504,MATCH($D1566&amp;"",부서매핑!$A$5:$A$504,0)),"미매핑"))</f>
        <v/>
      </c>
      <c r="K1566" s="63">
        <f>IF($A1566="","",IFERROR(INDEX(계정매핑!$C$5:$C$504,MATCH($F1566&amp;"",계정매핑!$A$5:$A$504,0)),"미매핑"))</f>
        <v/>
      </c>
      <c r="L1566" s="4">
        <f>IF($A1566="","",VALUE($A1566&amp;""))</f>
        <v/>
      </c>
      <c r="M1566" s="4">
        <f>IF($A1566="","",VALUE($B1566&amp;""))</f>
        <v/>
      </c>
      <c r="N1566" s="64">
        <f>IF($A1566="","",$H1566*설정!$C$15)</f>
        <v/>
      </c>
      <c r="O1566" s="4">
        <f>IF($A1566="","",J1566&amp;"|"&amp;K1566)</f>
        <v/>
      </c>
      <c r="P1566" s="63">
        <f>IF($A1566="","",IF(COUNTIFS(예산_원본!$T$5:$T$3004,O1566,예산_원본!$B$5:$B$3004,설정!$C$8,예산_원본!$U$5:$U$3004,L1566)&gt;0,"Y","N"))</f>
        <v/>
      </c>
      <c r="Q1566" s="63">
        <f>IF($A1566="","",IF(COUNTIF(집계!$E$7:$E$506,O1566)&gt;0,"Y","N"))</f>
        <v/>
      </c>
    </row>
    <row r="1567">
      <c r="A1567" s="60" t="n">
        <v>2026</v>
      </c>
      <c r="B1567" s="60" t="n">
        <v>9</v>
      </c>
      <c r="C1567" s="60" t="inlineStr">
        <is>
          <t>1000</t>
        </is>
      </c>
      <c r="D1567" s="60" t="n">
        <v>1101</v>
      </c>
      <c r="E1567" s="60" t="inlineStr">
        <is>
          <t>경영기획</t>
        </is>
      </c>
      <c r="F1567" s="60" t="n">
        <v>62101000</v>
      </c>
      <c r="G1567" s="60" t="inlineStr">
        <is>
          <t>여비교통비-국내</t>
        </is>
      </c>
      <c r="H1567" s="61" t="n">
        <v>2646890</v>
      </c>
      <c r="J1567" s="63">
        <f>IF($A1567="","",IFERROR(INDEX(부서매핑!$C$5:$C$504,MATCH($D1567&amp;"",부서매핑!$A$5:$A$504,0)),"미매핑"))</f>
        <v/>
      </c>
      <c r="K1567" s="63">
        <f>IF($A1567="","",IFERROR(INDEX(계정매핑!$C$5:$C$504,MATCH($F1567&amp;"",계정매핑!$A$5:$A$504,0)),"미매핑"))</f>
        <v/>
      </c>
      <c r="L1567" s="4">
        <f>IF($A1567="","",VALUE($A1567&amp;""))</f>
        <v/>
      </c>
      <c r="M1567" s="4">
        <f>IF($A1567="","",VALUE($B1567&amp;""))</f>
        <v/>
      </c>
      <c r="N1567" s="64">
        <f>IF($A1567="","",$H1567*설정!$C$15)</f>
        <v/>
      </c>
      <c r="O1567" s="4">
        <f>IF($A1567="","",J1567&amp;"|"&amp;K1567)</f>
        <v/>
      </c>
      <c r="P1567" s="63">
        <f>IF($A1567="","",IF(COUNTIFS(예산_원본!$T$5:$T$3004,O1567,예산_원본!$B$5:$B$3004,설정!$C$8,예산_원본!$U$5:$U$3004,L1567)&gt;0,"Y","N"))</f>
        <v/>
      </c>
      <c r="Q1567" s="63">
        <f>IF($A1567="","",IF(COUNTIF(집계!$E$7:$E$506,O1567)&gt;0,"Y","N"))</f>
        <v/>
      </c>
    </row>
    <row r="1568">
      <c r="A1568" s="60" t="n">
        <v>2026</v>
      </c>
      <c r="B1568" s="60" t="n">
        <v>9</v>
      </c>
      <c r="C1568" s="60" t="inlineStr">
        <is>
          <t>1000</t>
        </is>
      </c>
      <c r="D1568" s="60" t="n">
        <v>1101</v>
      </c>
      <c r="E1568" s="60" t="inlineStr">
        <is>
          <t>경영기획</t>
        </is>
      </c>
      <c r="F1568" s="60" t="n">
        <v>62102000</v>
      </c>
      <c r="G1568" s="60" t="inlineStr">
        <is>
          <t>여비교통비-해외</t>
        </is>
      </c>
      <c r="H1568" s="61" t="n">
        <v>465770</v>
      </c>
      <c r="J1568" s="63">
        <f>IF($A1568="","",IFERROR(INDEX(부서매핑!$C$5:$C$504,MATCH($D1568&amp;"",부서매핑!$A$5:$A$504,0)),"미매핑"))</f>
        <v/>
      </c>
      <c r="K1568" s="63">
        <f>IF($A1568="","",IFERROR(INDEX(계정매핑!$C$5:$C$504,MATCH($F1568&amp;"",계정매핑!$A$5:$A$504,0)),"미매핑"))</f>
        <v/>
      </c>
      <c r="L1568" s="4">
        <f>IF($A1568="","",VALUE($A1568&amp;""))</f>
        <v/>
      </c>
      <c r="M1568" s="4">
        <f>IF($A1568="","",VALUE($B1568&amp;""))</f>
        <v/>
      </c>
      <c r="N1568" s="64">
        <f>IF($A1568="","",$H1568*설정!$C$15)</f>
        <v/>
      </c>
      <c r="O1568" s="4">
        <f>IF($A1568="","",J1568&amp;"|"&amp;K1568)</f>
        <v/>
      </c>
      <c r="P1568" s="63">
        <f>IF($A1568="","",IF(COUNTIFS(예산_원본!$T$5:$T$3004,O1568,예산_원본!$B$5:$B$3004,설정!$C$8,예산_원본!$U$5:$U$3004,L1568)&gt;0,"Y","N"))</f>
        <v/>
      </c>
      <c r="Q1568" s="63">
        <f>IF($A1568="","",IF(COUNTIF(집계!$E$7:$E$506,O1568)&gt;0,"Y","N"))</f>
        <v/>
      </c>
    </row>
    <row r="1569">
      <c r="A1569" s="60" t="n">
        <v>2026</v>
      </c>
      <c r="B1569" s="60" t="n">
        <v>9</v>
      </c>
      <c r="C1569" s="60" t="inlineStr">
        <is>
          <t>1000</t>
        </is>
      </c>
      <c r="D1569" s="60" t="n">
        <v>1101</v>
      </c>
      <c r="E1569" s="60" t="inlineStr">
        <is>
          <t>경영기획</t>
        </is>
      </c>
      <c r="F1569" s="60" t="n">
        <v>62201000</v>
      </c>
      <c r="G1569" s="60" t="inlineStr">
        <is>
          <t>통신비</t>
        </is>
      </c>
      <c r="H1569" s="61" t="n">
        <v>741600</v>
      </c>
      <c r="J1569" s="63">
        <f>IF($A1569="","",IFERROR(INDEX(부서매핑!$C$5:$C$504,MATCH($D1569&amp;"",부서매핑!$A$5:$A$504,0)),"미매핑"))</f>
        <v/>
      </c>
      <c r="K1569" s="63">
        <f>IF($A1569="","",IFERROR(INDEX(계정매핑!$C$5:$C$504,MATCH($F1569&amp;"",계정매핑!$A$5:$A$504,0)),"미매핑"))</f>
        <v/>
      </c>
      <c r="L1569" s="4">
        <f>IF($A1569="","",VALUE($A1569&amp;""))</f>
        <v/>
      </c>
      <c r="M1569" s="4">
        <f>IF($A1569="","",VALUE($B1569&amp;""))</f>
        <v/>
      </c>
      <c r="N1569" s="64">
        <f>IF($A1569="","",$H1569*설정!$C$15)</f>
        <v/>
      </c>
      <c r="O1569" s="4">
        <f>IF($A1569="","",J1569&amp;"|"&amp;K1569)</f>
        <v/>
      </c>
      <c r="P1569" s="63">
        <f>IF($A1569="","",IF(COUNTIFS(예산_원본!$T$5:$T$3004,O1569,예산_원본!$B$5:$B$3004,설정!$C$8,예산_원본!$U$5:$U$3004,L1569)&gt;0,"Y","N"))</f>
        <v/>
      </c>
      <c r="Q1569" s="63">
        <f>IF($A1569="","",IF(COUNTIF(집계!$E$7:$E$506,O1569)&gt;0,"Y","N"))</f>
        <v/>
      </c>
    </row>
    <row r="1570">
      <c r="A1570" s="60" t="n">
        <v>2026</v>
      </c>
      <c r="B1570" s="60" t="n">
        <v>9</v>
      </c>
      <c r="C1570" s="60" t="inlineStr">
        <is>
          <t>1000</t>
        </is>
      </c>
      <c r="D1570" s="60" t="n">
        <v>1101</v>
      </c>
      <c r="E1570" s="60" t="inlineStr">
        <is>
          <t>경영기획</t>
        </is>
      </c>
      <c r="F1570" s="60" t="n">
        <v>62301000</v>
      </c>
      <c r="G1570" s="60" t="inlineStr">
        <is>
          <t>소모품비</t>
        </is>
      </c>
      <c r="H1570" s="61" t="n">
        <v>400940</v>
      </c>
      <c r="J1570" s="63">
        <f>IF($A1570="","",IFERROR(INDEX(부서매핑!$C$5:$C$504,MATCH($D1570&amp;"",부서매핑!$A$5:$A$504,0)),"미매핑"))</f>
        <v/>
      </c>
      <c r="K1570" s="63">
        <f>IF($A1570="","",IFERROR(INDEX(계정매핑!$C$5:$C$504,MATCH($F1570&amp;"",계정매핑!$A$5:$A$504,0)),"미매핑"))</f>
        <v/>
      </c>
      <c r="L1570" s="4">
        <f>IF($A1570="","",VALUE($A1570&amp;""))</f>
        <v/>
      </c>
      <c r="M1570" s="4">
        <f>IF($A1570="","",VALUE($B1570&amp;""))</f>
        <v/>
      </c>
      <c r="N1570" s="64">
        <f>IF($A1570="","",$H1570*설정!$C$15)</f>
        <v/>
      </c>
      <c r="O1570" s="4">
        <f>IF($A1570="","",J1570&amp;"|"&amp;K1570)</f>
        <v/>
      </c>
      <c r="P1570" s="63">
        <f>IF($A1570="","",IF(COUNTIFS(예산_원본!$T$5:$T$3004,O1570,예산_원본!$B$5:$B$3004,설정!$C$8,예산_원본!$U$5:$U$3004,L1570)&gt;0,"Y","N"))</f>
        <v/>
      </c>
      <c r="Q1570" s="63">
        <f>IF($A1570="","",IF(COUNTIF(집계!$E$7:$E$506,O1570)&gt;0,"Y","N"))</f>
        <v/>
      </c>
    </row>
    <row r="1571">
      <c r="A1571" s="60" t="n">
        <v>2026</v>
      </c>
      <c r="B1571" s="60" t="n">
        <v>9</v>
      </c>
      <c r="C1571" s="60" t="inlineStr">
        <is>
          <t>1000</t>
        </is>
      </c>
      <c r="D1571" s="60" t="n">
        <v>1101</v>
      </c>
      <c r="E1571" s="60" t="inlineStr">
        <is>
          <t>경영기획</t>
        </is>
      </c>
      <c r="F1571" s="60" t="n">
        <v>62501000</v>
      </c>
      <c r="G1571" s="60" t="inlineStr">
        <is>
          <t>회의비</t>
        </is>
      </c>
      <c r="H1571" s="61" t="n">
        <v>1226380</v>
      </c>
      <c r="J1571" s="63">
        <f>IF($A1571="","",IFERROR(INDEX(부서매핑!$C$5:$C$504,MATCH($D1571&amp;"",부서매핑!$A$5:$A$504,0)),"미매핑"))</f>
        <v/>
      </c>
      <c r="K1571" s="63">
        <f>IF($A1571="","",IFERROR(INDEX(계정매핑!$C$5:$C$504,MATCH($F1571&amp;"",계정매핑!$A$5:$A$504,0)),"미매핑"))</f>
        <v/>
      </c>
      <c r="L1571" s="4">
        <f>IF($A1571="","",VALUE($A1571&amp;""))</f>
        <v/>
      </c>
      <c r="M1571" s="4">
        <f>IF($A1571="","",VALUE($B1571&amp;""))</f>
        <v/>
      </c>
      <c r="N1571" s="64">
        <f>IF($A1571="","",$H1571*설정!$C$15)</f>
        <v/>
      </c>
      <c r="O1571" s="4">
        <f>IF($A1571="","",J1571&amp;"|"&amp;K1571)</f>
        <v/>
      </c>
      <c r="P1571" s="63">
        <f>IF($A1571="","",IF(COUNTIFS(예산_원본!$T$5:$T$3004,O1571,예산_원본!$B$5:$B$3004,설정!$C$8,예산_원본!$U$5:$U$3004,L1571)&gt;0,"Y","N"))</f>
        <v/>
      </c>
      <c r="Q1571" s="63">
        <f>IF($A1571="","",IF(COUNTIF(집계!$E$7:$E$506,O1571)&gt;0,"Y","N"))</f>
        <v/>
      </c>
    </row>
    <row r="1572">
      <c r="A1572" s="60" t="n">
        <v>2026</v>
      </c>
      <c r="B1572" s="60" t="n">
        <v>9</v>
      </c>
      <c r="C1572" s="60" t="inlineStr">
        <is>
          <t>1000</t>
        </is>
      </c>
      <c r="D1572" s="60" t="n">
        <v>1101</v>
      </c>
      <c r="E1572" s="60" t="inlineStr">
        <is>
          <t>경영기획</t>
        </is>
      </c>
      <c r="F1572" s="60" t="n">
        <v>62601000</v>
      </c>
      <c r="G1572" s="60" t="inlineStr">
        <is>
          <t>업무추진비</t>
        </is>
      </c>
      <c r="H1572" s="61" t="n">
        <v>3820080</v>
      </c>
      <c r="J1572" s="63">
        <f>IF($A1572="","",IFERROR(INDEX(부서매핑!$C$5:$C$504,MATCH($D1572&amp;"",부서매핑!$A$5:$A$504,0)),"미매핑"))</f>
        <v/>
      </c>
      <c r="K1572" s="63">
        <f>IF($A1572="","",IFERROR(INDEX(계정매핑!$C$5:$C$504,MATCH($F1572&amp;"",계정매핑!$A$5:$A$504,0)),"미매핑"))</f>
        <v/>
      </c>
      <c r="L1572" s="4">
        <f>IF($A1572="","",VALUE($A1572&amp;""))</f>
        <v/>
      </c>
      <c r="M1572" s="4">
        <f>IF($A1572="","",VALUE($B1572&amp;""))</f>
        <v/>
      </c>
      <c r="N1572" s="64">
        <f>IF($A1572="","",$H1572*설정!$C$15)</f>
        <v/>
      </c>
      <c r="O1572" s="4">
        <f>IF($A1572="","",J1572&amp;"|"&amp;K1572)</f>
        <v/>
      </c>
      <c r="P1572" s="63">
        <f>IF($A1572="","",IF(COUNTIFS(예산_원본!$T$5:$T$3004,O1572,예산_원본!$B$5:$B$3004,설정!$C$8,예산_원본!$U$5:$U$3004,L1572)&gt;0,"Y","N"))</f>
        <v/>
      </c>
      <c r="Q1572" s="63">
        <f>IF($A1572="","",IF(COUNTIF(집계!$E$7:$E$506,O1572)&gt;0,"Y","N"))</f>
        <v/>
      </c>
    </row>
    <row r="1573">
      <c r="A1573" s="60" t="n">
        <v>2026</v>
      </c>
      <c r="B1573" s="60" t="n">
        <v>9</v>
      </c>
      <c r="C1573" s="60" t="inlineStr">
        <is>
          <t>1000</t>
        </is>
      </c>
      <c r="D1573" s="60" t="n">
        <v>1101</v>
      </c>
      <c r="E1573" s="60" t="inlineStr">
        <is>
          <t>경영기획</t>
        </is>
      </c>
      <c r="F1573" s="60" t="n">
        <v>62901000</v>
      </c>
      <c r="G1573" s="60" t="inlineStr">
        <is>
          <t>지급수수료-컨설팅</t>
        </is>
      </c>
      <c r="H1573" s="61" t="n">
        <v>13079490</v>
      </c>
      <c r="J1573" s="63">
        <f>IF($A1573="","",IFERROR(INDEX(부서매핑!$C$5:$C$504,MATCH($D1573&amp;"",부서매핑!$A$5:$A$504,0)),"미매핑"))</f>
        <v/>
      </c>
      <c r="K1573" s="63">
        <f>IF($A1573="","",IFERROR(INDEX(계정매핑!$C$5:$C$504,MATCH($F1573&amp;"",계정매핑!$A$5:$A$504,0)),"미매핑"))</f>
        <v/>
      </c>
      <c r="L1573" s="4">
        <f>IF($A1573="","",VALUE($A1573&amp;""))</f>
        <v/>
      </c>
      <c r="M1573" s="4">
        <f>IF($A1573="","",VALUE($B1573&amp;""))</f>
        <v/>
      </c>
      <c r="N1573" s="64">
        <f>IF($A1573="","",$H1573*설정!$C$15)</f>
        <v/>
      </c>
      <c r="O1573" s="4">
        <f>IF($A1573="","",J1573&amp;"|"&amp;K1573)</f>
        <v/>
      </c>
      <c r="P1573" s="63">
        <f>IF($A1573="","",IF(COUNTIFS(예산_원본!$T$5:$T$3004,O1573,예산_원본!$B$5:$B$3004,설정!$C$8,예산_원본!$U$5:$U$3004,L1573)&gt;0,"Y","N"))</f>
        <v/>
      </c>
      <c r="Q1573" s="63">
        <f>IF($A1573="","",IF(COUNTIF(집계!$E$7:$E$506,O1573)&gt;0,"Y","N"))</f>
        <v/>
      </c>
    </row>
    <row r="1574">
      <c r="A1574" s="60" t="n">
        <v>2026</v>
      </c>
      <c r="B1574" s="60" t="n">
        <v>9</v>
      </c>
      <c r="C1574" s="60" t="inlineStr">
        <is>
          <t>1000</t>
        </is>
      </c>
      <c r="D1574" s="60" t="n">
        <v>1101</v>
      </c>
      <c r="E1574" s="60" t="inlineStr">
        <is>
          <t>경영기획</t>
        </is>
      </c>
      <c r="F1574" s="60" t="n">
        <v>62902000</v>
      </c>
      <c r="G1574" s="60" t="inlineStr">
        <is>
          <t>지급수수료-기타</t>
        </is>
      </c>
      <c r="H1574" s="61" t="n">
        <v>5693710</v>
      </c>
      <c r="J1574" s="63">
        <f>IF($A1574="","",IFERROR(INDEX(부서매핑!$C$5:$C$504,MATCH($D1574&amp;"",부서매핑!$A$5:$A$504,0)),"미매핑"))</f>
        <v/>
      </c>
      <c r="K1574" s="63">
        <f>IF($A1574="","",IFERROR(INDEX(계정매핑!$C$5:$C$504,MATCH($F1574&amp;"",계정매핑!$A$5:$A$504,0)),"미매핑"))</f>
        <v/>
      </c>
      <c r="L1574" s="4">
        <f>IF($A1574="","",VALUE($A1574&amp;""))</f>
        <v/>
      </c>
      <c r="M1574" s="4">
        <f>IF($A1574="","",VALUE($B1574&amp;""))</f>
        <v/>
      </c>
      <c r="N1574" s="64">
        <f>IF($A1574="","",$H1574*설정!$C$15)</f>
        <v/>
      </c>
      <c r="O1574" s="4">
        <f>IF($A1574="","",J1574&amp;"|"&amp;K1574)</f>
        <v/>
      </c>
      <c r="P1574" s="63">
        <f>IF($A1574="","",IF(COUNTIFS(예산_원본!$T$5:$T$3004,O1574,예산_원본!$B$5:$B$3004,설정!$C$8,예산_원본!$U$5:$U$3004,L1574)&gt;0,"Y","N"))</f>
        <v/>
      </c>
      <c r="Q1574" s="63">
        <f>IF($A1574="","",IF(COUNTIF(집계!$E$7:$E$506,O1574)&gt;0,"Y","N"))</f>
        <v/>
      </c>
    </row>
    <row r="1575">
      <c r="A1575" s="60" t="n">
        <v>2026</v>
      </c>
      <c r="B1575" s="60" t="n">
        <v>9</v>
      </c>
      <c r="C1575" s="60" t="inlineStr">
        <is>
          <t>1000</t>
        </is>
      </c>
      <c r="D1575" s="60" t="n">
        <v>1201</v>
      </c>
      <c r="E1575" s="60" t="inlineStr">
        <is>
          <t>재무회계</t>
        </is>
      </c>
      <c r="F1575" s="60" t="n">
        <v>62101000</v>
      </c>
      <c r="G1575" s="60" t="inlineStr">
        <is>
          <t>여비교통비-국내</t>
        </is>
      </c>
      <c r="H1575" s="61" t="n">
        <v>1100620</v>
      </c>
      <c r="J1575" s="63">
        <f>IF($A1575="","",IFERROR(INDEX(부서매핑!$C$5:$C$504,MATCH($D1575&amp;"",부서매핑!$A$5:$A$504,0)),"미매핑"))</f>
        <v/>
      </c>
      <c r="K1575" s="63">
        <f>IF($A1575="","",IFERROR(INDEX(계정매핑!$C$5:$C$504,MATCH($F1575&amp;"",계정매핑!$A$5:$A$504,0)),"미매핑"))</f>
        <v/>
      </c>
      <c r="L1575" s="4">
        <f>IF($A1575="","",VALUE($A1575&amp;""))</f>
        <v/>
      </c>
      <c r="M1575" s="4">
        <f>IF($A1575="","",VALUE($B1575&amp;""))</f>
        <v/>
      </c>
      <c r="N1575" s="64">
        <f>IF($A1575="","",$H1575*설정!$C$15)</f>
        <v/>
      </c>
      <c r="O1575" s="4">
        <f>IF($A1575="","",J1575&amp;"|"&amp;K1575)</f>
        <v/>
      </c>
      <c r="P1575" s="63">
        <f>IF($A1575="","",IF(COUNTIFS(예산_원본!$T$5:$T$3004,O1575,예산_원본!$B$5:$B$3004,설정!$C$8,예산_원본!$U$5:$U$3004,L1575)&gt;0,"Y","N"))</f>
        <v/>
      </c>
      <c r="Q1575" s="63">
        <f>IF($A1575="","",IF(COUNTIF(집계!$E$7:$E$506,O1575)&gt;0,"Y","N"))</f>
        <v/>
      </c>
    </row>
    <row r="1576">
      <c r="A1576" s="60" t="n">
        <v>2026</v>
      </c>
      <c r="B1576" s="60" t="n">
        <v>9</v>
      </c>
      <c r="C1576" s="60" t="inlineStr">
        <is>
          <t>1000</t>
        </is>
      </c>
      <c r="D1576" s="60" t="n">
        <v>1201</v>
      </c>
      <c r="E1576" s="60" t="inlineStr">
        <is>
          <t>재무회계</t>
        </is>
      </c>
      <c r="F1576" s="60" t="n">
        <v>62102000</v>
      </c>
      <c r="G1576" s="60" t="inlineStr">
        <is>
          <t>여비교통비-해외</t>
        </is>
      </c>
      <c r="H1576" s="61" t="n">
        <v>212600</v>
      </c>
      <c r="J1576" s="63">
        <f>IF($A1576="","",IFERROR(INDEX(부서매핑!$C$5:$C$504,MATCH($D1576&amp;"",부서매핑!$A$5:$A$504,0)),"미매핑"))</f>
        <v/>
      </c>
      <c r="K1576" s="63">
        <f>IF($A1576="","",IFERROR(INDEX(계정매핑!$C$5:$C$504,MATCH($F1576&amp;"",계정매핑!$A$5:$A$504,0)),"미매핑"))</f>
        <v/>
      </c>
      <c r="L1576" s="4">
        <f>IF($A1576="","",VALUE($A1576&amp;""))</f>
        <v/>
      </c>
      <c r="M1576" s="4">
        <f>IF($A1576="","",VALUE($B1576&amp;""))</f>
        <v/>
      </c>
      <c r="N1576" s="64">
        <f>IF($A1576="","",$H1576*설정!$C$15)</f>
        <v/>
      </c>
      <c r="O1576" s="4">
        <f>IF($A1576="","",J1576&amp;"|"&amp;K1576)</f>
        <v/>
      </c>
      <c r="P1576" s="63">
        <f>IF($A1576="","",IF(COUNTIFS(예산_원본!$T$5:$T$3004,O1576,예산_원본!$B$5:$B$3004,설정!$C$8,예산_원본!$U$5:$U$3004,L1576)&gt;0,"Y","N"))</f>
        <v/>
      </c>
      <c r="Q1576" s="63">
        <f>IF($A1576="","",IF(COUNTIF(집계!$E$7:$E$506,O1576)&gt;0,"Y","N"))</f>
        <v/>
      </c>
    </row>
    <row r="1577">
      <c r="A1577" s="60" t="n">
        <v>2026</v>
      </c>
      <c r="B1577" s="60" t="n">
        <v>9</v>
      </c>
      <c r="C1577" s="60" t="inlineStr">
        <is>
          <t>1000</t>
        </is>
      </c>
      <c r="D1577" s="60" t="n">
        <v>1201</v>
      </c>
      <c r="E1577" s="60" t="inlineStr">
        <is>
          <t>재무회계</t>
        </is>
      </c>
      <c r="F1577" s="60" t="n">
        <v>62201000</v>
      </c>
      <c r="G1577" s="60" t="inlineStr">
        <is>
          <t>통신비</t>
        </is>
      </c>
      <c r="H1577" s="61" t="n">
        <v>539240</v>
      </c>
      <c r="J1577" s="63">
        <f>IF($A1577="","",IFERROR(INDEX(부서매핑!$C$5:$C$504,MATCH($D1577&amp;"",부서매핑!$A$5:$A$504,0)),"미매핑"))</f>
        <v/>
      </c>
      <c r="K1577" s="63">
        <f>IF($A1577="","",IFERROR(INDEX(계정매핑!$C$5:$C$504,MATCH($F1577&amp;"",계정매핑!$A$5:$A$504,0)),"미매핑"))</f>
        <v/>
      </c>
      <c r="L1577" s="4">
        <f>IF($A1577="","",VALUE($A1577&amp;""))</f>
        <v/>
      </c>
      <c r="M1577" s="4">
        <f>IF($A1577="","",VALUE($B1577&amp;""))</f>
        <v/>
      </c>
      <c r="N1577" s="64">
        <f>IF($A1577="","",$H1577*설정!$C$15)</f>
        <v/>
      </c>
      <c r="O1577" s="4">
        <f>IF($A1577="","",J1577&amp;"|"&amp;K1577)</f>
        <v/>
      </c>
      <c r="P1577" s="63">
        <f>IF($A1577="","",IF(COUNTIFS(예산_원본!$T$5:$T$3004,O1577,예산_원본!$B$5:$B$3004,설정!$C$8,예산_원본!$U$5:$U$3004,L1577)&gt;0,"Y","N"))</f>
        <v/>
      </c>
      <c r="Q1577" s="63">
        <f>IF($A1577="","",IF(COUNTIF(집계!$E$7:$E$506,O1577)&gt;0,"Y","N"))</f>
        <v/>
      </c>
    </row>
    <row r="1578">
      <c r="A1578" s="60" t="n">
        <v>2026</v>
      </c>
      <c r="B1578" s="60" t="n">
        <v>9</v>
      </c>
      <c r="C1578" s="60" t="inlineStr">
        <is>
          <t>1000</t>
        </is>
      </c>
      <c r="D1578" s="60" t="n">
        <v>1201</v>
      </c>
      <c r="E1578" s="60" t="inlineStr">
        <is>
          <t>재무회계</t>
        </is>
      </c>
      <c r="F1578" s="60" t="n">
        <v>62301000</v>
      </c>
      <c r="G1578" s="60" t="inlineStr">
        <is>
          <t>소모품비</t>
        </is>
      </c>
      <c r="H1578" s="61" t="n">
        <v>718860</v>
      </c>
      <c r="J1578" s="63">
        <f>IF($A1578="","",IFERROR(INDEX(부서매핑!$C$5:$C$504,MATCH($D1578&amp;"",부서매핑!$A$5:$A$504,0)),"미매핑"))</f>
        <v/>
      </c>
      <c r="K1578" s="63">
        <f>IF($A1578="","",IFERROR(INDEX(계정매핑!$C$5:$C$504,MATCH($F1578&amp;"",계정매핑!$A$5:$A$504,0)),"미매핑"))</f>
        <v/>
      </c>
      <c r="L1578" s="4">
        <f>IF($A1578="","",VALUE($A1578&amp;""))</f>
        <v/>
      </c>
      <c r="M1578" s="4">
        <f>IF($A1578="","",VALUE($B1578&amp;""))</f>
        <v/>
      </c>
      <c r="N1578" s="64">
        <f>IF($A1578="","",$H1578*설정!$C$15)</f>
        <v/>
      </c>
      <c r="O1578" s="4">
        <f>IF($A1578="","",J1578&amp;"|"&amp;K1578)</f>
        <v/>
      </c>
      <c r="P1578" s="63">
        <f>IF($A1578="","",IF(COUNTIFS(예산_원본!$T$5:$T$3004,O1578,예산_원본!$B$5:$B$3004,설정!$C$8,예산_원본!$U$5:$U$3004,L1578)&gt;0,"Y","N"))</f>
        <v/>
      </c>
      <c r="Q1578" s="63">
        <f>IF($A1578="","",IF(COUNTIF(집계!$E$7:$E$506,O1578)&gt;0,"Y","N"))</f>
        <v/>
      </c>
    </row>
    <row r="1579">
      <c r="A1579" s="60" t="n">
        <v>2026</v>
      </c>
      <c r="B1579" s="60" t="n">
        <v>9</v>
      </c>
      <c r="C1579" s="60" t="inlineStr">
        <is>
          <t>1000</t>
        </is>
      </c>
      <c r="D1579" s="60" t="n">
        <v>1201</v>
      </c>
      <c r="E1579" s="60" t="inlineStr">
        <is>
          <t>재무회계</t>
        </is>
      </c>
      <c r="F1579" s="60" t="n">
        <v>62501000</v>
      </c>
      <c r="G1579" s="60" t="inlineStr">
        <is>
          <t>회의비</t>
        </is>
      </c>
      <c r="H1579" s="61" t="n">
        <v>483070</v>
      </c>
      <c r="J1579" s="63">
        <f>IF($A1579="","",IFERROR(INDEX(부서매핑!$C$5:$C$504,MATCH($D1579&amp;"",부서매핑!$A$5:$A$504,0)),"미매핑"))</f>
        <v/>
      </c>
      <c r="K1579" s="63">
        <f>IF($A1579="","",IFERROR(INDEX(계정매핑!$C$5:$C$504,MATCH($F1579&amp;"",계정매핑!$A$5:$A$504,0)),"미매핑"))</f>
        <v/>
      </c>
      <c r="L1579" s="4">
        <f>IF($A1579="","",VALUE($A1579&amp;""))</f>
        <v/>
      </c>
      <c r="M1579" s="4">
        <f>IF($A1579="","",VALUE($B1579&amp;""))</f>
        <v/>
      </c>
      <c r="N1579" s="64">
        <f>IF($A1579="","",$H1579*설정!$C$15)</f>
        <v/>
      </c>
      <c r="O1579" s="4">
        <f>IF($A1579="","",J1579&amp;"|"&amp;K1579)</f>
        <v/>
      </c>
      <c r="P1579" s="63">
        <f>IF($A1579="","",IF(COUNTIFS(예산_원본!$T$5:$T$3004,O1579,예산_원본!$B$5:$B$3004,설정!$C$8,예산_원본!$U$5:$U$3004,L1579)&gt;0,"Y","N"))</f>
        <v/>
      </c>
      <c r="Q1579" s="63">
        <f>IF($A1579="","",IF(COUNTIF(집계!$E$7:$E$506,O1579)&gt;0,"Y","N"))</f>
        <v/>
      </c>
    </row>
    <row r="1580">
      <c r="A1580" s="60" t="n">
        <v>2026</v>
      </c>
      <c r="B1580" s="60" t="n">
        <v>9</v>
      </c>
      <c r="C1580" s="60" t="inlineStr">
        <is>
          <t>1000</t>
        </is>
      </c>
      <c r="D1580" s="60" t="n">
        <v>1201</v>
      </c>
      <c r="E1580" s="60" t="inlineStr">
        <is>
          <t>재무회계</t>
        </is>
      </c>
      <c r="F1580" s="60" t="n">
        <v>62901000</v>
      </c>
      <c r="G1580" s="60" t="inlineStr">
        <is>
          <t>지급수수료-컨설팅</t>
        </is>
      </c>
      <c r="H1580" s="61" t="n">
        <v>24029850</v>
      </c>
      <c r="J1580" s="63">
        <f>IF($A1580="","",IFERROR(INDEX(부서매핑!$C$5:$C$504,MATCH($D1580&amp;"",부서매핑!$A$5:$A$504,0)),"미매핑"))</f>
        <v/>
      </c>
      <c r="K1580" s="63">
        <f>IF($A1580="","",IFERROR(INDEX(계정매핑!$C$5:$C$504,MATCH($F1580&amp;"",계정매핑!$A$5:$A$504,0)),"미매핑"))</f>
        <v/>
      </c>
      <c r="L1580" s="4">
        <f>IF($A1580="","",VALUE($A1580&amp;""))</f>
        <v/>
      </c>
      <c r="M1580" s="4">
        <f>IF($A1580="","",VALUE($B1580&amp;""))</f>
        <v/>
      </c>
      <c r="N1580" s="64">
        <f>IF($A1580="","",$H1580*설정!$C$15)</f>
        <v/>
      </c>
      <c r="O1580" s="4">
        <f>IF($A1580="","",J1580&amp;"|"&amp;K1580)</f>
        <v/>
      </c>
      <c r="P1580" s="63">
        <f>IF($A1580="","",IF(COUNTIFS(예산_원본!$T$5:$T$3004,O1580,예산_원본!$B$5:$B$3004,설정!$C$8,예산_원본!$U$5:$U$3004,L1580)&gt;0,"Y","N"))</f>
        <v/>
      </c>
      <c r="Q1580" s="63">
        <f>IF($A1580="","",IF(COUNTIF(집계!$E$7:$E$506,O1580)&gt;0,"Y","N"))</f>
        <v/>
      </c>
    </row>
    <row r="1581">
      <c r="A1581" s="60" t="n">
        <v>2026</v>
      </c>
      <c r="B1581" s="60" t="n">
        <v>9</v>
      </c>
      <c r="C1581" s="60" t="inlineStr">
        <is>
          <t>1000</t>
        </is>
      </c>
      <c r="D1581" s="60" t="n">
        <v>1201</v>
      </c>
      <c r="E1581" s="60" t="inlineStr">
        <is>
          <t>재무회계</t>
        </is>
      </c>
      <c r="F1581" s="60" t="n">
        <v>62902000</v>
      </c>
      <c r="G1581" s="60" t="inlineStr">
        <is>
          <t>지급수수료-기타</t>
        </is>
      </c>
      <c r="H1581" s="61" t="n">
        <v>11697220</v>
      </c>
      <c r="J1581" s="63">
        <f>IF($A1581="","",IFERROR(INDEX(부서매핑!$C$5:$C$504,MATCH($D1581&amp;"",부서매핑!$A$5:$A$504,0)),"미매핑"))</f>
        <v/>
      </c>
      <c r="K1581" s="63">
        <f>IF($A1581="","",IFERROR(INDEX(계정매핑!$C$5:$C$504,MATCH($F1581&amp;"",계정매핑!$A$5:$A$504,0)),"미매핑"))</f>
        <v/>
      </c>
      <c r="L1581" s="4">
        <f>IF($A1581="","",VALUE($A1581&amp;""))</f>
        <v/>
      </c>
      <c r="M1581" s="4">
        <f>IF($A1581="","",VALUE($B1581&amp;""))</f>
        <v/>
      </c>
      <c r="N1581" s="64">
        <f>IF($A1581="","",$H1581*설정!$C$15)</f>
        <v/>
      </c>
      <c r="O1581" s="4">
        <f>IF($A1581="","",J1581&amp;"|"&amp;K1581)</f>
        <v/>
      </c>
      <c r="P1581" s="63">
        <f>IF($A1581="","",IF(COUNTIFS(예산_원본!$T$5:$T$3004,O1581,예산_원본!$B$5:$B$3004,설정!$C$8,예산_원본!$U$5:$U$3004,L1581)&gt;0,"Y","N"))</f>
        <v/>
      </c>
      <c r="Q1581" s="63">
        <f>IF($A1581="","",IF(COUNTIF(집계!$E$7:$E$506,O1581)&gt;0,"Y","N"))</f>
        <v/>
      </c>
    </row>
    <row r="1582">
      <c r="A1582" s="60" t="n">
        <v>2026</v>
      </c>
      <c r="B1582" s="60" t="n">
        <v>9</v>
      </c>
      <c r="C1582" s="60" t="inlineStr">
        <is>
          <t>1000</t>
        </is>
      </c>
      <c r="D1582" s="60" t="n">
        <v>1301</v>
      </c>
      <c r="E1582" s="60" t="inlineStr">
        <is>
          <t>인사</t>
        </is>
      </c>
      <c r="F1582" s="60" t="n">
        <v>62101000</v>
      </c>
      <c r="G1582" s="60" t="inlineStr">
        <is>
          <t>여비교통비-국내</t>
        </is>
      </c>
      <c r="H1582" s="61" t="n">
        <v>1697850</v>
      </c>
      <c r="J1582" s="63">
        <f>IF($A1582="","",IFERROR(INDEX(부서매핑!$C$5:$C$504,MATCH($D1582&amp;"",부서매핑!$A$5:$A$504,0)),"미매핑"))</f>
        <v/>
      </c>
      <c r="K1582" s="63">
        <f>IF($A1582="","",IFERROR(INDEX(계정매핑!$C$5:$C$504,MATCH($F1582&amp;"",계정매핑!$A$5:$A$504,0)),"미매핑"))</f>
        <v/>
      </c>
      <c r="L1582" s="4">
        <f>IF($A1582="","",VALUE($A1582&amp;""))</f>
        <v/>
      </c>
      <c r="M1582" s="4">
        <f>IF($A1582="","",VALUE($B1582&amp;""))</f>
        <v/>
      </c>
      <c r="N1582" s="64">
        <f>IF($A1582="","",$H1582*설정!$C$15)</f>
        <v/>
      </c>
      <c r="O1582" s="4">
        <f>IF($A1582="","",J1582&amp;"|"&amp;K1582)</f>
        <v/>
      </c>
      <c r="P1582" s="63">
        <f>IF($A1582="","",IF(COUNTIFS(예산_원본!$T$5:$T$3004,O1582,예산_원본!$B$5:$B$3004,설정!$C$8,예산_원본!$U$5:$U$3004,L1582)&gt;0,"Y","N"))</f>
        <v/>
      </c>
      <c r="Q1582" s="63">
        <f>IF($A1582="","",IF(COUNTIF(집계!$E$7:$E$506,O1582)&gt;0,"Y","N"))</f>
        <v/>
      </c>
    </row>
    <row r="1583">
      <c r="A1583" s="60" t="n">
        <v>2026</v>
      </c>
      <c r="B1583" s="60" t="n">
        <v>9</v>
      </c>
      <c r="C1583" s="60" t="inlineStr">
        <is>
          <t>1000</t>
        </is>
      </c>
      <c r="D1583" s="60" t="n">
        <v>1301</v>
      </c>
      <c r="E1583" s="60" t="inlineStr">
        <is>
          <t>인사</t>
        </is>
      </c>
      <c r="F1583" s="60" t="n">
        <v>62102000</v>
      </c>
      <c r="G1583" s="60" t="inlineStr">
        <is>
          <t>여비교통비-해외</t>
        </is>
      </c>
      <c r="H1583" s="61" t="n">
        <v>303120</v>
      </c>
      <c r="J1583" s="63">
        <f>IF($A1583="","",IFERROR(INDEX(부서매핑!$C$5:$C$504,MATCH($D1583&amp;"",부서매핑!$A$5:$A$504,0)),"미매핑"))</f>
        <v/>
      </c>
      <c r="K1583" s="63">
        <f>IF($A1583="","",IFERROR(INDEX(계정매핑!$C$5:$C$504,MATCH($F1583&amp;"",계정매핑!$A$5:$A$504,0)),"미매핑"))</f>
        <v/>
      </c>
      <c r="L1583" s="4">
        <f>IF($A1583="","",VALUE($A1583&amp;""))</f>
        <v/>
      </c>
      <c r="M1583" s="4">
        <f>IF($A1583="","",VALUE($B1583&amp;""))</f>
        <v/>
      </c>
      <c r="N1583" s="64">
        <f>IF($A1583="","",$H1583*설정!$C$15)</f>
        <v/>
      </c>
      <c r="O1583" s="4">
        <f>IF($A1583="","",J1583&amp;"|"&amp;K1583)</f>
        <v/>
      </c>
      <c r="P1583" s="63">
        <f>IF($A1583="","",IF(COUNTIFS(예산_원본!$T$5:$T$3004,O1583,예산_원본!$B$5:$B$3004,설정!$C$8,예산_원본!$U$5:$U$3004,L1583)&gt;0,"Y","N"))</f>
        <v/>
      </c>
      <c r="Q1583" s="63">
        <f>IF($A1583="","",IF(COUNTIF(집계!$E$7:$E$506,O1583)&gt;0,"Y","N"))</f>
        <v/>
      </c>
    </row>
    <row r="1584">
      <c r="A1584" s="60" t="n">
        <v>2026</v>
      </c>
      <c r="B1584" s="60" t="n">
        <v>9</v>
      </c>
      <c r="C1584" s="60" t="inlineStr">
        <is>
          <t>1000</t>
        </is>
      </c>
      <c r="D1584" s="60" t="n">
        <v>1301</v>
      </c>
      <c r="E1584" s="60" t="inlineStr">
        <is>
          <t>인사</t>
        </is>
      </c>
      <c r="F1584" s="60" t="n">
        <v>62201000</v>
      </c>
      <c r="G1584" s="60" t="inlineStr">
        <is>
          <t>통신비</t>
        </is>
      </c>
      <c r="H1584" s="61" t="n">
        <v>669680</v>
      </c>
      <c r="J1584" s="63">
        <f>IF($A1584="","",IFERROR(INDEX(부서매핑!$C$5:$C$504,MATCH($D1584&amp;"",부서매핑!$A$5:$A$504,0)),"미매핑"))</f>
        <v/>
      </c>
      <c r="K1584" s="63">
        <f>IF($A1584="","",IFERROR(INDEX(계정매핑!$C$5:$C$504,MATCH($F1584&amp;"",계정매핑!$A$5:$A$504,0)),"미매핑"))</f>
        <v/>
      </c>
      <c r="L1584" s="4">
        <f>IF($A1584="","",VALUE($A1584&amp;""))</f>
        <v/>
      </c>
      <c r="M1584" s="4">
        <f>IF($A1584="","",VALUE($B1584&amp;""))</f>
        <v/>
      </c>
      <c r="N1584" s="64">
        <f>IF($A1584="","",$H1584*설정!$C$15)</f>
        <v/>
      </c>
      <c r="O1584" s="4">
        <f>IF($A1584="","",J1584&amp;"|"&amp;K1584)</f>
        <v/>
      </c>
      <c r="P1584" s="63">
        <f>IF($A1584="","",IF(COUNTIFS(예산_원본!$T$5:$T$3004,O1584,예산_원본!$B$5:$B$3004,설정!$C$8,예산_원본!$U$5:$U$3004,L1584)&gt;0,"Y","N"))</f>
        <v/>
      </c>
      <c r="Q1584" s="63">
        <f>IF($A1584="","",IF(COUNTIF(집계!$E$7:$E$506,O1584)&gt;0,"Y","N"))</f>
        <v/>
      </c>
    </row>
    <row r="1585">
      <c r="A1585" s="60" t="n">
        <v>2026</v>
      </c>
      <c r="B1585" s="60" t="n">
        <v>9</v>
      </c>
      <c r="C1585" s="60" t="inlineStr">
        <is>
          <t>1000</t>
        </is>
      </c>
      <c r="D1585" s="60" t="n">
        <v>1301</v>
      </c>
      <c r="E1585" s="60" t="inlineStr">
        <is>
          <t>인사</t>
        </is>
      </c>
      <c r="F1585" s="60" t="n">
        <v>62301000</v>
      </c>
      <c r="G1585" s="60" t="inlineStr">
        <is>
          <t>소모품비</t>
        </is>
      </c>
      <c r="H1585" s="61" t="n">
        <v>767480</v>
      </c>
      <c r="J1585" s="63">
        <f>IF($A1585="","",IFERROR(INDEX(부서매핑!$C$5:$C$504,MATCH($D1585&amp;"",부서매핑!$A$5:$A$504,0)),"미매핑"))</f>
        <v/>
      </c>
      <c r="K1585" s="63">
        <f>IF($A1585="","",IFERROR(INDEX(계정매핑!$C$5:$C$504,MATCH($F1585&amp;"",계정매핑!$A$5:$A$504,0)),"미매핑"))</f>
        <v/>
      </c>
      <c r="L1585" s="4">
        <f>IF($A1585="","",VALUE($A1585&amp;""))</f>
        <v/>
      </c>
      <c r="M1585" s="4">
        <f>IF($A1585="","",VALUE($B1585&amp;""))</f>
        <v/>
      </c>
      <c r="N1585" s="64">
        <f>IF($A1585="","",$H1585*설정!$C$15)</f>
        <v/>
      </c>
      <c r="O1585" s="4">
        <f>IF($A1585="","",J1585&amp;"|"&amp;K1585)</f>
        <v/>
      </c>
      <c r="P1585" s="63">
        <f>IF($A1585="","",IF(COUNTIFS(예산_원본!$T$5:$T$3004,O1585,예산_원본!$B$5:$B$3004,설정!$C$8,예산_원본!$U$5:$U$3004,L1585)&gt;0,"Y","N"))</f>
        <v/>
      </c>
      <c r="Q1585" s="63">
        <f>IF($A1585="","",IF(COUNTIF(집계!$E$7:$E$506,O1585)&gt;0,"Y","N"))</f>
        <v/>
      </c>
    </row>
    <row r="1586">
      <c r="A1586" s="60" t="n">
        <v>2026</v>
      </c>
      <c r="B1586" s="60" t="n">
        <v>9</v>
      </c>
      <c r="C1586" s="60" t="inlineStr">
        <is>
          <t>1000</t>
        </is>
      </c>
      <c r="D1586" s="60" t="n">
        <v>1301</v>
      </c>
      <c r="E1586" s="60" t="inlineStr">
        <is>
          <t>인사</t>
        </is>
      </c>
      <c r="F1586" s="60" t="n">
        <v>62501000</v>
      </c>
      <c r="G1586" s="60" t="inlineStr">
        <is>
          <t>회의비</t>
        </is>
      </c>
      <c r="H1586" s="61" t="n">
        <v>691800</v>
      </c>
      <c r="J1586" s="63">
        <f>IF($A1586="","",IFERROR(INDEX(부서매핑!$C$5:$C$504,MATCH($D1586&amp;"",부서매핑!$A$5:$A$504,0)),"미매핑"))</f>
        <v/>
      </c>
      <c r="K1586" s="63">
        <f>IF($A1586="","",IFERROR(INDEX(계정매핑!$C$5:$C$504,MATCH($F1586&amp;"",계정매핑!$A$5:$A$504,0)),"미매핑"))</f>
        <v/>
      </c>
      <c r="L1586" s="4">
        <f>IF($A1586="","",VALUE($A1586&amp;""))</f>
        <v/>
      </c>
      <c r="M1586" s="4">
        <f>IF($A1586="","",VALUE($B1586&amp;""))</f>
        <v/>
      </c>
      <c r="N1586" s="64">
        <f>IF($A1586="","",$H1586*설정!$C$15)</f>
        <v/>
      </c>
      <c r="O1586" s="4">
        <f>IF($A1586="","",J1586&amp;"|"&amp;K1586)</f>
        <v/>
      </c>
      <c r="P1586" s="63">
        <f>IF($A1586="","",IF(COUNTIFS(예산_원본!$T$5:$T$3004,O1586,예산_원본!$B$5:$B$3004,설정!$C$8,예산_원본!$U$5:$U$3004,L1586)&gt;0,"Y","N"))</f>
        <v/>
      </c>
      <c r="Q1586" s="63">
        <f>IF($A1586="","",IF(COUNTIF(집계!$E$7:$E$506,O1586)&gt;0,"Y","N"))</f>
        <v/>
      </c>
    </row>
    <row r="1587">
      <c r="A1587" s="60" t="n">
        <v>2026</v>
      </c>
      <c r="B1587" s="60" t="n">
        <v>9</v>
      </c>
      <c r="C1587" s="60" t="inlineStr">
        <is>
          <t>1000</t>
        </is>
      </c>
      <c r="D1587" s="60" t="n">
        <v>1301</v>
      </c>
      <c r="E1587" s="60" t="inlineStr">
        <is>
          <t>인사</t>
        </is>
      </c>
      <c r="F1587" s="60" t="n">
        <v>62601000</v>
      </c>
      <c r="G1587" s="60" t="inlineStr">
        <is>
          <t>업무추진비</t>
        </is>
      </c>
      <c r="H1587" s="61" t="n">
        <v>1659980</v>
      </c>
      <c r="J1587" s="63">
        <f>IF($A1587="","",IFERROR(INDEX(부서매핑!$C$5:$C$504,MATCH($D1587&amp;"",부서매핑!$A$5:$A$504,0)),"미매핑"))</f>
        <v/>
      </c>
      <c r="K1587" s="63">
        <f>IF($A1587="","",IFERROR(INDEX(계정매핑!$C$5:$C$504,MATCH($F1587&amp;"",계정매핑!$A$5:$A$504,0)),"미매핑"))</f>
        <v/>
      </c>
      <c r="L1587" s="4">
        <f>IF($A1587="","",VALUE($A1587&amp;""))</f>
        <v/>
      </c>
      <c r="M1587" s="4">
        <f>IF($A1587="","",VALUE($B1587&amp;""))</f>
        <v/>
      </c>
      <c r="N1587" s="64">
        <f>IF($A1587="","",$H1587*설정!$C$15)</f>
        <v/>
      </c>
      <c r="O1587" s="4">
        <f>IF($A1587="","",J1587&amp;"|"&amp;K1587)</f>
        <v/>
      </c>
      <c r="P1587" s="63">
        <f>IF($A1587="","",IF(COUNTIFS(예산_원본!$T$5:$T$3004,O1587,예산_원본!$B$5:$B$3004,설정!$C$8,예산_원본!$U$5:$U$3004,L1587)&gt;0,"Y","N"))</f>
        <v/>
      </c>
      <c r="Q1587" s="63">
        <f>IF($A1587="","",IF(COUNTIF(집계!$E$7:$E$506,O1587)&gt;0,"Y","N"))</f>
        <v/>
      </c>
    </row>
    <row r="1588">
      <c r="A1588" s="60" t="n">
        <v>2026</v>
      </c>
      <c r="B1588" s="60" t="n">
        <v>9</v>
      </c>
      <c r="C1588" s="60" t="inlineStr">
        <is>
          <t>1000</t>
        </is>
      </c>
      <c r="D1588" s="60" t="n">
        <v>1301</v>
      </c>
      <c r="E1588" s="60" t="inlineStr">
        <is>
          <t>인사</t>
        </is>
      </c>
      <c r="F1588" s="60" t="n">
        <v>62701000</v>
      </c>
      <c r="G1588" s="60" t="inlineStr">
        <is>
          <t>광고선전비</t>
        </is>
      </c>
      <c r="H1588" s="61" t="n">
        <v>5500000</v>
      </c>
      <c r="J1588" s="63">
        <f>IF($A1588="","",IFERROR(INDEX(부서매핑!$C$5:$C$504,MATCH($D1588&amp;"",부서매핑!$A$5:$A$504,0)),"미매핑"))</f>
        <v/>
      </c>
      <c r="K1588" s="63">
        <f>IF($A1588="","",IFERROR(INDEX(계정매핑!$C$5:$C$504,MATCH($F1588&amp;"",계정매핑!$A$5:$A$504,0)),"미매핑"))</f>
        <v/>
      </c>
      <c r="L1588" s="4">
        <f>IF($A1588="","",VALUE($A1588&amp;""))</f>
        <v/>
      </c>
      <c r="M1588" s="4">
        <f>IF($A1588="","",VALUE($B1588&amp;""))</f>
        <v/>
      </c>
      <c r="N1588" s="64">
        <f>IF($A1588="","",$H1588*설정!$C$15)</f>
        <v/>
      </c>
      <c r="O1588" s="4">
        <f>IF($A1588="","",J1588&amp;"|"&amp;K1588)</f>
        <v/>
      </c>
      <c r="P1588" s="63">
        <f>IF($A1588="","",IF(COUNTIFS(예산_원본!$T$5:$T$3004,O1588,예산_원본!$B$5:$B$3004,설정!$C$8,예산_원본!$U$5:$U$3004,L1588)&gt;0,"Y","N"))</f>
        <v/>
      </c>
      <c r="Q1588" s="63">
        <f>IF($A1588="","",IF(COUNTIF(집계!$E$7:$E$506,O1588)&gt;0,"Y","N"))</f>
        <v/>
      </c>
    </row>
    <row r="1589">
      <c r="A1589" s="60" t="n">
        <v>2026</v>
      </c>
      <c r="B1589" s="60" t="n">
        <v>9</v>
      </c>
      <c r="C1589" s="60" t="inlineStr">
        <is>
          <t>1000</t>
        </is>
      </c>
      <c r="D1589" s="60" t="n">
        <v>1301</v>
      </c>
      <c r="E1589" s="60" t="inlineStr">
        <is>
          <t>인사</t>
        </is>
      </c>
      <c r="F1589" s="60" t="n">
        <v>62801000</v>
      </c>
      <c r="G1589" s="60" t="inlineStr">
        <is>
          <t>교육훈련비-사내</t>
        </is>
      </c>
      <c r="H1589" s="61" t="n">
        <v>11635940</v>
      </c>
      <c r="J1589" s="63">
        <f>IF($A1589="","",IFERROR(INDEX(부서매핑!$C$5:$C$504,MATCH($D1589&amp;"",부서매핑!$A$5:$A$504,0)),"미매핑"))</f>
        <v/>
      </c>
      <c r="K1589" s="63">
        <f>IF($A1589="","",IFERROR(INDEX(계정매핑!$C$5:$C$504,MATCH($F1589&amp;"",계정매핑!$A$5:$A$504,0)),"미매핑"))</f>
        <v/>
      </c>
      <c r="L1589" s="4">
        <f>IF($A1589="","",VALUE($A1589&amp;""))</f>
        <v/>
      </c>
      <c r="M1589" s="4">
        <f>IF($A1589="","",VALUE($B1589&amp;""))</f>
        <v/>
      </c>
      <c r="N1589" s="64">
        <f>IF($A1589="","",$H1589*설정!$C$15)</f>
        <v/>
      </c>
      <c r="O1589" s="4">
        <f>IF($A1589="","",J1589&amp;"|"&amp;K1589)</f>
        <v/>
      </c>
      <c r="P1589" s="63">
        <f>IF($A1589="","",IF(COUNTIFS(예산_원본!$T$5:$T$3004,O1589,예산_원본!$B$5:$B$3004,설정!$C$8,예산_원본!$U$5:$U$3004,L1589)&gt;0,"Y","N"))</f>
        <v/>
      </c>
      <c r="Q1589" s="63">
        <f>IF($A1589="","",IF(COUNTIF(집계!$E$7:$E$506,O1589)&gt;0,"Y","N"))</f>
        <v/>
      </c>
    </row>
    <row r="1590">
      <c r="A1590" s="60" t="n">
        <v>2026</v>
      </c>
      <c r="B1590" s="60" t="n">
        <v>9</v>
      </c>
      <c r="C1590" s="60" t="inlineStr">
        <is>
          <t>1000</t>
        </is>
      </c>
      <c r="D1590" s="60" t="n">
        <v>1301</v>
      </c>
      <c r="E1590" s="60" t="inlineStr">
        <is>
          <t>인사</t>
        </is>
      </c>
      <c r="F1590" s="60" t="n">
        <v>62802000</v>
      </c>
      <c r="G1590" s="60" t="inlineStr">
        <is>
          <t>교육훈련비-외부위탁</t>
        </is>
      </c>
      <c r="H1590" s="61" t="n">
        <v>18012800</v>
      </c>
      <c r="J1590" s="63">
        <f>IF($A1590="","",IFERROR(INDEX(부서매핑!$C$5:$C$504,MATCH($D1590&amp;"",부서매핑!$A$5:$A$504,0)),"미매핑"))</f>
        <v/>
      </c>
      <c r="K1590" s="63">
        <f>IF($A1590="","",IFERROR(INDEX(계정매핑!$C$5:$C$504,MATCH($F1590&amp;"",계정매핑!$A$5:$A$504,0)),"미매핑"))</f>
        <v/>
      </c>
      <c r="L1590" s="4">
        <f>IF($A1590="","",VALUE($A1590&amp;""))</f>
        <v/>
      </c>
      <c r="M1590" s="4">
        <f>IF($A1590="","",VALUE($B1590&amp;""))</f>
        <v/>
      </c>
      <c r="N1590" s="64">
        <f>IF($A1590="","",$H1590*설정!$C$15)</f>
        <v/>
      </c>
      <c r="O1590" s="4">
        <f>IF($A1590="","",J1590&amp;"|"&amp;K1590)</f>
        <v/>
      </c>
      <c r="P1590" s="63">
        <f>IF($A1590="","",IF(COUNTIFS(예산_원본!$T$5:$T$3004,O1590,예산_원본!$B$5:$B$3004,설정!$C$8,예산_원본!$U$5:$U$3004,L1590)&gt;0,"Y","N"))</f>
        <v/>
      </c>
      <c r="Q1590" s="63">
        <f>IF($A1590="","",IF(COUNTIF(집계!$E$7:$E$506,O1590)&gt;0,"Y","N"))</f>
        <v/>
      </c>
    </row>
    <row r="1591">
      <c r="A1591" s="60" t="n">
        <v>2026</v>
      </c>
      <c r="B1591" s="60" t="n">
        <v>9</v>
      </c>
      <c r="C1591" s="60" t="inlineStr">
        <is>
          <t>1000</t>
        </is>
      </c>
      <c r="D1591" s="60" t="n">
        <v>1401</v>
      </c>
      <c r="E1591" s="60" t="inlineStr">
        <is>
          <t>상품개발</t>
        </is>
      </c>
      <c r="F1591" s="60" t="n">
        <v>62101000</v>
      </c>
      <c r="G1591" s="60" t="inlineStr">
        <is>
          <t>여비교통비-국내</t>
        </is>
      </c>
      <c r="H1591" s="61" t="n">
        <v>2489150</v>
      </c>
      <c r="J1591" s="63">
        <f>IF($A1591="","",IFERROR(INDEX(부서매핑!$C$5:$C$504,MATCH($D1591&amp;"",부서매핑!$A$5:$A$504,0)),"미매핑"))</f>
        <v/>
      </c>
      <c r="K1591" s="63">
        <f>IF($A1591="","",IFERROR(INDEX(계정매핑!$C$5:$C$504,MATCH($F1591&amp;"",계정매핑!$A$5:$A$504,0)),"미매핑"))</f>
        <v/>
      </c>
      <c r="L1591" s="4">
        <f>IF($A1591="","",VALUE($A1591&amp;""))</f>
        <v/>
      </c>
      <c r="M1591" s="4">
        <f>IF($A1591="","",VALUE($B1591&amp;""))</f>
        <v/>
      </c>
      <c r="N1591" s="64">
        <f>IF($A1591="","",$H1591*설정!$C$15)</f>
        <v/>
      </c>
      <c r="O1591" s="4">
        <f>IF($A1591="","",J1591&amp;"|"&amp;K1591)</f>
        <v/>
      </c>
      <c r="P1591" s="63">
        <f>IF($A1591="","",IF(COUNTIFS(예산_원본!$T$5:$T$3004,O1591,예산_원본!$B$5:$B$3004,설정!$C$8,예산_원본!$U$5:$U$3004,L1591)&gt;0,"Y","N"))</f>
        <v/>
      </c>
      <c r="Q1591" s="63">
        <f>IF($A1591="","",IF(COUNTIF(집계!$E$7:$E$506,O1591)&gt;0,"Y","N"))</f>
        <v/>
      </c>
    </row>
    <row r="1592">
      <c r="A1592" s="60" t="n">
        <v>2026</v>
      </c>
      <c r="B1592" s="60" t="n">
        <v>9</v>
      </c>
      <c r="C1592" s="60" t="inlineStr">
        <is>
          <t>1000</t>
        </is>
      </c>
      <c r="D1592" s="60" t="n">
        <v>1401</v>
      </c>
      <c r="E1592" s="60" t="inlineStr">
        <is>
          <t>상품개발</t>
        </is>
      </c>
      <c r="F1592" s="60" t="n">
        <v>62102000</v>
      </c>
      <c r="G1592" s="60" t="inlineStr">
        <is>
          <t>여비교통비-해외</t>
        </is>
      </c>
      <c r="H1592" s="61" t="n">
        <v>399730</v>
      </c>
      <c r="J1592" s="63">
        <f>IF($A1592="","",IFERROR(INDEX(부서매핑!$C$5:$C$504,MATCH($D1592&amp;"",부서매핑!$A$5:$A$504,0)),"미매핑"))</f>
        <v/>
      </c>
      <c r="K1592" s="63">
        <f>IF($A1592="","",IFERROR(INDEX(계정매핑!$C$5:$C$504,MATCH($F1592&amp;"",계정매핑!$A$5:$A$504,0)),"미매핑"))</f>
        <v/>
      </c>
      <c r="L1592" s="4">
        <f>IF($A1592="","",VALUE($A1592&amp;""))</f>
        <v/>
      </c>
      <c r="M1592" s="4">
        <f>IF($A1592="","",VALUE($B1592&amp;""))</f>
        <v/>
      </c>
      <c r="N1592" s="64">
        <f>IF($A1592="","",$H1592*설정!$C$15)</f>
        <v/>
      </c>
      <c r="O1592" s="4">
        <f>IF($A1592="","",J1592&amp;"|"&amp;K1592)</f>
        <v/>
      </c>
      <c r="P1592" s="63">
        <f>IF($A1592="","",IF(COUNTIFS(예산_원본!$T$5:$T$3004,O1592,예산_원본!$B$5:$B$3004,설정!$C$8,예산_원본!$U$5:$U$3004,L1592)&gt;0,"Y","N"))</f>
        <v/>
      </c>
      <c r="Q1592" s="63">
        <f>IF($A1592="","",IF(COUNTIF(집계!$E$7:$E$506,O1592)&gt;0,"Y","N"))</f>
        <v/>
      </c>
    </row>
    <row r="1593">
      <c r="A1593" s="60" t="n">
        <v>2026</v>
      </c>
      <c r="B1593" s="60" t="n">
        <v>9</v>
      </c>
      <c r="C1593" s="60" t="inlineStr">
        <is>
          <t>1000</t>
        </is>
      </c>
      <c r="D1593" s="60" t="n">
        <v>1401</v>
      </c>
      <c r="E1593" s="60" t="inlineStr">
        <is>
          <t>상품개발</t>
        </is>
      </c>
      <c r="F1593" s="60" t="n">
        <v>62201000</v>
      </c>
      <c r="G1593" s="60" t="inlineStr">
        <is>
          <t>통신비</t>
        </is>
      </c>
      <c r="H1593" s="61" t="n">
        <v>603260</v>
      </c>
      <c r="J1593" s="63">
        <f>IF($A1593="","",IFERROR(INDEX(부서매핑!$C$5:$C$504,MATCH($D1593&amp;"",부서매핑!$A$5:$A$504,0)),"미매핑"))</f>
        <v/>
      </c>
      <c r="K1593" s="63">
        <f>IF($A1593="","",IFERROR(INDEX(계정매핑!$C$5:$C$504,MATCH($F1593&amp;"",계정매핑!$A$5:$A$504,0)),"미매핑"))</f>
        <v/>
      </c>
      <c r="L1593" s="4">
        <f>IF($A1593="","",VALUE($A1593&amp;""))</f>
        <v/>
      </c>
      <c r="M1593" s="4">
        <f>IF($A1593="","",VALUE($B1593&amp;""))</f>
        <v/>
      </c>
      <c r="N1593" s="64">
        <f>IF($A1593="","",$H1593*설정!$C$15)</f>
        <v/>
      </c>
      <c r="O1593" s="4">
        <f>IF($A1593="","",J1593&amp;"|"&amp;K1593)</f>
        <v/>
      </c>
      <c r="P1593" s="63">
        <f>IF($A1593="","",IF(COUNTIFS(예산_원본!$T$5:$T$3004,O1593,예산_원본!$B$5:$B$3004,설정!$C$8,예산_원본!$U$5:$U$3004,L1593)&gt;0,"Y","N"))</f>
        <v/>
      </c>
      <c r="Q1593" s="63">
        <f>IF($A1593="","",IF(COUNTIF(집계!$E$7:$E$506,O1593)&gt;0,"Y","N"))</f>
        <v/>
      </c>
    </row>
    <row r="1594">
      <c r="A1594" s="60" t="n">
        <v>2026</v>
      </c>
      <c r="B1594" s="60" t="n">
        <v>9</v>
      </c>
      <c r="C1594" s="60" t="inlineStr">
        <is>
          <t>1000</t>
        </is>
      </c>
      <c r="D1594" s="60" t="n">
        <v>1401</v>
      </c>
      <c r="E1594" s="60" t="inlineStr">
        <is>
          <t>상품개발</t>
        </is>
      </c>
      <c r="F1594" s="60" t="n">
        <v>62301000</v>
      </c>
      <c r="G1594" s="60" t="inlineStr">
        <is>
          <t>소모품비</t>
        </is>
      </c>
      <c r="H1594" s="61" t="n">
        <v>352630</v>
      </c>
      <c r="J1594" s="63">
        <f>IF($A1594="","",IFERROR(INDEX(부서매핑!$C$5:$C$504,MATCH($D1594&amp;"",부서매핑!$A$5:$A$504,0)),"미매핑"))</f>
        <v/>
      </c>
      <c r="K1594" s="63">
        <f>IF($A1594="","",IFERROR(INDEX(계정매핑!$C$5:$C$504,MATCH($F1594&amp;"",계정매핑!$A$5:$A$504,0)),"미매핑"))</f>
        <v/>
      </c>
      <c r="L1594" s="4">
        <f>IF($A1594="","",VALUE($A1594&amp;""))</f>
        <v/>
      </c>
      <c r="M1594" s="4">
        <f>IF($A1594="","",VALUE($B1594&amp;""))</f>
        <v/>
      </c>
      <c r="N1594" s="64">
        <f>IF($A1594="","",$H1594*설정!$C$15)</f>
        <v/>
      </c>
      <c r="O1594" s="4">
        <f>IF($A1594="","",J1594&amp;"|"&amp;K1594)</f>
        <v/>
      </c>
      <c r="P1594" s="63">
        <f>IF($A1594="","",IF(COUNTIFS(예산_원본!$T$5:$T$3004,O1594,예산_원본!$B$5:$B$3004,설정!$C$8,예산_원본!$U$5:$U$3004,L1594)&gt;0,"Y","N"))</f>
        <v/>
      </c>
      <c r="Q1594" s="63">
        <f>IF($A1594="","",IF(COUNTIF(집계!$E$7:$E$506,O1594)&gt;0,"Y","N"))</f>
        <v/>
      </c>
    </row>
    <row r="1595">
      <c r="A1595" s="60" t="n">
        <v>2026</v>
      </c>
      <c r="B1595" s="60" t="n">
        <v>9</v>
      </c>
      <c r="C1595" s="60" t="inlineStr">
        <is>
          <t>1000</t>
        </is>
      </c>
      <c r="D1595" s="60" t="n">
        <v>1401</v>
      </c>
      <c r="E1595" s="60" t="inlineStr">
        <is>
          <t>상품개발</t>
        </is>
      </c>
      <c r="F1595" s="60" t="n">
        <v>62401000</v>
      </c>
      <c r="G1595" s="60" t="inlineStr">
        <is>
          <t>도서인쇄비</t>
        </is>
      </c>
      <c r="H1595" s="61" t="n">
        <v>944740</v>
      </c>
      <c r="J1595" s="63">
        <f>IF($A1595="","",IFERROR(INDEX(부서매핑!$C$5:$C$504,MATCH($D1595&amp;"",부서매핑!$A$5:$A$504,0)),"미매핑"))</f>
        <v/>
      </c>
      <c r="K1595" s="63">
        <f>IF($A1595="","",IFERROR(INDEX(계정매핑!$C$5:$C$504,MATCH($F1595&amp;"",계정매핑!$A$5:$A$504,0)),"미매핑"))</f>
        <v/>
      </c>
      <c r="L1595" s="4">
        <f>IF($A1595="","",VALUE($A1595&amp;""))</f>
        <v/>
      </c>
      <c r="M1595" s="4">
        <f>IF($A1595="","",VALUE($B1595&amp;""))</f>
        <v/>
      </c>
      <c r="N1595" s="64">
        <f>IF($A1595="","",$H1595*설정!$C$15)</f>
        <v/>
      </c>
      <c r="O1595" s="4">
        <f>IF($A1595="","",J1595&amp;"|"&amp;K1595)</f>
        <v/>
      </c>
      <c r="P1595" s="63">
        <f>IF($A1595="","",IF(COUNTIFS(예산_원본!$T$5:$T$3004,O1595,예산_원본!$B$5:$B$3004,설정!$C$8,예산_원본!$U$5:$U$3004,L1595)&gt;0,"Y","N"))</f>
        <v/>
      </c>
      <c r="Q1595" s="63">
        <f>IF($A1595="","",IF(COUNTIF(집계!$E$7:$E$506,O1595)&gt;0,"Y","N"))</f>
        <v/>
      </c>
    </row>
    <row r="1596">
      <c r="A1596" s="60" t="n">
        <v>2026</v>
      </c>
      <c r="B1596" s="60" t="n">
        <v>9</v>
      </c>
      <c r="C1596" s="60" t="inlineStr">
        <is>
          <t>1000</t>
        </is>
      </c>
      <c r="D1596" s="60" t="n">
        <v>1401</v>
      </c>
      <c r="E1596" s="60" t="inlineStr">
        <is>
          <t>상품개발</t>
        </is>
      </c>
      <c r="F1596" s="60" t="n">
        <v>62501000</v>
      </c>
      <c r="G1596" s="60" t="inlineStr">
        <is>
          <t>회의비</t>
        </is>
      </c>
      <c r="H1596" s="61" t="n">
        <v>675850</v>
      </c>
      <c r="J1596" s="63">
        <f>IF($A1596="","",IFERROR(INDEX(부서매핑!$C$5:$C$504,MATCH($D1596&amp;"",부서매핑!$A$5:$A$504,0)),"미매핑"))</f>
        <v/>
      </c>
      <c r="K1596" s="63">
        <f>IF($A1596="","",IFERROR(INDEX(계정매핑!$C$5:$C$504,MATCH($F1596&amp;"",계정매핑!$A$5:$A$504,0)),"미매핑"))</f>
        <v/>
      </c>
      <c r="L1596" s="4">
        <f>IF($A1596="","",VALUE($A1596&amp;""))</f>
        <v/>
      </c>
      <c r="M1596" s="4">
        <f>IF($A1596="","",VALUE($B1596&amp;""))</f>
        <v/>
      </c>
      <c r="N1596" s="64">
        <f>IF($A1596="","",$H1596*설정!$C$15)</f>
        <v/>
      </c>
      <c r="O1596" s="4">
        <f>IF($A1596="","",J1596&amp;"|"&amp;K1596)</f>
        <v/>
      </c>
      <c r="P1596" s="63">
        <f>IF($A1596="","",IF(COUNTIFS(예산_원본!$T$5:$T$3004,O1596,예산_원본!$B$5:$B$3004,설정!$C$8,예산_원본!$U$5:$U$3004,L1596)&gt;0,"Y","N"))</f>
        <v/>
      </c>
      <c r="Q1596" s="63">
        <f>IF($A1596="","",IF(COUNTIF(집계!$E$7:$E$506,O1596)&gt;0,"Y","N"))</f>
        <v/>
      </c>
    </row>
    <row r="1597">
      <c r="A1597" s="60" t="n">
        <v>2026</v>
      </c>
      <c r="B1597" s="60" t="n">
        <v>9</v>
      </c>
      <c r="C1597" s="60" t="inlineStr">
        <is>
          <t>1000</t>
        </is>
      </c>
      <c r="D1597" s="60" t="n">
        <v>1401</v>
      </c>
      <c r="E1597" s="60" t="inlineStr">
        <is>
          <t>상품개발</t>
        </is>
      </c>
      <c r="F1597" s="60" t="n">
        <v>62901000</v>
      </c>
      <c r="G1597" s="60" t="inlineStr">
        <is>
          <t>지급수수료-컨설팅</t>
        </is>
      </c>
      <c r="H1597" s="61" t="n">
        <v>9568350</v>
      </c>
      <c r="J1597" s="63">
        <f>IF($A1597="","",IFERROR(INDEX(부서매핑!$C$5:$C$504,MATCH($D1597&amp;"",부서매핑!$A$5:$A$504,0)),"미매핑"))</f>
        <v/>
      </c>
      <c r="K1597" s="63">
        <f>IF($A1597="","",IFERROR(INDEX(계정매핑!$C$5:$C$504,MATCH($F1597&amp;"",계정매핑!$A$5:$A$504,0)),"미매핑"))</f>
        <v/>
      </c>
      <c r="L1597" s="4">
        <f>IF($A1597="","",VALUE($A1597&amp;""))</f>
        <v/>
      </c>
      <c r="M1597" s="4">
        <f>IF($A1597="","",VALUE($B1597&amp;""))</f>
        <v/>
      </c>
      <c r="N1597" s="64">
        <f>IF($A1597="","",$H1597*설정!$C$15)</f>
        <v/>
      </c>
      <c r="O1597" s="4">
        <f>IF($A1597="","",J1597&amp;"|"&amp;K1597)</f>
        <v/>
      </c>
      <c r="P1597" s="63">
        <f>IF($A1597="","",IF(COUNTIFS(예산_원본!$T$5:$T$3004,O1597,예산_원본!$B$5:$B$3004,설정!$C$8,예산_원본!$U$5:$U$3004,L1597)&gt;0,"Y","N"))</f>
        <v/>
      </c>
      <c r="Q1597" s="63">
        <f>IF($A1597="","",IF(COUNTIF(집계!$E$7:$E$506,O1597)&gt;0,"Y","N"))</f>
        <v/>
      </c>
    </row>
    <row r="1598">
      <c r="A1598" s="60" t="n">
        <v>2026</v>
      </c>
      <c r="B1598" s="60" t="n">
        <v>9</v>
      </c>
      <c r="C1598" s="60" t="inlineStr">
        <is>
          <t>1000</t>
        </is>
      </c>
      <c r="D1598" s="60" t="n">
        <v>1401</v>
      </c>
      <c r="E1598" s="60" t="inlineStr">
        <is>
          <t>상품개발</t>
        </is>
      </c>
      <c r="F1598" s="60" t="n">
        <v>62902000</v>
      </c>
      <c r="G1598" s="60" t="inlineStr">
        <is>
          <t>지급수수료-기타</t>
        </is>
      </c>
      <c r="H1598" s="61" t="n">
        <v>4846900</v>
      </c>
      <c r="J1598" s="63">
        <f>IF($A1598="","",IFERROR(INDEX(부서매핑!$C$5:$C$504,MATCH($D1598&amp;"",부서매핑!$A$5:$A$504,0)),"미매핑"))</f>
        <v/>
      </c>
      <c r="K1598" s="63">
        <f>IF($A1598="","",IFERROR(INDEX(계정매핑!$C$5:$C$504,MATCH($F1598&amp;"",계정매핑!$A$5:$A$504,0)),"미매핑"))</f>
        <v/>
      </c>
      <c r="L1598" s="4">
        <f>IF($A1598="","",VALUE($A1598&amp;""))</f>
        <v/>
      </c>
      <c r="M1598" s="4">
        <f>IF($A1598="","",VALUE($B1598&amp;""))</f>
        <v/>
      </c>
      <c r="N1598" s="64">
        <f>IF($A1598="","",$H1598*설정!$C$15)</f>
        <v/>
      </c>
      <c r="O1598" s="4">
        <f>IF($A1598="","",J1598&amp;"|"&amp;K1598)</f>
        <v/>
      </c>
      <c r="P1598" s="63">
        <f>IF($A1598="","",IF(COUNTIFS(예산_원본!$T$5:$T$3004,O1598,예산_원본!$B$5:$B$3004,설정!$C$8,예산_원본!$U$5:$U$3004,L1598)&gt;0,"Y","N"))</f>
        <v/>
      </c>
      <c r="Q1598" s="63">
        <f>IF($A1598="","",IF(COUNTIF(집계!$E$7:$E$506,O1598)&gt;0,"Y","N"))</f>
        <v/>
      </c>
    </row>
    <row r="1599">
      <c r="A1599" s="60" t="n">
        <v>2026</v>
      </c>
      <c r="B1599" s="60" t="n">
        <v>9</v>
      </c>
      <c r="C1599" s="60" t="inlineStr">
        <is>
          <t>1000</t>
        </is>
      </c>
      <c r="D1599" s="60" t="n">
        <v>1501</v>
      </c>
      <c r="E1599" s="60" t="inlineStr">
        <is>
          <t>마케팅전략</t>
        </is>
      </c>
      <c r="F1599" s="60" t="n">
        <v>62101000</v>
      </c>
      <c r="G1599" s="60" t="inlineStr">
        <is>
          <t>여비교통비-국내</t>
        </is>
      </c>
      <c r="H1599" s="61" t="n">
        <v>1866880</v>
      </c>
      <c r="J1599" s="63">
        <f>IF($A1599="","",IFERROR(INDEX(부서매핑!$C$5:$C$504,MATCH($D1599&amp;"",부서매핑!$A$5:$A$504,0)),"미매핑"))</f>
        <v/>
      </c>
      <c r="K1599" s="63">
        <f>IF($A1599="","",IFERROR(INDEX(계정매핑!$C$5:$C$504,MATCH($F1599&amp;"",계정매핑!$A$5:$A$504,0)),"미매핑"))</f>
        <v/>
      </c>
      <c r="L1599" s="4">
        <f>IF($A1599="","",VALUE($A1599&amp;""))</f>
        <v/>
      </c>
      <c r="M1599" s="4">
        <f>IF($A1599="","",VALUE($B1599&amp;""))</f>
        <v/>
      </c>
      <c r="N1599" s="64">
        <f>IF($A1599="","",$H1599*설정!$C$15)</f>
        <v/>
      </c>
      <c r="O1599" s="4">
        <f>IF($A1599="","",J1599&amp;"|"&amp;K1599)</f>
        <v/>
      </c>
      <c r="P1599" s="63">
        <f>IF($A1599="","",IF(COUNTIFS(예산_원본!$T$5:$T$3004,O1599,예산_원본!$B$5:$B$3004,설정!$C$8,예산_원본!$U$5:$U$3004,L1599)&gt;0,"Y","N"))</f>
        <v/>
      </c>
      <c r="Q1599" s="63">
        <f>IF($A1599="","",IF(COUNTIF(집계!$E$7:$E$506,O1599)&gt;0,"Y","N"))</f>
        <v/>
      </c>
    </row>
    <row r="1600">
      <c r="A1600" s="60" t="n">
        <v>2026</v>
      </c>
      <c r="B1600" s="60" t="n">
        <v>9</v>
      </c>
      <c r="C1600" s="60" t="inlineStr">
        <is>
          <t>1000</t>
        </is>
      </c>
      <c r="D1600" s="60" t="n">
        <v>1501</v>
      </c>
      <c r="E1600" s="60" t="inlineStr">
        <is>
          <t>마케팅전략</t>
        </is>
      </c>
      <c r="F1600" s="60" t="n">
        <v>62102000</v>
      </c>
      <c r="G1600" s="60" t="inlineStr">
        <is>
          <t>여비교통비-해외</t>
        </is>
      </c>
      <c r="H1600" s="61" t="n">
        <v>310380</v>
      </c>
      <c r="J1600" s="63">
        <f>IF($A1600="","",IFERROR(INDEX(부서매핑!$C$5:$C$504,MATCH($D1600&amp;"",부서매핑!$A$5:$A$504,0)),"미매핑"))</f>
        <v/>
      </c>
      <c r="K1600" s="63">
        <f>IF($A1600="","",IFERROR(INDEX(계정매핑!$C$5:$C$504,MATCH($F1600&amp;"",계정매핑!$A$5:$A$504,0)),"미매핑"))</f>
        <v/>
      </c>
      <c r="L1600" s="4">
        <f>IF($A1600="","",VALUE($A1600&amp;""))</f>
        <v/>
      </c>
      <c r="M1600" s="4">
        <f>IF($A1600="","",VALUE($B1600&amp;""))</f>
        <v/>
      </c>
      <c r="N1600" s="64">
        <f>IF($A1600="","",$H1600*설정!$C$15)</f>
        <v/>
      </c>
      <c r="O1600" s="4">
        <f>IF($A1600="","",J1600&amp;"|"&amp;K1600)</f>
        <v/>
      </c>
      <c r="P1600" s="63">
        <f>IF($A1600="","",IF(COUNTIFS(예산_원본!$T$5:$T$3004,O1600,예산_원본!$B$5:$B$3004,설정!$C$8,예산_원본!$U$5:$U$3004,L1600)&gt;0,"Y","N"))</f>
        <v/>
      </c>
      <c r="Q1600" s="63">
        <f>IF($A1600="","",IF(COUNTIF(집계!$E$7:$E$506,O1600)&gt;0,"Y","N"))</f>
        <v/>
      </c>
    </row>
    <row r="1601">
      <c r="A1601" s="60" t="n">
        <v>2026</v>
      </c>
      <c r="B1601" s="60" t="n">
        <v>9</v>
      </c>
      <c r="C1601" s="60" t="inlineStr">
        <is>
          <t>1000</t>
        </is>
      </c>
      <c r="D1601" s="60" t="n">
        <v>1501</v>
      </c>
      <c r="E1601" s="60" t="inlineStr">
        <is>
          <t>마케팅전략</t>
        </is>
      </c>
      <c r="F1601" s="60" t="n">
        <v>62201000</v>
      </c>
      <c r="G1601" s="60" t="inlineStr">
        <is>
          <t>통신비</t>
        </is>
      </c>
      <c r="H1601" s="61" t="n">
        <v>577730</v>
      </c>
      <c r="J1601" s="63">
        <f>IF($A1601="","",IFERROR(INDEX(부서매핑!$C$5:$C$504,MATCH($D1601&amp;"",부서매핑!$A$5:$A$504,0)),"미매핑"))</f>
        <v/>
      </c>
      <c r="K1601" s="63">
        <f>IF($A1601="","",IFERROR(INDEX(계정매핑!$C$5:$C$504,MATCH($F1601&amp;"",계정매핑!$A$5:$A$504,0)),"미매핑"))</f>
        <v/>
      </c>
      <c r="L1601" s="4">
        <f>IF($A1601="","",VALUE($A1601&amp;""))</f>
        <v/>
      </c>
      <c r="M1601" s="4">
        <f>IF($A1601="","",VALUE($B1601&amp;""))</f>
        <v/>
      </c>
      <c r="N1601" s="64">
        <f>IF($A1601="","",$H1601*설정!$C$15)</f>
        <v/>
      </c>
      <c r="O1601" s="4">
        <f>IF($A1601="","",J1601&amp;"|"&amp;K1601)</f>
        <v/>
      </c>
      <c r="P1601" s="63">
        <f>IF($A1601="","",IF(COUNTIFS(예산_원본!$T$5:$T$3004,O1601,예산_원본!$B$5:$B$3004,설정!$C$8,예산_원본!$U$5:$U$3004,L1601)&gt;0,"Y","N"))</f>
        <v/>
      </c>
      <c r="Q1601" s="63">
        <f>IF($A1601="","",IF(COUNTIF(집계!$E$7:$E$506,O1601)&gt;0,"Y","N"))</f>
        <v/>
      </c>
    </row>
    <row r="1602">
      <c r="A1602" s="60" t="n">
        <v>2026</v>
      </c>
      <c r="B1602" s="60" t="n">
        <v>9</v>
      </c>
      <c r="C1602" s="60" t="inlineStr">
        <is>
          <t>1000</t>
        </is>
      </c>
      <c r="D1602" s="60" t="n">
        <v>1501</v>
      </c>
      <c r="E1602" s="60" t="inlineStr">
        <is>
          <t>마케팅전략</t>
        </is>
      </c>
      <c r="F1602" s="60" t="n">
        <v>62301000</v>
      </c>
      <c r="G1602" s="60" t="inlineStr">
        <is>
          <t>소모품비</t>
        </is>
      </c>
      <c r="H1602" s="61" t="n">
        <v>452470</v>
      </c>
      <c r="J1602" s="63">
        <f>IF($A1602="","",IFERROR(INDEX(부서매핑!$C$5:$C$504,MATCH($D1602&amp;"",부서매핑!$A$5:$A$504,0)),"미매핑"))</f>
        <v/>
      </c>
      <c r="K1602" s="63">
        <f>IF($A1602="","",IFERROR(INDEX(계정매핑!$C$5:$C$504,MATCH($F1602&amp;"",계정매핑!$A$5:$A$504,0)),"미매핑"))</f>
        <v/>
      </c>
      <c r="L1602" s="4">
        <f>IF($A1602="","",VALUE($A1602&amp;""))</f>
        <v/>
      </c>
      <c r="M1602" s="4">
        <f>IF($A1602="","",VALUE($B1602&amp;""))</f>
        <v/>
      </c>
      <c r="N1602" s="64">
        <f>IF($A1602="","",$H1602*설정!$C$15)</f>
        <v/>
      </c>
      <c r="O1602" s="4">
        <f>IF($A1602="","",J1602&amp;"|"&amp;K1602)</f>
        <v/>
      </c>
      <c r="P1602" s="63">
        <f>IF($A1602="","",IF(COUNTIFS(예산_원본!$T$5:$T$3004,O1602,예산_원본!$B$5:$B$3004,설정!$C$8,예산_원본!$U$5:$U$3004,L1602)&gt;0,"Y","N"))</f>
        <v/>
      </c>
      <c r="Q1602" s="63">
        <f>IF($A1602="","",IF(COUNTIF(집계!$E$7:$E$506,O1602)&gt;0,"Y","N"))</f>
        <v/>
      </c>
    </row>
    <row r="1603">
      <c r="A1603" s="60" t="n">
        <v>2026</v>
      </c>
      <c r="B1603" s="60" t="n">
        <v>9</v>
      </c>
      <c r="C1603" s="60" t="inlineStr">
        <is>
          <t>1000</t>
        </is>
      </c>
      <c r="D1603" s="60" t="n">
        <v>1501</v>
      </c>
      <c r="E1603" s="60" t="inlineStr">
        <is>
          <t>마케팅전략</t>
        </is>
      </c>
      <c r="F1603" s="60" t="n">
        <v>62401000</v>
      </c>
      <c r="G1603" s="60" t="inlineStr">
        <is>
          <t>도서인쇄비</t>
        </is>
      </c>
      <c r="H1603" s="61" t="n">
        <v>4858650</v>
      </c>
      <c r="J1603" s="63">
        <f>IF($A1603="","",IFERROR(INDEX(부서매핑!$C$5:$C$504,MATCH($D1603&amp;"",부서매핑!$A$5:$A$504,0)),"미매핑"))</f>
        <v/>
      </c>
      <c r="K1603" s="63">
        <f>IF($A1603="","",IFERROR(INDEX(계정매핑!$C$5:$C$504,MATCH($F1603&amp;"",계정매핑!$A$5:$A$504,0)),"미매핑"))</f>
        <v/>
      </c>
      <c r="L1603" s="4">
        <f>IF($A1603="","",VALUE($A1603&amp;""))</f>
        <v/>
      </c>
      <c r="M1603" s="4">
        <f>IF($A1603="","",VALUE($B1603&amp;""))</f>
        <v/>
      </c>
      <c r="N1603" s="64">
        <f>IF($A1603="","",$H1603*설정!$C$15)</f>
        <v/>
      </c>
      <c r="O1603" s="4">
        <f>IF($A1603="","",J1603&amp;"|"&amp;K1603)</f>
        <v/>
      </c>
      <c r="P1603" s="63">
        <f>IF($A1603="","",IF(COUNTIFS(예산_원본!$T$5:$T$3004,O1603,예산_원본!$B$5:$B$3004,설정!$C$8,예산_원본!$U$5:$U$3004,L1603)&gt;0,"Y","N"))</f>
        <v/>
      </c>
      <c r="Q1603" s="63">
        <f>IF($A1603="","",IF(COUNTIF(집계!$E$7:$E$506,O1603)&gt;0,"Y","N"))</f>
        <v/>
      </c>
    </row>
    <row r="1604">
      <c r="A1604" s="60" t="n">
        <v>2026</v>
      </c>
      <c r="B1604" s="60" t="n">
        <v>9</v>
      </c>
      <c r="C1604" s="60" t="inlineStr">
        <is>
          <t>1000</t>
        </is>
      </c>
      <c r="D1604" s="60" t="n">
        <v>1501</v>
      </c>
      <c r="E1604" s="60" t="inlineStr">
        <is>
          <t>마케팅전략</t>
        </is>
      </c>
      <c r="F1604" s="60" t="n">
        <v>62501000</v>
      </c>
      <c r="G1604" s="60" t="inlineStr">
        <is>
          <t>회의비</t>
        </is>
      </c>
      <c r="H1604" s="61" t="n">
        <v>772820</v>
      </c>
      <c r="J1604" s="63">
        <f>IF($A1604="","",IFERROR(INDEX(부서매핑!$C$5:$C$504,MATCH($D1604&amp;"",부서매핑!$A$5:$A$504,0)),"미매핑"))</f>
        <v/>
      </c>
      <c r="K1604" s="63">
        <f>IF($A1604="","",IFERROR(INDEX(계정매핑!$C$5:$C$504,MATCH($F1604&amp;"",계정매핑!$A$5:$A$504,0)),"미매핑"))</f>
        <v/>
      </c>
      <c r="L1604" s="4">
        <f>IF($A1604="","",VALUE($A1604&amp;""))</f>
        <v/>
      </c>
      <c r="M1604" s="4">
        <f>IF($A1604="","",VALUE($B1604&amp;""))</f>
        <v/>
      </c>
      <c r="N1604" s="64">
        <f>IF($A1604="","",$H1604*설정!$C$15)</f>
        <v/>
      </c>
      <c r="O1604" s="4">
        <f>IF($A1604="","",J1604&amp;"|"&amp;K1604)</f>
        <v/>
      </c>
      <c r="P1604" s="63">
        <f>IF($A1604="","",IF(COUNTIFS(예산_원본!$T$5:$T$3004,O1604,예산_원본!$B$5:$B$3004,설정!$C$8,예산_원본!$U$5:$U$3004,L1604)&gt;0,"Y","N"))</f>
        <v/>
      </c>
      <c r="Q1604" s="63">
        <f>IF($A1604="","",IF(COUNTIF(집계!$E$7:$E$506,O1604)&gt;0,"Y","N"))</f>
        <v/>
      </c>
    </row>
    <row r="1605">
      <c r="A1605" s="60" t="n">
        <v>2026</v>
      </c>
      <c r="B1605" s="60" t="n">
        <v>9</v>
      </c>
      <c r="C1605" s="60" t="inlineStr">
        <is>
          <t>1000</t>
        </is>
      </c>
      <c r="D1605" s="60" t="n">
        <v>1501</v>
      </c>
      <c r="E1605" s="60" t="inlineStr">
        <is>
          <t>마케팅전략</t>
        </is>
      </c>
      <c r="F1605" s="60" t="n">
        <v>62601000</v>
      </c>
      <c r="G1605" s="60" t="inlineStr">
        <is>
          <t>업무추진비</t>
        </is>
      </c>
      <c r="H1605" s="61" t="n">
        <v>1542920</v>
      </c>
      <c r="J1605" s="63">
        <f>IF($A1605="","",IFERROR(INDEX(부서매핑!$C$5:$C$504,MATCH($D1605&amp;"",부서매핑!$A$5:$A$504,0)),"미매핑"))</f>
        <v/>
      </c>
      <c r="K1605" s="63">
        <f>IF($A1605="","",IFERROR(INDEX(계정매핑!$C$5:$C$504,MATCH($F1605&amp;"",계정매핑!$A$5:$A$504,0)),"미매핑"))</f>
        <v/>
      </c>
      <c r="L1605" s="4">
        <f>IF($A1605="","",VALUE($A1605&amp;""))</f>
        <v/>
      </c>
      <c r="M1605" s="4">
        <f>IF($A1605="","",VALUE($B1605&amp;""))</f>
        <v/>
      </c>
      <c r="N1605" s="64">
        <f>IF($A1605="","",$H1605*설정!$C$15)</f>
        <v/>
      </c>
      <c r="O1605" s="4">
        <f>IF($A1605="","",J1605&amp;"|"&amp;K1605)</f>
        <v/>
      </c>
      <c r="P1605" s="63">
        <f>IF($A1605="","",IF(COUNTIFS(예산_원본!$T$5:$T$3004,O1605,예산_원본!$B$5:$B$3004,설정!$C$8,예산_원본!$U$5:$U$3004,L1605)&gt;0,"Y","N"))</f>
        <v/>
      </c>
      <c r="Q1605" s="63">
        <f>IF($A1605="","",IF(COUNTIF(집계!$E$7:$E$506,O1605)&gt;0,"Y","N"))</f>
        <v/>
      </c>
    </row>
    <row r="1606">
      <c r="A1606" s="60" t="n">
        <v>2026</v>
      </c>
      <c r="B1606" s="60" t="n">
        <v>9</v>
      </c>
      <c r="C1606" s="60" t="inlineStr">
        <is>
          <t>1000</t>
        </is>
      </c>
      <c r="D1606" s="60" t="n">
        <v>1501</v>
      </c>
      <c r="E1606" s="60" t="inlineStr">
        <is>
          <t>마케팅전략</t>
        </is>
      </c>
      <c r="F1606" s="60" t="n">
        <v>62701000</v>
      </c>
      <c r="G1606" s="60" t="inlineStr">
        <is>
          <t>광고선전비</t>
        </is>
      </c>
      <c r="H1606" s="61" t="n">
        <v>160260020</v>
      </c>
      <c r="J1606" s="63">
        <f>IF($A1606="","",IFERROR(INDEX(부서매핑!$C$5:$C$504,MATCH($D1606&amp;"",부서매핑!$A$5:$A$504,0)),"미매핑"))</f>
        <v/>
      </c>
      <c r="K1606" s="63">
        <f>IF($A1606="","",IFERROR(INDEX(계정매핑!$C$5:$C$504,MATCH($F1606&amp;"",계정매핑!$A$5:$A$504,0)),"미매핑"))</f>
        <v/>
      </c>
      <c r="L1606" s="4">
        <f>IF($A1606="","",VALUE($A1606&amp;""))</f>
        <v/>
      </c>
      <c r="M1606" s="4">
        <f>IF($A1606="","",VALUE($B1606&amp;""))</f>
        <v/>
      </c>
      <c r="N1606" s="64">
        <f>IF($A1606="","",$H1606*설정!$C$15)</f>
        <v/>
      </c>
      <c r="O1606" s="4">
        <f>IF($A1606="","",J1606&amp;"|"&amp;K1606)</f>
        <v/>
      </c>
      <c r="P1606" s="63">
        <f>IF($A1606="","",IF(COUNTIFS(예산_원본!$T$5:$T$3004,O1606,예산_원본!$B$5:$B$3004,설정!$C$8,예산_원본!$U$5:$U$3004,L1606)&gt;0,"Y","N"))</f>
        <v/>
      </c>
      <c r="Q1606" s="63">
        <f>IF($A1606="","",IF(COUNTIF(집계!$E$7:$E$506,O1606)&gt;0,"Y","N"))</f>
        <v/>
      </c>
    </row>
    <row r="1607">
      <c r="A1607" s="60" t="n">
        <v>2026</v>
      </c>
      <c r="B1607" s="60" t="n">
        <v>9</v>
      </c>
      <c r="C1607" s="60" t="inlineStr">
        <is>
          <t>1000</t>
        </is>
      </c>
      <c r="D1607" s="60" t="n">
        <v>1502</v>
      </c>
      <c r="E1607" s="60" t="inlineStr">
        <is>
          <t>디지털마케팅</t>
        </is>
      </c>
      <c r="F1607" s="60" t="n">
        <v>62101000</v>
      </c>
      <c r="G1607" s="60" t="inlineStr">
        <is>
          <t>여비교통비-국내</t>
        </is>
      </c>
      <c r="H1607" s="61" t="n">
        <v>1167290</v>
      </c>
      <c r="J1607" s="63">
        <f>IF($A1607="","",IFERROR(INDEX(부서매핑!$C$5:$C$504,MATCH($D1607&amp;"",부서매핑!$A$5:$A$504,0)),"미매핑"))</f>
        <v/>
      </c>
      <c r="K1607" s="63">
        <f>IF($A1607="","",IFERROR(INDEX(계정매핑!$C$5:$C$504,MATCH($F1607&amp;"",계정매핑!$A$5:$A$504,0)),"미매핑"))</f>
        <v/>
      </c>
      <c r="L1607" s="4">
        <f>IF($A1607="","",VALUE($A1607&amp;""))</f>
        <v/>
      </c>
      <c r="M1607" s="4">
        <f>IF($A1607="","",VALUE($B1607&amp;""))</f>
        <v/>
      </c>
      <c r="N1607" s="64">
        <f>IF($A1607="","",$H1607*설정!$C$15)</f>
        <v/>
      </c>
      <c r="O1607" s="4">
        <f>IF($A1607="","",J1607&amp;"|"&amp;K1607)</f>
        <v/>
      </c>
      <c r="P1607" s="63">
        <f>IF($A1607="","",IF(COUNTIFS(예산_원본!$T$5:$T$3004,O1607,예산_원본!$B$5:$B$3004,설정!$C$8,예산_원본!$U$5:$U$3004,L1607)&gt;0,"Y","N"))</f>
        <v/>
      </c>
      <c r="Q1607" s="63">
        <f>IF($A1607="","",IF(COUNTIF(집계!$E$7:$E$506,O1607)&gt;0,"Y","N"))</f>
        <v/>
      </c>
    </row>
    <row r="1608">
      <c r="A1608" s="60" t="n">
        <v>2026</v>
      </c>
      <c r="B1608" s="60" t="n">
        <v>9</v>
      </c>
      <c r="C1608" s="60" t="inlineStr">
        <is>
          <t>1000</t>
        </is>
      </c>
      <c r="D1608" s="60" t="n">
        <v>1502</v>
      </c>
      <c r="E1608" s="60" t="inlineStr">
        <is>
          <t>디지털마케팅</t>
        </is>
      </c>
      <c r="F1608" s="60" t="n">
        <v>62102000</v>
      </c>
      <c r="G1608" s="60" t="inlineStr">
        <is>
          <t>여비교통비-해외</t>
        </is>
      </c>
      <c r="H1608" s="61" t="n">
        <v>198680</v>
      </c>
      <c r="J1608" s="63">
        <f>IF($A1608="","",IFERROR(INDEX(부서매핑!$C$5:$C$504,MATCH($D1608&amp;"",부서매핑!$A$5:$A$504,0)),"미매핑"))</f>
        <v/>
      </c>
      <c r="K1608" s="63">
        <f>IF($A1608="","",IFERROR(INDEX(계정매핑!$C$5:$C$504,MATCH($F1608&amp;"",계정매핑!$A$5:$A$504,0)),"미매핑"))</f>
        <v/>
      </c>
      <c r="L1608" s="4">
        <f>IF($A1608="","",VALUE($A1608&amp;""))</f>
        <v/>
      </c>
      <c r="M1608" s="4">
        <f>IF($A1608="","",VALUE($B1608&amp;""))</f>
        <v/>
      </c>
      <c r="N1608" s="64">
        <f>IF($A1608="","",$H1608*설정!$C$15)</f>
        <v/>
      </c>
      <c r="O1608" s="4">
        <f>IF($A1608="","",J1608&amp;"|"&amp;K1608)</f>
        <v/>
      </c>
      <c r="P1608" s="63">
        <f>IF($A1608="","",IF(COUNTIFS(예산_원본!$T$5:$T$3004,O1608,예산_원본!$B$5:$B$3004,설정!$C$8,예산_원본!$U$5:$U$3004,L1608)&gt;0,"Y","N"))</f>
        <v/>
      </c>
      <c r="Q1608" s="63">
        <f>IF($A1608="","",IF(COUNTIF(집계!$E$7:$E$506,O1608)&gt;0,"Y","N"))</f>
        <v/>
      </c>
    </row>
    <row r="1609">
      <c r="A1609" s="60" t="n">
        <v>2026</v>
      </c>
      <c r="B1609" s="60" t="n">
        <v>9</v>
      </c>
      <c r="C1609" s="60" t="inlineStr">
        <is>
          <t>1000</t>
        </is>
      </c>
      <c r="D1609" s="60" t="n">
        <v>1502</v>
      </c>
      <c r="E1609" s="60" t="inlineStr">
        <is>
          <t>디지털마케팅</t>
        </is>
      </c>
      <c r="F1609" s="60" t="n">
        <v>62201000</v>
      </c>
      <c r="G1609" s="60" t="inlineStr">
        <is>
          <t>통신비</t>
        </is>
      </c>
      <c r="H1609" s="61" t="n">
        <v>410380</v>
      </c>
      <c r="J1609" s="63">
        <f>IF($A1609="","",IFERROR(INDEX(부서매핑!$C$5:$C$504,MATCH($D1609&amp;"",부서매핑!$A$5:$A$504,0)),"미매핑"))</f>
        <v/>
      </c>
      <c r="K1609" s="63">
        <f>IF($A1609="","",IFERROR(INDEX(계정매핑!$C$5:$C$504,MATCH($F1609&amp;"",계정매핑!$A$5:$A$504,0)),"미매핑"))</f>
        <v/>
      </c>
      <c r="L1609" s="4">
        <f>IF($A1609="","",VALUE($A1609&amp;""))</f>
        <v/>
      </c>
      <c r="M1609" s="4">
        <f>IF($A1609="","",VALUE($B1609&amp;""))</f>
        <v/>
      </c>
      <c r="N1609" s="64">
        <f>IF($A1609="","",$H1609*설정!$C$15)</f>
        <v/>
      </c>
      <c r="O1609" s="4">
        <f>IF($A1609="","",J1609&amp;"|"&amp;K1609)</f>
        <v/>
      </c>
      <c r="P1609" s="63">
        <f>IF($A1609="","",IF(COUNTIFS(예산_원본!$T$5:$T$3004,O1609,예산_원본!$B$5:$B$3004,설정!$C$8,예산_원본!$U$5:$U$3004,L1609)&gt;0,"Y","N"))</f>
        <v/>
      </c>
      <c r="Q1609" s="63">
        <f>IF($A1609="","",IF(COUNTIF(집계!$E$7:$E$506,O1609)&gt;0,"Y","N"))</f>
        <v/>
      </c>
    </row>
    <row r="1610">
      <c r="A1610" s="60" t="n">
        <v>2026</v>
      </c>
      <c r="B1610" s="60" t="n">
        <v>9</v>
      </c>
      <c r="C1610" s="60" t="inlineStr">
        <is>
          <t>1000</t>
        </is>
      </c>
      <c r="D1610" s="60" t="n">
        <v>1502</v>
      </c>
      <c r="E1610" s="60" t="inlineStr">
        <is>
          <t>디지털마케팅</t>
        </is>
      </c>
      <c r="F1610" s="60" t="n">
        <v>62301000</v>
      </c>
      <c r="G1610" s="60" t="inlineStr">
        <is>
          <t>소모품비</t>
        </is>
      </c>
      <c r="H1610" s="61" t="n">
        <v>281620</v>
      </c>
      <c r="J1610" s="63">
        <f>IF($A1610="","",IFERROR(INDEX(부서매핑!$C$5:$C$504,MATCH($D1610&amp;"",부서매핑!$A$5:$A$504,0)),"미매핑"))</f>
        <v/>
      </c>
      <c r="K1610" s="63">
        <f>IF($A1610="","",IFERROR(INDEX(계정매핑!$C$5:$C$504,MATCH($F1610&amp;"",계정매핑!$A$5:$A$504,0)),"미매핑"))</f>
        <v/>
      </c>
      <c r="L1610" s="4">
        <f>IF($A1610="","",VALUE($A1610&amp;""))</f>
        <v/>
      </c>
      <c r="M1610" s="4">
        <f>IF($A1610="","",VALUE($B1610&amp;""))</f>
        <v/>
      </c>
      <c r="N1610" s="64">
        <f>IF($A1610="","",$H1610*설정!$C$15)</f>
        <v/>
      </c>
      <c r="O1610" s="4">
        <f>IF($A1610="","",J1610&amp;"|"&amp;K1610)</f>
        <v/>
      </c>
      <c r="P1610" s="63">
        <f>IF($A1610="","",IF(COUNTIFS(예산_원본!$T$5:$T$3004,O1610,예산_원본!$B$5:$B$3004,설정!$C$8,예산_원본!$U$5:$U$3004,L1610)&gt;0,"Y","N"))</f>
        <v/>
      </c>
      <c r="Q1610" s="63">
        <f>IF($A1610="","",IF(COUNTIF(집계!$E$7:$E$506,O1610)&gt;0,"Y","N"))</f>
        <v/>
      </c>
    </row>
    <row r="1611">
      <c r="A1611" s="60" t="n">
        <v>2026</v>
      </c>
      <c r="B1611" s="60" t="n">
        <v>9</v>
      </c>
      <c r="C1611" s="60" t="inlineStr">
        <is>
          <t>1000</t>
        </is>
      </c>
      <c r="D1611" s="60" t="n">
        <v>1502</v>
      </c>
      <c r="E1611" s="60" t="inlineStr">
        <is>
          <t>디지털마케팅</t>
        </is>
      </c>
      <c r="F1611" s="60" t="n">
        <v>62401000</v>
      </c>
      <c r="G1611" s="60" t="inlineStr">
        <is>
          <t>도서인쇄비</t>
        </is>
      </c>
      <c r="H1611" s="61" t="n">
        <v>3052910</v>
      </c>
      <c r="J1611" s="63">
        <f>IF($A1611="","",IFERROR(INDEX(부서매핑!$C$5:$C$504,MATCH($D1611&amp;"",부서매핑!$A$5:$A$504,0)),"미매핑"))</f>
        <v/>
      </c>
      <c r="K1611" s="63">
        <f>IF($A1611="","",IFERROR(INDEX(계정매핑!$C$5:$C$504,MATCH($F1611&amp;"",계정매핑!$A$5:$A$504,0)),"미매핑"))</f>
        <v/>
      </c>
      <c r="L1611" s="4">
        <f>IF($A1611="","",VALUE($A1611&amp;""))</f>
        <v/>
      </c>
      <c r="M1611" s="4">
        <f>IF($A1611="","",VALUE($B1611&amp;""))</f>
        <v/>
      </c>
      <c r="N1611" s="64">
        <f>IF($A1611="","",$H1611*설정!$C$15)</f>
        <v/>
      </c>
      <c r="O1611" s="4">
        <f>IF($A1611="","",J1611&amp;"|"&amp;K1611)</f>
        <v/>
      </c>
      <c r="P1611" s="63">
        <f>IF($A1611="","",IF(COUNTIFS(예산_원본!$T$5:$T$3004,O1611,예산_원본!$B$5:$B$3004,설정!$C$8,예산_원본!$U$5:$U$3004,L1611)&gt;0,"Y","N"))</f>
        <v/>
      </c>
      <c r="Q1611" s="63">
        <f>IF($A1611="","",IF(COUNTIF(집계!$E$7:$E$506,O1611)&gt;0,"Y","N"))</f>
        <v/>
      </c>
    </row>
    <row r="1612">
      <c r="A1612" s="60" t="n">
        <v>2026</v>
      </c>
      <c r="B1612" s="60" t="n">
        <v>9</v>
      </c>
      <c r="C1612" s="60" t="inlineStr">
        <is>
          <t>1000</t>
        </is>
      </c>
      <c r="D1612" s="60" t="n">
        <v>1502</v>
      </c>
      <c r="E1612" s="60" t="inlineStr">
        <is>
          <t>디지털마케팅</t>
        </is>
      </c>
      <c r="F1612" s="60" t="n">
        <v>62501000</v>
      </c>
      <c r="G1612" s="60" t="inlineStr">
        <is>
          <t>회의비</t>
        </is>
      </c>
      <c r="H1612" s="61" t="n">
        <v>464600</v>
      </c>
      <c r="J1612" s="63">
        <f>IF($A1612="","",IFERROR(INDEX(부서매핑!$C$5:$C$504,MATCH($D1612&amp;"",부서매핑!$A$5:$A$504,0)),"미매핑"))</f>
        <v/>
      </c>
      <c r="K1612" s="63">
        <f>IF($A1612="","",IFERROR(INDEX(계정매핑!$C$5:$C$504,MATCH($F1612&amp;"",계정매핑!$A$5:$A$504,0)),"미매핑"))</f>
        <v/>
      </c>
      <c r="L1612" s="4">
        <f>IF($A1612="","",VALUE($A1612&amp;""))</f>
        <v/>
      </c>
      <c r="M1612" s="4">
        <f>IF($A1612="","",VALUE($B1612&amp;""))</f>
        <v/>
      </c>
      <c r="N1612" s="64">
        <f>IF($A1612="","",$H1612*설정!$C$15)</f>
        <v/>
      </c>
      <c r="O1612" s="4">
        <f>IF($A1612="","",J1612&amp;"|"&amp;K1612)</f>
        <v/>
      </c>
      <c r="P1612" s="63">
        <f>IF($A1612="","",IF(COUNTIFS(예산_원본!$T$5:$T$3004,O1612,예산_원본!$B$5:$B$3004,설정!$C$8,예산_원본!$U$5:$U$3004,L1612)&gt;0,"Y","N"))</f>
        <v/>
      </c>
      <c r="Q1612" s="63">
        <f>IF($A1612="","",IF(COUNTIF(집계!$E$7:$E$506,O1612)&gt;0,"Y","N"))</f>
        <v/>
      </c>
    </row>
    <row r="1613">
      <c r="A1613" s="60" t="n">
        <v>2026</v>
      </c>
      <c r="B1613" s="60" t="n">
        <v>9</v>
      </c>
      <c r="C1613" s="60" t="inlineStr">
        <is>
          <t>1000</t>
        </is>
      </c>
      <c r="D1613" s="60" t="n">
        <v>1502</v>
      </c>
      <c r="E1613" s="60" t="inlineStr">
        <is>
          <t>디지털마케팅</t>
        </is>
      </c>
      <c r="F1613" s="60" t="n">
        <v>62601000</v>
      </c>
      <c r="G1613" s="60" t="inlineStr">
        <is>
          <t>업무추진비</t>
        </is>
      </c>
      <c r="H1613" s="61" t="n">
        <v>934590</v>
      </c>
      <c r="J1613" s="63">
        <f>IF($A1613="","",IFERROR(INDEX(부서매핑!$C$5:$C$504,MATCH($D1613&amp;"",부서매핑!$A$5:$A$504,0)),"미매핑"))</f>
        <v/>
      </c>
      <c r="K1613" s="63">
        <f>IF($A1613="","",IFERROR(INDEX(계정매핑!$C$5:$C$504,MATCH($F1613&amp;"",계정매핑!$A$5:$A$504,0)),"미매핑"))</f>
        <v/>
      </c>
      <c r="L1613" s="4">
        <f>IF($A1613="","",VALUE($A1613&amp;""))</f>
        <v/>
      </c>
      <c r="M1613" s="4">
        <f>IF($A1613="","",VALUE($B1613&amp;""))</f>
        <v/>
      </c>
      <c r="N1613" s="64">
        <f>IF($A1613="","",$H1613*설정!$C$15)</f>
        <v/>
      </c>
      <c r="O1613" s="4">
        <f>IF($A1613="","",J1613&amp;"|"&amp;K1613)</f>
        <v/>
      </c>
      <c r="P1613" s="63">
        <f>IF($A1613="","",IF(COUNTIFS(예산_원본!$T$5:$T$3004,O1613,예산_원본!$B$5:$B$3004,설정!$C$8,예산_원본!$U$5:$U$3004,L1613)&gt;0,"Y","N"))</f>
        <v/>
      </c>
      <c r="Q1613" s="63">
        <f>IF($A1613="","",IF(COUNTIF(집계!$E$7:$E$506,O1613)&gt;0,"Y","N"))</f>
        <v/>
      </c>
    </row>
    <row r="1614">
      <c r="A1614" s="60" t="n">
        <v>2026</v>
      </c>
      <c r="B1614" s="60" t="n">
        <v>9</v>
      </c>
      <c r="C1614" s="60" t="inlineStr">
        <is>
          <t>1000</t>
        </is>
      </c>
      <c r="D1614" s="60" t="n">
        <v>1502</v>
      </c>
      <c r="E1614" s="60" t="inlineStr">
        <is>
          <t>디지털마케팅</t>
        </is>
      </c>
      <c r="F1614" s="60" t="n">
        <v>62701000</v>
      </c>
      <c r="G1614" s="60" t="inlineStr">
        <is>
          <t>광고선전비</t>
        </is>
      </c>
      <c r="H1614" s="61" t="n">
        <v>111657140</v>
      </c>
      <c r="J1614" s="63">
        <f>IF($A1614="","",IFERROR(INDEX(부서매핑!$C$5:$C$504,MATCH($D1614&amp;"",부서매핑!$A$5:$A$504,0)),"미매핑"))</f>
        <v/>
      </c>
      <c r="K1614" s="63">
        <f>IF($A1614="","",IFERROR(INDEX(계정매핑!$C$5:$C$504,MATCH($F1614&amp;"",계정매핑!$A$5:$A$504,0)),"미매핑"))</f>
        <v/>
      </c>
      <c r="L1614" s="4">
        <f>IF($A1614="","",VALUE($A1614&amp;""))</f>
        <v/>
      </c>
      <c r="M1614" s="4">
        <f>IF($A1614="","",VALUE($B1614&amp;""))</f>
        <v/>
      </c>
      <c r="N1614" s="64">
        <f>IF($A1614="","",$H1614*설정!$C$15)</f>
        <v/>
      </c>
      <c r="O1614" s="4">
        <f>IF($A1614="","",J1614&amp;"|"&amp;K1614)</f>
        <v/>
      </c>
      <c r="P1614" s="63">
        <f>IF($A1614="","",IF(COUNTIFS(예산_원본!$T$5:$T$3004,O1614,예산_원본!$B$5:$B$3004,설정!$C$8,예산_원본!$U$5:$U$3004,L1614)&gt;0,"Y","N"))</f>
        <v/>
      </c>
      <c r="Q1614" s="63">
        <f>IF($A1614="","",IF(COUNTIF(집계!$E$7:$E$506,O1614)&gt;0,"Y","N"))</f>
        <v/>
      </c>
    </row>
    <row r="1615">
      <c r="A1615" s="60" t="n">
        <v>2026</v>
      </c>
      <c r="B1615" s="60" t="n">
        <v>9</v>
      </c>
      <c r="C1615" s="60" t="inlineStr">
        <is>
          <t>1000</t>
        </is>
      </c>
      <c r="D1615" s="60" t="n">
        <v>1601</v>
      </c>
      <c r="E1615" s="60" t="inlineStr">
        <is>
          <t>영업지원-본사</t>
        </is>
      </c>
      <c r="F1615" s="60" t="n">
        <v>62101000</v>
      </c>
      <c r="G1615" s="60" t="inlineStr">
        <is>
          <t>여비교통비-국내</t>
        </is>
      </c>
      <c r="H1615" s="61" t="n">
        <v>3480920</v>
      </c>
      <c r="J1615" s="63">
        <f>IF($A1615="","",IFERROR(INDEX(부서매핑!$C$5:$C$504,MATCH($D1615&amp;"",부서매핑!$A$5:$A$504,0)),"미매핑"))</f>
        <v/>
      </c>
      <c r="K1615" s="63">
        <f>IF($A1615="","",IFERROR(INDEX(계정매핑!$C$5:$C$504,MATCH($F1615&amp;"",계정매핑!$A$5:$A$504,0)),"미매핑"))</f>
        <v/>
      </c>
      <c r="L1615" s="4">
        <f>IF($A1615="","",VALUE($A1615&amp;""))</f>
        <v/>
      </c>
      <c r="M1615" s="4">
        <f>IF($A1615="","",VALUE($B1615&amp;""))</f>
        <v/>
      </c>
      <c r="N1615" s="64">
        <f>IF($A1615="","",$H1615*설정!$C$15)</f>
        <v/>
      </c>
      <c r="O1615" s="4">
        <f>IF($A1615="","",J1615&amp;"|"&amp;K1615)</f>
        <v/>
      </c>
      <c r="P1615" s="63">
        <f>IF($A1615="","",IF(COUNTIFS(예산_원본!$T$5:$T$3004,O1615,예산_원본!$B$5:$B$3004,설정!$C$8,예산_원본!$U$5:$U$3004,L1615)&gt;0,"Y","N"))</f>
        <v/>
      </c>
      <c r="Q1615" s="63">
        <f>IF($A1615="","",IF(COUNTIF(집계!$E$7:$E$506,O1615)&gt;0,"Y","N"))</f>
        <v/>
      </c>
    </row>
    <row r="1616">
      <c r="A1616" s="60" t="n">
        <v>2026</v>
      </c>
      <c r="B1616" s="60" t="n">
        <v>9</v>
      </c>
      <c r="C1616" s="60" t="inlineStr">
        <is>
          <t>1000</t>
        </is>
      </c>
      <c r="D1616" s="60" t="n">
        <v>1601</v>
      </c>
      <c r="E1616" s="60" t="inlineStr">
        <is>
          <t>영업지원-본사</t>
        </is>
      </c>
      <c r="F1616" s="60" t="n">
        <v>62102000</v>
      </c>
      <c r="G1616" s="60" t="inlineStr">
        <is>
          <t>여비교통비-해외</t>
        </is>
      </c>
      <c r="H1616" s="61" t="n">
        <v>605360</v>
      </c>
      <c r="J1616" s="63">
        <f>IF($A1616="","",IFERROR(INDEX(부서매핑!$C$5:$C$504,MATCH($D1616&amp;"",부서매핑!$A$5:$A$504,0)),"미매핑"))</f>
        <v/>
      </c>
      <c r="K1616" s="63">
        <f>IF($A1616="","",IFERROR(INDEX(계정매핑!$C$5:$C$504,MATCH($F1616&amp;"",계정매핑!$A$5:$A$504,0)),"미매핑"))</f>
        <v/>
      </c>
      <c r="L1616" s="4">
        <f>IF($A1616="","",VALUE($A1616&amp;""))</f>
        <v/>
      </c>
      <c r="M1616" s="4">
        <f>IF($A1616="","",VALUE($B1616&amp;""))</f>
        <v/>
      </c>
      <c r="N1616" s="64">
        <f>IF($A1616="","",$H1616*설정!$C$15)</f>
        <v/>
      </c>
      <c r="O1616" s="4">
        <f>IF($A1616="","",J1616&amp;"|"&amp;K1616)</f>
        <v/>
      </c>
      <c r="P1616" s="63">
        <f>IF($A1616="","",IF(COUNTIFS(예산_원본!$T$5:$T$3004,O1616,예산_원본!$B$5:$B$3004,설정!$C$8,예산_원본!$U$5:$U$3004,L1616)&gt;0,"Y","N"))</f>
        <v/>
      </c>
      <c r="Q1616" s="63">
        <f>IF($A1616="","",IF(COUNTIF(집계!$E$7:$E$506,O1616)&gt;0,"Y","N"))</f>
        <v/>
      </c>
    </row>
    <row r="1617">
      <c r="A1617" s="60" t="n">
        <v>2026</v>
      </c>
      <c r="B1617" s="60" t="n">
        <v>9</v>
      </c>
      <c r="C1617" s="60" t="inlineStr">
        <is>
          <t>1000</t>
        </is>
      </c>
      <c r="D1617" s="60" t="n">
        <v>1601</v>
      </c>
      <c r="E1617" s="60" t="inlineStr">
        <is>
          <t>영업지원-본사</t>
        </is>
      </c>
      <c r="F1617" s="60" t="n">
        <v>62201000</v>
      </c>
      <c r="G1617" s="60" t="inlineStr">
        <is>
          <t>통신비</t>
        </is>
      </c>
      <c r="H1617" s="61" t="n">
        <v>987140</v>
      </c>
      <c r="J1617" s="63">
        <f>IF($A1617="","",IFERROR(INDEX(부서매핑!$C$5:$C$504,MATCH($D1617&amp;"",부서매핑!$A$5:$A$504,0)),"미매핑"))</f>
        <v/>
      </c>
      <c r="K1617" s="63">
        <f>IF($A1617="","",IFERROR(INDEX(계정매핑!$C$5:$C$504,MATCH($F1617&amp;"",계정매핑!$A$5:$A$504,0)),"미매핑"))</f>
        <v/>
      </c>
      <c r="L1617" s="4">
        <f>IF($A1617="","",VALUE($A1617&amp;""))</f>
        <v/>
      </c>
      <c r="M1617" s="4">
        <f>IF($A1617="","",VALUE($B1617&amp;""))</f>
        <v/>
      </c>
      <c r="N1617" s="64">
        <f>IF($A1617="","",$H1617*설정!$C$15)</f>
        <v/>
      </c>
      <c r="O1617" s="4">
        <f>IF($A1617="","",J1617&amp;"|"&amp;K1617)</f>
        <v/>
      </c>
      <c r="P1617" s="63">
        <f>IF($A1617="","",IF(COUNTIFS(예산_원본!$T$5:$T$3004,O1617,예산_원본!$B$5:$B$3004,설정!$C$8,예산_원본!$U$5:$U$3004,L1617)&gt;0,"Y","N"))</f>
        <v/>
      </c>
      <c r="Q1617" s="63">
        <f>IF($A1617="","",IF(COUNTIF(집계!$E$7:$E$506,O1617)&gt;0,"Y","N"))</f>
        <v/>
      </c>
    </row>
    <row r="1618">
      <c r="A1618" s="60" t="n">
        <v>2026</v>
      </c>
      <c r="B1618" s="60" t="n">
        <v>9</v>
      </c>
      <c r="C1618" s="60" t="inlineStr">
        <is>
          <t>1000</t>
        </is>
      </c>
      <c r="D1618" s="60" t="n">
        <v>1601</v>
      </c>
      <c r="E1618" s="60" t="inlineStr">
        <is>
          <t>영업지원-본사</t>
        </is>
      </c>
      <c r="F1618" s="60" t="n">
        <v>62301000</v>
      </c>
      <c r="G1618" s="60" t="inlineStr">
        <is>
          <t>소모품비</t>
        </is>
      </c>
      <c r="H1618" s="61" t="n">
        <v>630630</v>
      </c>
      <c r="J1618" s="63">
        <f>IF($A1618="","",IFERROR(INDEX(부서매핑!$C$5:$C$504,MATCH($D1618&amp;"",부서매핑!$A$5:$A$504,0)),"미매핑"))</f>
        <v/>
      </c>
      <c r="K1618" s="63">
        <f>IF($A1618="","",IFERROR(INDEX(계정매핑!$C$5:$C$504,MATCH($F1618&amp;"",계정매핑!$A$5:$A$504,0)),"미매핑"))</f>
        <v/>
      </c>
      <c r="L1618" s="4">
        <f>IF($A1618="","",VALUE($A1618&amp;""))</f>
        <v/>
      </c>
      <c r="M1618" s="4">
        <f>IF($A1618="","",VALUE($B1618&amp;""))</f>
        <v/>
      </c>
      <c r="N1618" s="64">
        <f>IF($A1618="","",$H1618*설정!$C$15)</f>
        <v/>
      </c>
      <c r="O1618" s="4">
        <f>IF($A1618="","",J1618&amp;"|"&amp;K1618)</f>
        <v/>
      </c>
      <c r="P1618" s="63">
        <f>IF($A1618="","",IF(COUNTIFS(예산_원본!$T$5:$T$3004,O1618,예산_원본!$B$5:$B$3004,설정!$C$8,예산_원본!$U$5:$U$3004,L1618)&gt;0,"Y","N"))</f>
        <v/>
      </c>
      <c r="Q1618" s="63">
        <f>IF($A1618="","",IF(COUNTIF(집계!$E$7:$E$506,O1618)&gt;0,"Y","N"))</f>
        <v/>
      </c>
    </row>
    <row r="1619">
      <c r="A1619" s="60" t="n">
        <v>2026</v>
      </c>
      <c r="B1619" s="60" t="n">
        <v>9</v>
      </c>
      <c r="C1619" s="60" t="inlineStr">
        <is>
          <t>1000</t>
        </is>
      </c>
      <c r="D1619" s="60" t="n">
        <v>1601</v>
      </c>
      <c r="E1619" s="60" t="inlineStr">
        <is>
          <t>영업지원-본사</t>
        </is>
      </c>
      <c r="F1619" s="60" t="n">
        <v>62501000</v>
      </c>
      <c r="G1619" s="60" t="inlineStr">
        <is>
          <t>회의비</t>
        </is>
      </c>
      <c r="H1619" s="61" t="n">
        <v>977010</v>
      </c>
      <c r="J1619" s="63">
        <f>IF($A1619="","",IFERROR(INDEX(부서매핑!$C$5:$C$504,MATCH($D1619&amp;"",부서매핑!$A$5:$A$504,0)),"미매핑"))</f>
        <v/>
      </c>
      <c r="K1619" s="63">
        <f>IF($A1619="","",IFERROR(INDEX(계정매핑!$C$5:$C$504,MATCH($F1619&amp;"",계정매핑!$A$5:$A$504,0)),"미매핑"))</f>
        <v/>
      </c>
      <c r="L1619" s="4">
        <f>IF($A1619="","",VALUE($A1619&amp;""))</f>
        <v/>
      </c>
      <c r="M1619" s="4">
        <f>IF($A1619="","",VALUE($B1619&amp;""))</f>
        <v/>
      </c>
      <c r="N1619" s="64">
        <f>IF($A1619="","",$H1619*설정!$C$15)</f>
        <v/>
      </c>
      <c r="O1619" s="4">
        <f>IF($A1619="","",J1619&amp;"|"&amp;K1619)</f>
        <v/>
      </c>
      <c r="P1619" s="63">
        <f>IF($A1619="","",IF(COUNTIFS(예산_원본!$T$5:$T$3004,O1619,예산_원본!$B$5:$B$3004,설정!$C$8,예산_원본!$U$5:$U$3004,L1619)&gt;0,"Y","N"))</f>
        <v/>
      </c>
      <c r="Q1619" s="63">
        <f>IF($A1619="","",IF(COUNTIF(집계!$E$7:$E$506,O1619)&gt;0,"Y","N"))</f>
        <v/>
      </c>
    </row>
    <row r="1620">
      <c r="A1620" s="60" t="n">
        <v>2026</v>
      </c>
      <c r="B1620" s="60" t="n">
        <v>9</v>
      </c>
      <c r="C1620" s="60" t="inlineStr">
        <is>
          <t>1000</t>
        </is>
      </c>
      <c r="D1620" s="60" t="n">
        <v>1601</v>
      </c>
      <c r="E1620" s="60" t="inlineStr">
        <is>
          <t>영업지원-본사</t>
        </is>
      </c>
      <c r="F1620" s="60" t="n">
        <v>62601000</v>
      </c>
      <c r="G1620" s="60" t="inlineStr">
        <is>
          <t>업무추진비</t>
        </is>
      </c>
      <c r="H1620" s="61" t="n">
        <v>1646620</v>
      </c>
      <c r="J1620" s="63">
        <f>IF($A1620="","",IFERROR(INDEX(부서매핑!$C$5:$C$504,MATCH($D1620&amp;"",부서매핑!$A$5:$A$504,0)),"미매핑"))</f>
        <v/>
      </c>
      <c r="K1620" s="63">
        <f>IF($A1620="","",IFERROR(INDEX(계정매핑!$C$5:$C$504,MATCH($F1620&amp;"",계정매핑!$A$5:$A$504,0)),"미매핑"))</f>
        <v/>
      </c>
      <c r="L1620" s="4">
        <f>IF($A1620="","",VALUE($A1620&amp;""))</f>
        <v/>
      </c>
      <c r="M1620" s="4">
        <f>IF($A1620="","",VALUE($B1620&amp;""))</f>
        <v/>
      </c>
      <c r="N1620" s="64">
        <f>IF($A1620="","",$H1620*설정!$C$15)</f>
        <v/>
      </c>
      <c r="O1620" s="4">
        <f>IF($A1620="","",J1620&amp;"|"&amp;K1620)</f>
        <v/>
      </c>
      <c r="P1620" s="63">
        <f>IF($A1620="","",IF(COUNTIFS(예산_원본!$T$5:$T$3004,O1620,예산_원본!$B$5:$B$3004,설정!$C$8,예산_원본!$U$5:$U$3004,L1620)&gt;0,"Y","N"))</f>
        <v/>
      </c>
      <c r="Q1620" s="63">
        <f>IF($A1620="","",IF(COUNTIF(집계!$E$7:$E$506,O1620)&gt;0,"Y","N"))</f>
        <v/>
      </c>
    </row>
    <row r="1621">
      <c r="A1621" s="60" t="n">
        <v>2026</v>
      </c>
      <c r="B1621" s="60" t="n">
        <v>9</v>
      </c>
      <c r="C1621" s="60" t="inlineStr">
        <is>
          <t>1000</t>
        </is>
      </c>
      <c r="D1621" s="60" t="n">
        <v>1601</v>
      </c>
      <c r="E1621" s="60" t="inlineStr">
        <is>
          <t>영업지원-본사</t>
        </is>
      </c>
      <c r="F1621" s="60" t="n">
        <v>63101000</v>
      </c>
      <c r="G1621" s="60" t="inlineStr">
        <is>
          <t>임차료</t>
        </is>
      </c>
      <c r="H1621" s="61" t="n">
        <v>9477750</v>
      </c>
      <c r="J1621" s="63">
        <f>IF($A1621="","",IFERROR(INDEX(부서매핑!$C$5:$C$504,MATCH($D1621&amp;"",부서매핑!$A$5:$A$504,0)),"미매핑"))</f>
        <v/>
      </c>
      <c r="K1621" s="63">
        <f>IF($A1621="","",IFERROR(INDEX(계정매핑!$C$5:$C$504,MATCH($F1621&amp;"",계정매핑!$A$5:$A$504,0)),"미매핑"))</f>
        <v/>
      </c>
      <c r="L1621" s="4">
        <f>IF($A1621="","",VALUE($A1621&amp;""))</f>
        <v/>
      </c>
      <c r="M1621" s="4">
        <f>IF($A1621="","",VALUE($B1621&amp;""))</f>
        <v/>
      </c>
      <c r="N1621" s="64">
        <f>IF($A1621="","",$H1621*설정!$C$15)</f>
        <v/>
      </c>
      <c r="O1621" s="4">
        <f>IF($A1621="","",J1621&amp;"|"&amp;K1621)</f>
        <v/>
      </c>
      <c r="P1621" s="63">
        <f>IF($A1621="","",IF(COUNTIFS(예산_원본!$T$5:$T$3004,O1621,예산_원본!$B$5:$B$3004,설정!$C$8,예산_원본!$U$5:$U$3004,L1621)&gt;0,"Y","N"))</f>
        <v/>
      </c>
      <c r="Q1621" s="63">
        <f>IF($A1621="","",IF(COUNTIF(집계!$E$7:$E$506,O1621)&gt;0,"Y","N"))</f>
        <v/>
      </c>
    </row>
    <row r="1622">
      <c r="A1622" s="60" t="n">
        <v>2026</v>
      </c>
      <c r="B1622" s="60" t="n">
        <v>9</v>
      </c>
      <c r="C1622" s="60" t="inlineStr">
        <is>
          <t>1000</t>
        </is>
      </c>
      <c r="D1622" s="60" t="n">
        <v>1601</v>
      </c>
      <c r="E1622" s="60" t="inlineStr">
        <is>
          <t>영업지원-본사</t>
        </is>
      </c>
      <c r="F1622" s="60" t="n">
        <v>63201000</v>
      </c>
      <c r="G1622" s="60" t="inlineStr">
        <is>
          <t>차량유지비</t>
        </is>
      </c>
      <c r="H1622" s="61" t="n">
        <v>4982920</v>
      </c>
      <c r="J1622" s="63">
        <f>IF($A1622="","",IFERROR(INDEX(부서매핑!$C$5:$C$504,MATCH($D1622&amp;"",부서매핑!$A$5:$A$504,0)),"미매핑"))</f>
        <v/>
      </c>
      <c r="K1622" s="63">
        <f>IF($A1622="","",IFERROR(INDEX(계정매핑!$C$5:$C$504,MATCH($F1622&amp;"",계정매핑!$A$5:$A$504,0)),"미매핑"))</f>
        <v/>
      </c>
      <c r="L1622" s="4">
        <f>IF($A1622="","",VALUE($A1622&amp;""))</f>
        <v/>
      </c>
      <c r="M1622" s="4">
        <f>IF($A1622="","",VALUE($B1622&amp;""))</f>
        <v/>
      </c>
      <c r="N1622" s="64">
        <f>IF($A1622="","",$H1622*설정!$C$15)</f>
        <v/>
      </c>
      <c r="O1622" s="4">
        <f>IF($A1622="","",J1622&amp;"|"&amp;K1622)</f>
        <v/>
      </c>
      <c r="P1622" s="63">
        <f>IF($A1622="","",IF(COUNTIFS(예산_원본!$T$5:$T$3004,O1622,예산_원본!$B$5:$B$3004,설정!$C$8,예산_원본!$U$5:$U$3004,L1622)&gt;0,"Y","N"))</f>
        <v/>
      </c>
      <c r="Q1622" s="63">
        <f>IF($A1622="","",IF(COUNTIF(집계!$E$7:$E$506,O1622)&gt;0,"Y","N"))</f>
        <v/>
      </c>
    </row>
    <row r="1623">
      <c r="A1623" s="60" t="n">
        <v>2026</v>
      </c>
      <c r="B1623" s="60" t="n">
        <v>9</v>
      </c>
      <c r="C1623" s="60" t="inlineStr">
        <is>
          <t>1000</t>
        </is>
      </c>
      <c r="D1623" s="60" t="n">
        <v>1602</v>
      </c>
      <c r="E1623" s="60" t="inlineStr">
        <is>
          <t>영업지원-지역본부</t>
        </is>
      </c>
      <c r="F1623" s="60" t="n">
        <v>62101000</v>
      </c>
      <c r="G1623" s="60" t="inlineStr">
        <is>
          <t>여비교통비-국내</t>
        </is>
      </c>
      <c r="H1623" s="61" t="n">
        <v>2772770</v>
      </c>
      <c r="J1623" s="63">
        <f>IF($A1623="","",IFERROR(INDEX(부서매핑!$C$5:$C$504,MATCH($D1623&amp;"",부서매핑!$A$5:$A$504,0)),"미매핑"))</f>
        <v/>
      </c>
      <c r="K1623" s="63">
        <f>IF($A1623="","",IFERROR(INDEX(계정매핑!$C$5:$C$504,MATCH($F1623&amp;"",계정매핑!$A$5:$A$504,0)),"미매핑"))</f>
        <v/>
      </c>
      <c r="L1623" s="4">
        <f>IF($A1623="","",VALUE($A1623&amp;""))</f>
        <v/>
      </c>
      <c r="M1623" s="4">
        <f>IF($A1623="","",VALUE($B1623&amp;""))</f>
        <v/>
      </c>
      <c r="N1623" s="64">
        <f>IF($A1623="","",$H1623*설정!$C$15)</f>
        <v/>
      </c>
      <c r="O1623" s="4">
        <f>IF($A1623="","",J1623&amp;"|"&amp;K1623)</f>
        <v/>
      </c>
      <c r="P1623" s="63">
        <f>IF($A1623="","",IF(COUNTIFS(예산_원본!$T$5:$T$3004,O1623,예산_원본!$B$5:$B$3004,설정!$C$8,예산_원본!$U$5:$U$3004,L1623)&gt;0,"Y","N"))</f>
        <v/>
      </c>
      <c r="Q1623" s="63">
        <f>IF($A1623="","",IF(COUNTIF(집계!$E$7:$E$506,O1623)&gt;0,"Y","N"))</f>
        <v/>
      </c>
    </row>
    <row r="1624">
      <c r="A1624" s="60" t="n">
        <v>2026</v>
      </c>
      <c r="B1624" s="60" t="n">
        <v>9</v>
      </c>
      <c r="C1624" s="60" t="inlineStr">
        <is>
          <t>1000</t>
        </is>
      </c>
      <c r="D1624" s="60" t="n">
        <v>1602</v>
      </c>
      <c r="E1624" s="60" t="inlineStr">
        <is>
          <t>영업지원-지역본부</t>
        </is>
      </c>
      <c r="F1624" s="60" t="n">
        <v>62102000</v>
      </c>
      <c r="G1624" s="60" t="inlineStr">
        <is>
          <t>여비교통비-해외</t>
        </is>
      </c>
      <c r="H1624" s="61" t="n">
        <v>521520</v>
      </c>
      <c r="J1624" s="63">
        <f>IF($A1624="","",IFERROR(INDEX(부서매핑!$C$5:$C$504,MATCH($D1624&amp;"",부서매핑!$A$5:$A$504,0)),"미매핑"))</f>
        <v/>
      </c>
      <c r="K1624" s="63">
        <f>IF($A1624="","",IFERROR(INDEX(계정매핑!$C$5:$C$504,MATCH($F1624&amp;"",계정매핑!$A$5:$A$504,0)),"미매핑"))</f>
        <v/>
      </c>
      <c r="L1624" s="4">
        <f>IF($A1624="","",VALUE($A1624&amp;""))</f>
        <v/>
      </c>
      <c r="M1624" s="4">
        <f>IF($A1624="","",VALUE($B1624&amp;""))</f>
        <v/>
      </c>
      <c r="N1624" s="64">
        <f>IF($A1624="","",$H1624*설정!$C$15)</f>
        <v/>
      </c>
      <c r="O1624" s="4">
        <f>IF($A1624="","",J1624&amp;"|"&amp;K1624)</f>
        <v/>
      </c>
      <c r="P1624" s="63">
        <f>IF($A1624="","",IF(COUNTIFS(예산_원본!$T$5:$T$3004,O1624,예산_원본!$B$5:$B$3004,설정!$C$8,예산_원본!$U$5:$U$3004,L1624)&gt;0,"Y","N"))</f>
        <v/>
      </c>
      <c r="Q1624" s="63">
        <f>IF($A1624="","",IF(COUNTIF(집계!$E$7:$E$506,O1624)&gt;0,"Y","N"))</f>
        <v/>
      </c>
    </row>
    <row r="1625">
      <c r="A1625" s="60" t="n">
        <v>2026</v>
      </c>
      <c r="B1625" s="60" t="n">
        <v>9</v>
      </c>
      <c r="C1625" s="60" t="inlineStr">
        <is>
          <t>1000</t>
        </is>
      </c>
      <c r="D1625" s="60" t="n">
        <v>1602</v>
      </c>
      <c r="E1625" s="60" t="inlineStr">
        <is>
          <t>영업지원-지역본부</t>
        </is>
      </c>
      <c r="F1625" s="60" t="n">
        <v>62201000</v>
      </c>
      <c r="G1625" s="60" t="inlineStr">
        <is>
          <t>통신비</t>
        </is>
      </c>
      <c r="H1625" s="61" t="n">
        <v>835610</v>
      </c>
      <c r="J1625" s="63">
        <f>IF($A1625="","",IFERROR(INDEX(부서매핑!$C$5:$C$504,MATCH($D1625&amp;"",부서매핑!$A$5:$A$504,0)),"미매핑"))</f>
        <v/>
      </c>
      <c r="K1625" s="63">
        <f>IF($A1625="","",IFERROR(INDEX(계정매핑!$C$5:$C$504,MATCH($F1625&amp;"",계정매핑!$A$5:$A$504,0)),"미매핑"))</f>
        <v/>
      </c>
      <c r="L1625" s="4">
        <f>IF($A1625="","",VALUE($A1625&amp;""))</f>
        <v/>
      </c>
      <c r="M1625" s="4">
        <f>IF($A1625="","",VALUE($B1625&amp;""))</f>
        <v/>
      </c>
      <c r="N1625" s="64">
        <f>IF($A1625="","",$H1625*설정!$C$15)</f>
        <v/>
      </c>
      <c r="O1625" s="4">
        <f>IF($A1625="","",J1625&amp;"|"&amp;K1625)</f>
        <v/>
      </c>
      <c r="P1625" s="63">
        <f>IF($A1625="","",IF(COUNTIFS(예산_원본!$T$5:$T$3004,O1625,예산_원본!$B$5:$B$3004,설정!$C$8,예산_원본!$U$5:$U$3004,L1625)&gt;0,"Y","N"))</f>
        <v/>
      </c>
      <c r="Q1625" s="63">
        <f>IF($A1625="","",IF(COUNTIF(집계!$E$7:$E$506,O1625)&gt;0,"Y","N"))</f>
        <v/>
      </c>
    </row>
    <row r="1626">
      <c r="A1626" s="60" t="n">
        <v>2026</v>
      </c>
      <c r="B1626" s="60" t="n">
        <v>9</v>
      </c>
      <c r="C1626" s="60" t="inlineStr">
        <is>
          <t>1000</t>
        </is>
      </c>
      <c r="D1626" s="60" t="n">
        <v>1602</v>
      </c>
      <c r="E1626" s="60" t="inlineStr">
        <is>
          <t>영업지원-지역본부</t>
        </is>
      </c>
      <c r="F1626" s="60" t="n">
        <v>62301000</v>
      </c>
      <c r="G1626" s="60" t="inlineStr">
        <is>
          <t>소모품비</t>
        </is>
      </c>
      <c r="H1626" s="61" t="n">
        <v>582280</v>
      </c>
      <c r="J1626" s="63">
        <f>IF($A1626="","",IFERROR(INDEX(부서매핑!$C$5:$C$504,MATCH($D1626&amp;"",부서매핑!$A$5:$A$504,0)),"미매핑"))</f>
        <v/>
      </c>
      <c r="K1626" s="63">
        <f>IF($A1626="","",IFERROR(INDEX(계정매핑!$C$5:$C$504,MATCH($F1626&amp;"",계정매핑!$A$5:$A$504,0)),"미매핑"))</f>
        <v/>
      </c>
      <c r="L1626" s="4">
        <f>IF($A1626="","",VALUE($A1626&amp;""))</f>
        <v/>
      </c>
      <c r="M1626" s="4">
        <f>IF($A1626="","",VALUE($B1626&amp;""))</f>
        <v/>
      </c>
      <c r="N1626" s="64">
        <f>IF($A1626="","",$H1626*설정!$C$15)</f>
        <v/>
      </c>
      <c r="O1626" s="4">
        <f>IF($A1626="","",J1626&amp;"|"&amp;K1626)</f>
        <v/>
      </c>
      <c r="P1626" s="63">
        <f>IF($A1626="","",IF(COUNTIFS(예산_원본!$T$5:$T$3004,O1626,예산_원본!$B$5:$B$3004,설정!$C$8,예산_원본!$U$5:$U$3004,L1626)&gt;0,"Y","N"))</f>
        <v/>
      </c>
      <c r="Q1626" s="63">
        <f>IF($A1626="","",IF(COUNTIF(집계!$E$7:$E$506,O1626)&gt;0,"Y","N"))</f>
        <v/>
      </c>
    </row>
    <row r="1627">
      <c r="A1627" s="60" t="n">
        <v>2026</v>
      </c>
      <c r="B1627" s="60" t="n">
        <v>9</v>
      </c>
      <c r="C1627" s="60" t="inlineStr">
        <is>
          <t>1000</t>
        </is>
      </c>
      <c r="D1627" s="60" t="n">
        <v>1602</v>
      </c>
      <c r="E1627" s="60" t="inlineStr">
        <is>
          <t>영업지원-지역본부</t>
        </is>
      </c>
      <c r="F1627" s="60" t="n">
        <v>62501000</v>
      </c>
      <c r="G1627" s="60" t="inlineStr">
        <is>
          <t>회의비</t>
        </is>
      </c>
      <c r="H1627" s="61" t="n">
        <v>680670</v>
      </c>
      <c r="J1627" s="63">
        <f>IF($A1627="","",IFERROR(INDEX(부서매핑!$C$5:$C$504,MATCH($D1627&amp;"",부서매핑!$A$5:$A$504,0)),"미매핑"))</f>
        <v/>
      </c>
      <c r="K1627" s="63">
        <f>IF($A1627="","",IFERROR(INDEX(계정매핑!$C$5:$C$504,MATCH($F1627&amp;"",계정매핑!$A$5:$A$504,0)),"미매핑"))</f>
        <v/>
      </c>
      <c r="L1627" s="4">
        <f>IF($A1627="","",VALUE($A1627&amp;""))</f>
        <v/>
      </c>
      <c r="M1627" s="4">
        <f>IF($A1627="","",VALUE($B1627&amp;""))</f>
        <v/>
      </c>
      <c r="N1627" s="64">
        <f>IF($A1627="","",$H1627*설정!$C$15)</f>
        <v/>
      </c>
      <c r="O1627" s="4">
        <f>IF($A1627="","",J1627&amp;"|"&amp;K1627)</f>
        <v/>
      </c>
      <c r="P1627" s="63">
        <f>IF($A1627="","",IF(COUNTIFS(예산_원본!$T$5:$T$3004,O1627,예산_원본!$B$5:$B$3004,설정!$C$8,예산_원본!$U$5:$U$3004,L1627)&gt;0,"Y","N"))</f>
        <v/>
      </c>
      <c r="Q1627" s="63">
        <f>IF($A1627="","",IF(COUNTIF(집계!$E$7:$E$506,O1627)&gt;0,"Y","N"))</f>
        <v/>
      </c>
    </row>
    <row r="1628">
      <c r="A1628" s="60" t="n">
        <v>2026</v>
      </c>
      <c r="B1628" s="60" t="n">
        <v>9</v>
      </c>
      <c r="C1628" s="60" t="inlineStr">
        <is>
          <t>1000</t>
        </is>
      </c>
      <c r="D1628" s="60" t="n">
        <v>1602</v>
      </c>
      <c r="E1628" s="60" t="inlineStr">
        <is>
          <t>영업지원-지역본부</t>
        </is>
      </c>
      <c r="F1628" s="60" t="n">
        <v>62601000</v>
      </c>
      <c r="G1628" s="60" t="inlineStr">
        <is>
          <t>업무추진비</t>
        </is>
      </c>
      <c r="H1628" s="61" t="n">
        <v>1430230</v>
      </c>
      <c r="J1628" s="63">
        <f>IF($A1628="","",IFERROR(INDEX(부서매핑!$C$5:$C$504,MATCH($D1628&amp;"",부서매핑!$A$5:$A$504,0)),"미매핑"))</f>
        <v/>
      </c>
      <c r="K1628" s="63">
        <f>IF($A1628="","",IFERROR(INDEX(계정매핑!$C$5:$C$504,MATCH($F1628&amp;"",계정매핑!$A$5:$A$504,0)),"미매핑"))</f>
        <v/>
      </c>
      <c r="L1628" s="4">
        <f>IF($A1628="","",VALUE($A1628&amp;""))</f>
        <v/>
      </c>
      <c r="M1628" s="4">
        <f>IF($A1628="","",VALUE($B1628&amp;""))</f>
        <v/>
      </c>
      <c r="N1628" s="64">
        <f>IF($A1628="","",$H1628*설정!$C$15)</f>
        <v/>
      </c>
      <c r="O1628" s="4">
        <f>IF($A1628="","",J1628&amp;"|"&amp;K1628)</f>
        <v/>
      </c>
      <c r="P1628" s="63">
        <f>IF($A1628="","",IF(COUNTIFS(예산_원본!$T$5:$T$3004,O1628,예산_원본!$B$5:$B$3004,설정!$C$8,예산_원본!$U$5:$U$3004,L1628)&gt;0,"Y","N"))</f>
        <v/>
      </c>
      <c r="Q1628" s="63">
        <f>IF($A1628="","",IF(COUNTIF(집계!$E$7:$E$506,O1628)&gt;0,"Y","N"))</f>
        <v/>
      </c>
    </row>
    <row r="1629">
      <c r="A1629" s="60" t="n">
        <v>2026</v>
      </c>
      <c r="B1629" s="60" t="n">
        <v>9</v>
      </c>
      <c r="C1629" s="60" t="inlineStr">
        <is>
          <t>1000</t>
        </is>
      </c>
      <c r="D1629" s="60" t="n">
        <v>1602</v>
      </c>
      <c r="E1629" s="60" t="inlineStr">
        <is>
          <t>영업지원-지역본부</t>
        </is>
      </c>
      <c r="F1629" s="60" t="n">
        <v>63101000</v>
      </c>
      <c r="G1629" s="60" t="inlineStr">
        <is>
          <t>임차료</t>
        </is>
      </c>
      <c r="H1629" s="61" t="n">
        <v>7347010</v>
      </c>
      <c r="J1629" s="63">
        <f>IF($A1629="","",IFERROR(INDEX(부서매핑!$C$5:$C$504,MATCH($D1629&amp;"",부서매핑!$A$5:$A$504,0)),"미매핑"))</f>
        <v/>
      </c>
      <c r="K1629" s="63">
        <f>IF($A1629="","",IFERROR(INDEX(계정매핑!$C$5:$C$504,MATCH($F1629&amp;"",계정매핑!$A$5:$A$504,0)),"미매핑"))</f>
        <v/>
      </c>
      <c r="L1629" s="4">
        <f>IF($A1629="","",VALUE($A1629&amp;""))</f>
        <v/>
      </c>
      <c r="M1629" s="4">
        <f>IF($A1629="","",VALUE($B1629&amp;""))</f>
        <v/>
      </c>
      <c r="N1629" s="64">
        <f>IF($A1629="","",$H1629*설정!$C$15)</f>
        <v/>
      </c>
      <c r="O1629" s="4">
        <f>IF($A1629="","",J1629&amp;"|"&amp;K1629)</f>
        <v/>
      </c>
      <c r="P1629" s="63">
        <f>IF($A1629="","",IF(COUNTIFS(예산_원본!$T$5:$T$3004,O1629,예산_원본!$B$5:$B$3004,설정!$C$8,예산_원본!$U$5:$U$3004,L1629)&gt;0,"Y","N"))</f>
        <v/>
      </c>
      <c r="Q1629" s="63">
        <f>IF($A1629="","",IF(COUNTIF(집계!$E$7:$E$506,O1629)&gt;0,"Y","N"))</f>
        <v/>
      </c>
    </row>
    <row r="1630">
      <c r="A1630" s="60" t="n">
        <v>2026</v>
      </c>
      <c r="B1630" s="60" t="n">
        <v>9</v>
      </c>
      <c r="C1630" s="60" t="inlineStr">
        <is>
          <t>1000</t>
        </is>
      </c>
      <c r="D1630" s="60" t="n">
        <v>1602</v>
      </c>
      <c r="E1630" s="60" t="inlineStr">
        <is>
          <t>영업지원-지역본부</t>
        </is>
      </c>
      <c r="F1630" s="60" t="n">
        <v>63201000</v>
      </c>
      <c r="G1630" s="60" t="inlineStr">
        <is>
          <t>차량유지비</t>
        </is>
      </c>
      <c r="H1630" s="61" t="n">
        <v>4055500</v>
      </c>
      <c r="J1630" s="63">
        <f>IF($A1630="","",IFERROR(INDEX(부서매핑!$C$5:$C$504,MATCH($D1630&amp;"",부서매핑!$A$5:$A$504,0)),"미매핑"))</f>
        <v/>
      </c>
      <c r="K1630" s="63">
        <f>IF($A1630="","",IFERROR(INDEX(계정매핑!$C$5:$C$504,MATCH($F1630&amp;"",계정매핑!$A$5:$A$504,0)),"미매핑"))</f>
        <v/>
      </c>
      <c r="L1630" s="4">
        <f>IF($A1630="","",VALUE($A1630&amp;""))</f>
        <v/>
      </c>
      <c r="M1630" s="4">
        <f>IF($A1630="","",VALUE($B1630&amp;""))</f>
        <v/>
      </c>
      <c r="N1630" s="64">
        <f>IF($A1630="","",$H1630*설정!$C$15)</f>
        <v/>
      </c>
      <c r="O1630" s="4">
        <f>IF($A1630="","",J1630&amp;"|"&amp;K1630)</f>
        <v/>
      </c>
      <c r="P1630" s="63">
        <f>IF($A1630="","",IF(COUNTIFS(예산_원본!$T$5:$T$3004,O1630,예산_원본!$B$5:$B$3004,설정!$C$8,예산_원본!$U$5:$U$3004,L1630)&gt;0,"Y","N"))</f>
        <v/>
      </c>
      <c r="Q1630" s="63">
        <f>IF($A1630="","",IF(COUNTIF(집계!$E$7:$E$506,O1630)&gt;0,"Y","N"))</f>
        <v/>
      </c>
    </row>
    <row r="1631">
      <c r="A1631" s="60" t="n">
        <v>2026</v>
      </c>
      <c r="B1631" s="60" t="n">
        <v>9</v>
      </c>
      <c r="C1631" s="60" t="inlineStr">
        <is>
          <t>1000</t>
        </is>
      </c>
      <c r="D1631" s="60" t="n">
        <v>1701</v>
      </c>
      <c r="E1631" s="60" t="inlineStr">
        <is>
          <t>IT운영</t>
        </is>
      </c>
      <c r="F1631" s="60" t="n">
        <v>62101000</v>
      </c>
      <c r="G1631" s="60" t="inlineStr">
        <is>
          <t>여비교통비-국내</t>
        </is>
      </c>
      <c r="H1631" s="61" t="n">
        <v>1071750</v>
      </c>
      <c r="J1631" s="63">
        <f>IF($A1631="","",IFERROR(INDEX(부서매핑!$C$5:$C$504,MATCH($D1631&amp;"",부서매핑!$A$5:$A$504,0)),"미매핑"))</f>
        <v/>
      </c>
      <c r="K1631" s="63">
        <f>IF($A1631="","",IFERROR(INDEX(계정매핑!$C$5:$C$504,MATCH($F1631&amp;"",계정매핑!$A$5:$A$504,0)),"미매핑"))</f>
        <v/>
      </c>
      <c r="L1631" s="4">
        <f>IF($A1631="","",VALUE($A1631&amp;""))</f>
        <v/>
      </c>
      <c r="M1631" s="4">
        <f>IF($A1631="","",VALUE($B1631&amp;""))</f>
        <v/>
      </c>
      <c r="N1631" s="64">
        <f>IF($A1631="","",$H1631*설정!$C$15)</f>
        <v/>
      </c>
      <c r="O1631" s="4">
        <f>IF($A1631="","",J1631&amp;"|"&amp;K1631)</f>
        <v/>
      </c>
      <c r="P1631" s="63">
        <f>IF($A1631="","",IF(COUNTIFS(예산_원본!$T$5:$T$3004,O1631,예산_원본!$B$5:$B$3004,설정!$C$8,예산_원본!$U$5:$U$3004,L1631)&gt;0,"Y","N"))</f>
        <v/>
      </c>
      <c r="Q1631" s="63">
        <f>IF($A1631="","",IF(COUNTIF(집계!$E$7:$E$506,O1631)&gt;0,"Y","N"))</f>
        <v/>
      </c>
    </row>
    <row r="1632">
      <c r="A1632" s="60" t="n">
        <v>2026</v>
      </c>
      <c r="B1632" s="60" t="n">
        <v>9</v>
      </c>
      <c r="C1632" s="60" t="inlineStr">
        <is>
          <t>1000</t>
        </is>
      </c>
      <c r="D1632" s="60" t="n">
        <v>1701</v>
      </c>
      <c r="E1632" s="60" t="inlineStr">
        <is>
          <t>IT운영</t>
        </is>
      </c>
      <c r="F1632" s="60" t="n">
        <v>62102000</v>
      </c>
      <c r="G1632" s="60" t="inlineStr">
        <is>
          <t>여비교통비-해외</t>
        </is>
      </c>
      <c r="H1632" s="61" t="n">
        <v>164600</v>
      </c>
      <c r="J1632" s="63">
        <f>IF($A1632="","",IFERROR(INDEX(부서매핑!$C$5:$C$504,MATCH($D1632&amp;"",부서매핑!$A$5:$A$504,0)),"미매핑"))</f>
        <v/>
      </c>
      <c r="K1632" s="63">
        <f>IF($A1632="","",IFERROR(INDEX(계정매핑!$C$5:$C$504,MATCH($F1632&amp;"",계정매핑!$A$5:$A$504,0)),"미매핑"))</f>
        <v/>
      </c>
      <c r="L1632" s="4">
        <f>IF($A1632="","",VALUE($A1632&amp;""))</f>
        <v/>
      </c>
      <c r="M1632" s="4">
        <f>IF($A1632="","",VALUE($B1632&amp;""))</f>
        <v/>
      </c>
      <c r="N1632" s="64">
        <f>IF($A1632="","",$H1632*설정!$C$15)</f>
        <v/>
      </c>
      <c r="O1632" s="4">
        <f>IF($A1632="","",J1632&amp;"|"&amp;K1632)</f>
        <v/>
      </c>
      <c r="P1632" s="63">
        <f>IF($A1632="","",IF(COUNTIFS(예산_원본!$T$5:$T$3004,O1632,예산_원본!$B$5:$B$3004,설정!$C$8,예산_원본!$U$5:$U$3004,L1632)&gt;0,"Y","N"))</f>
        <v/>
      </c>
      <c r="Q1632" s="63">
        <f>IF($A1632="","",IF(COUNTIF(집계!$E$7:$E$506,O1632)&gt;0,"Y","N"))</f>
        <v/>
      </c>
    </row>
    <row r="1633">
      <c r="A1633" s="60" t="n">
        <v>2026</v>
      </c>
      <c r="B1633" s="60" t="n">
        <v>9</v>
      </c>
      <c r="C1633" s="60" t="inlineStr">
        <is>
          <t>1000</t>
        </is>
      </c>
      <c r="D1633" s="60" t="n">
        <v>1701</v>
      </c>
      <c r="E1633" s="60" t="inlineStr">
        <is>
          <t>IT운영</t>
        </is>
      </c>
      <c r="F1633" s="60" t="n">
        <v>62201000</v>
      </c>
      <c r="G1633" s="60" t="inlineStr">
        <is>
          <t>통신비</t>
        </is>
      </c>
      <c r="H1633" s="61" t="n">
        <v>15568160</v>
      </c>
      <c r="J1633" s="63">
        <f>IF($A1633="","",IFERROR(INDEX(부서매핑!$C$5:$C$504,MATCH($D1633&amp;"",부서매핑!$A$5:$A$504,0)),"미매핑"))</f>
        <v/>
      </c>
      <c r="K1633" s="63">
        <f>IF($A1633="","",IFERROR(INDEX(계정매핑!$C$5:$C$504,MATCH($F1633&amp;"",계정매핑!$A$5:$A$504,0)),"미매핑"))</f>
        <v/>
      </c>
      <c r="L1633" s="4">
        <f>IF($A1633="","",VALUE($A1633&amp;""))</f>
        <v/>
      </c>
      <c r="M1633" s="4">
        <f>IF($A1633="","",VALUE($B1633&amp;""))</f>
        <v/>
      </c>
      <c r="N1633" s="64">
        <f>IF($A1633="","",$H1633*설정!$C$15)</f>
        <v/>
      </c>
      <c r="O1633" s="4">
        <f>IF($A1633="","",J1633&amp;"|"&amp;K1633)</f>
        <v/>
      </c>
      <c r="P1633" s="63">
        <f>IF($A1633="","",IF(COUNTIFS(예산_원본!$T$5:$T$3004,O1633,예산_원본!$B$5:$B$3004,설정!$C$8,예산_원본!$U$5:$U$3004,L1633)&gt;0,"Y","N"))</f>
        <v/>
      </c>
      <c r="Q1633" s="63">
        <f>IF($A1633="","",IF(COUNTIF(집계!$E$7:$E$506,O1633)&gt;0,"Y","N"))</f>
        <v/>
      </c>
    </row>
    <row r="1634">
      <c r="A1634" s="60" t="n">
        <v>2026</v>
      </c>
      <c r="B1634" s="60" t="n">
        <v>9</v>
      </c>
      <c r="C1634" s="60" t="inlineStr">
        <is>
          <t>1000</t>
        </is>
      </c>
      <c r="D1634" s="60" t="n">
        <v>1701</v>
      </c>
      <c r="E1634" s="60" t="inlineStr">
        <is>
          <t>IT운영</t>
        </is>
      </c>
      <c r="F1634" s="60" t="n">
        <v>62301000</v>
      </c>
      <c r="G1634" s="60" t="inlineStr">
        <is>
          <t>소모품비</t>
        </is>
      </c>
      <c r="H1634" s="61" t="n">
        <v>1194610</v>
      </c>
      <c r="J1634" s="63">
        <f>IF($A1634="","",IFERROR(INDEX(부서매핑!$C$5:$C$504,MATCH($D1634&amp;"",부서매핑!$A$5:$A$504,0)),"미매핑"))</f>
        <v/>
      </c>
      <c r="K1634" s="63">
        <f>IF($A1634="","",IFERROR(INDEX(계정매핑!$C$5:$C$504,MATCH($F1634&amp;"",계정매핑!$A$5:$A$504,0)),"미매핑"))</f>
        <v/>
      </c>
      <c r="L1634" s="4">
        <f>IF($A1634="","",VALUE($A1634&amp;""))</f>
        <v/>
      </c>
      <c r="M1634" s="4">
        <f>IF($A1634="","",VALUE($B1634&amp;""))</f>
        <v/>
      </c>
      <c r="N1634" s="64">
        <f>IF($A1634="","",$H1634*설정!$C$15)</f>
        <v/>
      </c>
      <c r="O1634" s="4">
        <f>IF($A1634="","",J1634&amp;"|"&amp;K1634)</f>
        <v/>
      </c>
      <c r="P1634" s="63">
        <f>IF($A1634="","",IF(COUNTIFS(예산_원본!$T$5:$T$3004,O1634,예산_원본!$B$5:$B$3004,설정!$C$8,예산_원본!$U$5:$U$3004,L1634)&gt;0,"Y","N"))</f>
        <v/>
      </c>
      <c r="Q1634" s="63">
        <f>IF($A1634="","",IF(COUNTIF(집계!$E$7:$E$506,O1634)&gt;0,"Y","N"))</f>
        <v/>
      </c>
    </row>
    <row r="1635">
      <c r="A1635" s="60" t="n">
        <v>2026</v>
      </c>
      <c r="B1635" s="60" t="n">
        <v>9</v>
      </c>
      <c r="C1635" s="60" t="inlineStr">
        <is>
          <t>1000</t>
        </is>
      </c>
      <c r="D1635" s="60" t="n">
        <v>1701</v>
      </c>
      <c r="E1635" s="60" t="inlineStr">
        <is>
          <t>IT운영</t>
        </is>
      </c>
      <c r="F1635" s="60" t="n">
        <v>62501000</v>
      </c>
      <c r="G1635" s="60" t="inlineStr">
        <is>
          <t>회의비</t>
        </is>
      </c>
      <c r="H1635" s="61" t="n">
        <v>381560</v>
      </c>
      <c r="J1635" s="63">
        <f>IF($A1635="","",IFERROR(INDEX(부서매핑!$C$5:$C$504,MATCH($D1635&amp;"",부서매핑!$A$5:$A$504,0)),"미매핑"))</f>
        <v/>
      </c>
      <c r="K1635" s="63">
        <f>IF($A1635="","",IFERROR(INDEX(계정매핑!$C$5:$C$504,MATCH($F1635&amp;"",계정매핑!$A$5:$A$504,0)),"미매핑"))</f>
        <v/>
      </c>
      <c r="L1635" s="4">
        <f>IF($A1635="","",VALUE($A1635&amp;""))</f>
        <v/>
      </c>
      <c r="M1635" s="4">
        <f>IF($A1635="","",VALUE($B1635&amp;""))</f>
        <v/>
      </c>
      <c r="N1635" s="64">
        <f>IF($A1635="","",$H1635*설정!$C$15)</f>
        <v/>
      </c>
      <c r="O1635" s="4">
        <f>IF($A1635="","",J1635&amp;"|"&amp;K1635)</f>
        <v/>
      </c>
      <c r="P1635" s="63">
        <f>IF($A1635="","",IF(COUNTIFS(예산_원본!$T$5:$T$3004,O1635,예산_원본!$B$5:$B$3004,설정!$C$8,예산_원본!$U$5:$U$3004,L1635)&gt;0,"Y","N"))</f>
        <v/>
      </c>
      <c r="Q1635" s="63">
        <f>IF($A1635="","",IF(COUNTIF(집계!$E$7:$E$506,O1635)&gt;0,"Y","N"))</f>
        <v/>
      </c>
    </row>
    <row r="1636">
      <c r="A1636" s="60" t="n">
        <v>2026</v>
      </c>
      <c r="B1636" s="60" t="n">
        <v>9</v>
      </c>
      <c r="C1636" s="60" t="inlineStr">
        <is>
          <t>1000</t>
        </is>
      </c>
      <c r="D1636" s="60" t="n">
        <v>1701</v>
      </c>
      <c r="E1636" s="60" t="inlineStr">
        <is>
          <t>IT운영</t>
        </is>
      </c>
      <c r="F1636" s="60" t="n">
        <v>63001000</v>
      </c>
      <c r="G1636" s="60" t="inlineStr">
        <is>
          <t>전산운영비-SW유지보수</t>
        </is>
      </c>
      <c r="H1636" s="61" t="n">
        <v>133972260</v>
      </c>
      <c r="J1636" s="63">
        <f>IF($A1636="","",IFERROR(INDEX(부서매핑!$C$5:$C$504,MATCH($D1636&amp;"",부서매핑!$A$5:$A$504,0)),"미매핑"))</f>
        <v/>
      </c>
      <c r="K1636" s="63">
        <f>IF($A1636="","",IFERROR(INDEX(계정매핑!$C$5:$C$504,MATCH($F1636&amp;"",계정매핑!$A$5:$A$504,0)),"미매핑"))</f>
        <v/>
      </c>
      <c r="L1636" s="4">
        <f>IF($A1636="","",VALUE($A1636&amp;""))</f>
        <v/>
      </c>
      <c r="M1636" s="4">
        <f>IF($A1636="","",VALUE($B1636&amp;""))</f>
        <v/>
      </c>
      <c r="N1636" s="64">
        <f>IF($A1636="","",$H1636*설정!$C$15)</f>
        <v/>
      </c>
      <c r="O1636" s="4">
        <f>IF($A1636="","",J1636&amp;"|"&amp;K1636)</f>
        <v/>
      </c>
      <c r="P1636" s="63">
        <f>IF($A1636="","",IF(COUNTIFS(예산_원본!$T$5:$T$3004,O1636,예산_원본!$B$5:$B$3004,설정!$C$8,예산_원본!$U$5:$U$3004,L1636)&gt;0,"Y","N"))</f>
        <v/>
      </c>
      <c r="Q1636" s="63">
        <f>IF($A1636="","",IF(COUNTIF(집계!$E$7:$E$506,O1636)&gt;0,"Y","N"))</f>
        <v/>
      </c>
    </row>
    <row r="1637">
      <c r="A1637" s="60" t="n">
        <v>2026</v>
      </c>
      <c r="B1637" s="60" t="n">
        <v>9</v>
      </c>
      <c r="C1637" s="60" t="inlineStr">
        <is>
          <t>1000</t>
        </is>
      </c>
      <c r="D1637" s="60" t="n">
        <v>1701</v>
      </c>
      <c r="E1637" s="60" t="inlineStr">
        <is>
          <t>IT운영</t>
        </is>
      </c>
      <c r="F1637" s="60" t="n">
        <v>63002000</v>
      </c>
      <c r="G1637" s="60" t="inlineStr">
        <is>
          <t>전산운영비-클라우드</t>
        </is>
      </c>
      <c r="H1637" s="61" t="n">
        <v>110966870</v>
      </c>
      <c r="J1637" s="63">
        <f>IF($A1637="","",IFERROR(INDEX(부서매핑!$C$5:$C$504,MATCH($D1637&amp;"",부서매핑!$A$5:$A$504,0)),"미매핑"))</f>
        <v/>
      </c>
      <c r="K1637" s="63">
        <f>IF($A1637="","",IFERROR(INDEX(계정매핑!$C$5:$C$504,MATCH($F1637&amp;"",계정매핑!$A$5:$A$504,0)),"미매핑"))</f>
        <v/>
      </c>
      <c r="L1637" s="4">
        <f>IF($A1637="","",VALUE($A1637&amp;""))</f>
        <v/>
      </c>
      <c r="M1637" s="4">
        <f>IF($A1637="","",VALUE($B1637&amp;""))</f>
        <v/>
      </c>
      <c r="N1637" s="64">
        <f>IF($A1637="","",$H1637*설정!$C$15)</f>
        <v/>
      </c>
      <c r="O1637" s="4">
        <f>IF($A1637="","",J1637&amp;"|"&amp;K1637)</f>
        <v/>
      </c>
      <c r="P1637" s="63">
        <f>IF($A1637="","",IF(COUNTIFS(예산_원본!$T$5:$T$3004,O1637,예산_원본!$B$5:$B$3004,설정!$C$8,예산_원본!$U$5:$U$3004,L1637)&gt;0,"Y","N"))</f>
        <v/>
      </c>
      <c r="Q1637" s="63">
        <f>IF($A1637="","",IF(COUNTIF(집계!$E$7:$E$506,O1637)&gt;0,"Y","N"))</f>
        <v/>
      </c>
    </row>
    <row r="1638">
      <c r="A1638" s="60" t="n">
        <v>2026</v>
      </c>
      <c r="B1638" s="60" t="n">
        <v>9</v>
      </c>
      <c r="C1638" s="60" t="inlineStr">
        <is>
          <t>1000</t>
        </is>
      </c>
      <c r="D1638" s="60" t="n">
        <v>1801</v>
      </c>
      <c r="E1638" s="60" t="inlineStr">
        <is>
          <t>고객서비스</t>
        </is>
      </c>
      <c r="F1638" s="60" t="n">
        <v>62101000</v>
      </c>
      <c r="G1638" s="60" t="inlineStr">
        <is>
          <t>여비교통비-국내</t>
        </is>
      </c>
      <c r="H1638" s="61" t="n">
        <v>977370</v>
      </c>
      <c r="J1638" s="63">
        <f>IF($A1638="","",IFERROR(INDEX(부서매핑!$C$5:$C$504,MATCH($D1638&amp;"",부서매핑!$A$5:$A$504,0)),"미매핑"))</f>
        <v/>
      </c>
      <c r="K1638" s="63">
        <f>IF($A1638="","",IFERROR(INDEX(계정매핑!$C$5:$C$504,MATCH($F1638&amp;"",계정매핑!$A$5:$A$504,0)),"미매핑"))</f>
        <v/>
      </c>
      <c r="L1638" s="4">
        <f>IF($A1638="","",VALUE($A1638&amp;""))</f>
        <v/>
      </c>
      <c r="M1638" s="4">
        <f>IF($A1638="","",VALUE($B1638&amp;""))</f>
        <v/>
      </c>
      <c r="N1638" s="64">
        <f>IF($A1638="","",$H1638*설정!$C$15)</f>
        <v/>
      </c>
      <c r="O1638" s="4">
        <f>IF($A1638="","",J1638&amp;"|"&amp;K1638)</f>
        <v/>
      </c>
      <c r="P1638" s="63">
        <f>IF($A1638="","",IF(COUNTIFS(예산_원본!$T$5:$T$3004,O1638,예산_원본!$B$5:$B$3004,설정!$C$8,예산_원본!$U$5:$U$3004,L1638)&gt;0,"Y","N"))</f>
        <v/>
      </c>
      <c r="Q1638" s="63">
        <f>IF($A1638="","",IF(COUNTIF(집계!$E$7:$E$506,O1638)&gt;0,"Y","N"))</f>
        <v/>
      </c>
    </row>
    <row r="1639">
      <c r="A1639" s="60" t="n">
        <v>2026</v>
      </c>
      <c r="B1639" s="60" t="n">
        <v>9</v>
      </c>
      <c r="C1639" s="60" t="inlineStr">
        <is>
          <t>1000</t>
        </is>
      </c>
      <c r="D1639" s="60" t="n">
        <v>1801</v>
      </c>
      <c r="E1639" s="60" t="inlineStr">
        <is>
          <t>고객서비스</t>
        </is>
      </c>
      <c r="F1639" s="60" t="n">
        <v>62102000</v>
      </c>
      <c r="G1639" s="60" t="inlineStr">
        <is>
          <t>여비교통비-해외</t>
        </is>
      </c>
      <c r="H1639" s="61" t="n">
        <v>158210</v>
      </c>
      <c r="J1639" s="63">
        <f>IF($A1639="","",IFERROR(INDEX(부서매핑!$C$5:$C$504,MATCH($D1639&amp;"",부서매핑!$A$5:$A$504,0)),"미매핑"))</f>
        <v/>
      </c>
      <c r="K1639" s="63">
        <f>IF($A1639="","",IFERROR(INDEX(계정매핑!$C$5:$C$504,MATCH($F1639&amp;"",계정매핑!$A$5:$A$504,0)),"미매핑"))</f>
        <v/>
      </c>
      <c r="L1639" s="4">
        <f>IF($A1639="","",VALUE($A1639&amp;""))</f>
        <v/>
      </c>
      <c r="M1639" s="4">
        <f>IF($A1639="","",VALUE($B1639&amp;""))</f>
        <v/>
      </c>
      <c r="N1639" s="64">
        <f>IF($A1639="","",$H1639*설정!$C$15)</f>
        <v/>
      </c>
      <c r="O1639" s="4">
        <f>IF($A1639="","",J1639&amp;"|"&amp;K1639)</f>
        <v/>
      </c>
      <c r="P1639" s="63">
        <f>IF($A1639="","",IF(COUNTIFS(예산_원본!$T$5:$T$3004,O1639,예산_원본!$B$5:$B$3004,설정!$C$8,예산_원본!$U$5:$U$3004,L1639)&gt;0,"Y","N"))</f>
        <v/>
      </c>
      <c r="Q1639" s="63">
        <f>IF($A1639="","",IF(COUNTIF(집계!$E$7:$E$506,O1639)&gt;0,"Y","N"))</f>
        <v/>
      </c>
    </row>
    <row r="1640">
      <c r="A1640" s="60" t="n">
        <v>2026</v>
      </c>
      <c r="B1640" s="60" t="n">
        <v>9</v>
      </c>
      <c r="C1640" s="60" t="inlineStr">
        <is>
          <t>1000</t>
        </is>
      </c>
      <c r="D1640" s="60" t="n">
        <v>1801</v>
      </c>
      <c r="E1640" s="60" t="inlineStr">
        <is>
          <t>고객서비스</t>
        </is>
      </c>
      <c r="F1640" s="60" t="n">
        <v>62201000</v>
      </c>
      <c r="G1640" s="60" t="inlineStr">
        <is>
          <t>통신비</t>
        </is>
      </c>
      <c r="H1640" s="61" t="n">
        <v>21567360</v>
      </c>
      <c r="J1640" s="63">
        <f>IF($A1640="","",IFERROR(INDEX(부서매핑!$C$5:$C$504,MATCH($D1640&amp;"",부서매핑!$A$5:$A$504,0)),"미매핑"))</f>
        <v/>
      </c>
      <c r="K1640" s="63">
        <f>IF($A1640="","",IFERROR(INDEX(계정매핑!$C$5:$C$504,MATCH($F1640&amp;"",계정매핑!$A$5:$A$504,0)),"미매핑"))</f>
        <v/>
      </c>
      <c r="L1640" s="4">
        <f>IF($A1640="","",VALUE($A1640&amp;""))</f>
        <v/>
      </c>
      <c r="M1640" s="4">
        <f>IF($A1640="","",VALUE($B1640&amp;""))</f>
        <v/>
      </c>
      <c r="N1640" s="64">
        <f>IF($A1640="","",$H1640*설정!$C$15)</f>
        <v/>
      </c>
      <c r="O1640" s="4">
        <f>IF($A1640="","",J1640&amp;"|"&amp;K1640)</f>
        <v/>
      </c>
      <c r="P1640" s="63">
        <f>IF($A1640="","",IF(COUNTIFS(예산_원본!$T$5:$T$3004,O1640,예산_원본!$B$5:$B$3004,설정!$C$8,예산_원본!$U$5:$U$3004,L1640)&gt;0,"Y","N"))</f>
        <v/>
      </c>
      <c r="Q1640" s="63">
        <f>IF($A1640="","",IF(COUNTIF(집계!$E$7:$E$506,O1640)&gt;0,"Y","N"))</f>
        <v/>
      </c>
    </row>
    <row r="1641">
      <c r="A1641" s="60" t="n">
        <v>2026</v>
      </c>
      <c r="B1641" s="60" t="n">
        <v>9</v>
      </c>
      <c r="C1641" s="60" t="inlineStr">
        <is>
          <t>1000</t>
        </is>
      </c>
      <c r="D1641" s="60" t="n">
        <v>1801</v>
      </c>
      <c r="E1641" s="60" t="inlineStr">
        <is>
          <t>고객서비스</t>
        </is>
      </c>
      <c r="F1641" s="60" t="n">
        <v>62301000</v>
      </c>
      <c r="G1641" s="60" t="inlineStr">
        <is>
          <t>소모품비</t>
        </is>
      </c>
      <c r="H1641" s="61" t="n">
        <v>1209540</v>
      </c>
      <c r="J1641" s="63">
        <f>IF($A1641="","",IFERROR(INDEX(부서매핑!$C$5:$C$504,MATCH($D1641&amp;"",부서매핑!$A$5:$A$504,0)),"미매핑"))</f>
        <v/>
      </c>
      <c r="K1641" s="63">
        <f>IF($A1641="","",IFERROR(INDEX(계정매핑!$C$5:$C$504,MATCH($F1641&amp;"",계정매핑!$A$5:$A$504,0)),"미매핑"))</f>
        <v/>
      </c>
      <c r="L1641" s="4">
        <f>IF($A1641="","",VALUE($A1641&amp;""))</f>
        <v/>
      </c>
      <c r="M1641" s="4">
        <f>IF($A1641="","",VALUE($B1641&amp;""))</f>
        <v/>
      </c>
      <c r="N1641" s="64">
        <f>IF($A1641="","",$H1641*설정!$C$15)</f>
        <v/>
      </c>
      <c r="O1641" s="4">
        <f>IF($A1641="","",J1641&amp;"|"&amp;K1641)</f>
        <v/>
      </c>
      <c r="P1641" s="63">
        <f>IF($A1641="","",IF(COUNTIFS(예산_원본!$T$5:$T$3004,O1641,예산_원본!$B$5:$B$3004,설정!$C$8,예산_원본!$U$5:$U$3004,L1641)&gt;0,"Y","N"))</f>
        <v/>
      </c>
      <c r="Q1641" s="63">
        <f>IF($A1641="","",IF(COUNTIF(집계!$E$7:$E$506,O1641)&gt;0,"Y","N"))</f>
        <v/>
      </c>
    </row>
    <row r="1642">
      <c r="A1642" s="60" t="n">
        <v>2026</v>
      </c>
      <c r="B1642" s="60" t="n">
        <v>9</v>
      </c>
      <c r="C1642" s="60" t="inlineStr">
        <is>
          <t>1000</t>
        </is>
      </c>
      <c r="D1642" s="60" t="n">
        <v>1801</v>
      </c>
      <c r="E1642" s="60" t="inlineStr">
        <is>
          <t>고객서비스</t>
        </is>
      </c>
      <c r="F1642" s="60" t="n">
        <v>62401000</v>
      </c>
      <c r="G1642" s="60" t="inlineStr">
        <is>
          <t>도서인쇄비</t>
        </is>
      </c>
      <c r="H1642" s="61" t="n">
        <v>7162950</v>
      </c>
      <c r="J1642" s="63">
        <f>IF($A1642="","",IFERROR(INDEX(부서매핑!$C$5:$C$504,MATCH($D1642&amp;"",부서매핑!$A$5:$A$504,0)),"미매핑"))</f>
        <v/>
      </c>
      <c r="K1642" s="63">
        <f>IF($A1642="","",IFERROR(INDEX(계정매핑!$C$5:$C$504,MATCH($F1642&amp;"",계정매핑!$A$5:$A$504,0)),"미매핑"))</f>
        <v/>
      </c>
      <c r="L1642" s="4">
        <f>IF($A1642="","",VALUE($A1642&amp;""))</f>
        <v/>
      </c>
      <c r="M1642" s="4">
        <f>IF($A1642="","",VALUE($B1642&amp;""))</f>
        <v/>
      </c>
      <c r="N1642" s="64">
        <f>IF($A1642="","",$H1642*설정!$C$15)</f>
        <v/>
      </c>
      <c r="O1642" s="4">
        <f>IF($A1642="","",J1642&amp;"|"&amp;K1642)</f>
        <v/>
      </c>
      <c r="P1642" s="63">
        <f>IF($A1642="","",IF(COUNTIFS(예산_원본!$T$5:$T$3004,O1642,예산_원본!$B$5:$B$3004,설정!$C$8,예산_원본!$U$5:$U$3004,L1642)&gt;0,"Y","N"))</f>
        <v/>
      </c>
      <c r="Q1642" s="63">
        <f>IF($A1642="","",IF(COUNTIF(집계!$E$7:$E$506,O1642)&gt;0,"Y","N"))</f>
        <v/>
      </c>
    </row>
    <row r="1643">
      <c r="A1643" s="60" t="n">
        <v>2026</v>
      </c>
      <c r="B1643" s="60" t="n">
        <v>9</v>
      </c>
      <c r="C1643" s="60" t="inlineStr">
        <is>
          <t>1000</t>
        </is>
      </c>
      <c r="D1643" s="60" t="n">
        <v>1801</v>
      </c>
      <c r="E1643" s="60" t="inlineStr">
        <is>
          <t>고객서비스</t>
        </is>
      </c>
      <c r="F1643" s="60" t="n">
        <v>62501000</v>
      </c>
      <c r="G1643" s="60" t="inlineStr">
        <is>
          <t>회의비</t>
        </is>
      </c>
      <c r="H1643" s="61" t="n">
        <v>444420</v>
      </c>
      <c r="J1643" s="63">
        <f>IF($A1643="","",IFERROR(INDEX(부서매핑!$C$5:$C$504,MATCH($D1643&amp;"",부서매핑!$A$5:$A$504,0)),"미매핑"))</f>
        <v/>
      </c>
      <c r="K1643" s="63">
        <f>IF($A1643="","",IFERROR(INDEX(계정매핑!$C$5:$C$504,MATCH($F1643&amp;"",계정매핑!$A$5:$A$504,0)),"미매핑"))</f>
        <v/>
      </c>
      <c r="L1643" s="4">
        <f>IF($A1643="","",VALUE($A1643&amp;""))</f>
        <v/>
      </c>
      <c r="M1643" s="4">
        <f>IF($A1643="","",VALUE($B1643&amp;""))</f>
        <v/>
      </c>
      <c r="N1643" s="64">
        <f>IF($A1643="","",$H1643*설정!$C$15)</f>
        <v/>
      </c>
      <c r="O1643" s="4">
        <f>IF($A1643="","",J1643&amp;"|"&amp;K1643)</f>
        <v/>
      </c>
      <c r="P1643" s="63">
        <f>IF($A1643="","",IF(COUNTIFS(예산_원본!$T$5:$T$3004,O1643,예산_원본!$B$5:$B$3004,설정!$C$8,예산_원본!$U$5:$U$3004,L1643)&gt;0,"Y","N"))</f>
        <v/>
      </c>
      <c r="Q1643" s="63">
        <f>IF($A1643="","",IF(COUNTIF(집계!$E$7:$E$506,O1643)&gt;0,"Y","N"))</f>
        <v/>
      </c>
    </row>
    <row r="1644">
      <c r="A1644" s="60" t="n">
        <v>2026</v>
      </c>
      <c r="B1644" s="60" t="n">
        <v>9</v>
      </c>
      <c r="C1644" s="60" t="inlineStr">
        <is>
          <t>1000</t>
        </is>
      </c>
      <c r="D1644" s="60" t="n">
        <v>1801</v>
      </c>
      <c r="E1644" s="60" t="inlineStr">
        <is>
          <t>고객서비스</t>
        </is>
      </c>
      <c r="F1644" s="60" t="n">
        <v>62901000</v>
      </c>
      <c r="G1644" s="60" t="inlineStr">
        <is>
          <t>지급수수료-컨설팅</t>
        </is>
      </c>
      <c r="H1644" s="61" t="n">
        <v>33607280</v>
      </c>
      <c r="J1644" s="63">
        <f>IF($A1644="","",IFERROR(INDEX(부서매핑!$C$5:$C$504,MATCH($D1644&amp;"",부서매핑!$A$5:$A$504,0)),"미매핑"))</f>
        <v/>
      </c>
      <c r="K1644" s="63">
        <f>IF($A1644="","",IFERROR(INDEX(계정매핑!$C$5:$C$504,MATCH($F1644&amp;"",계정매핑!$A$5:$A$504,0)),"미매핑"))</f>
        <v/>
      </c>
      <c r="L1644" s="4">
        <f>IF($A1644="","",VALUE($A1644&amp;""))</f>
        <v/>
      </c>
      <c r="M1644" s="4">
        <f>IF($A1644="","",VALUE($B1644&amp;""))</f>
        <v/>
      </c>
      <c r="N1644" s="64">
        <f>IF($A1644="","",$H1644*설정!$C$15)</f>
        <v/>
      </c>
      <c r="O1644" s="4">
        <f>IF($A1644="","",J1644&amp;"|"&amp;K1644)</f>
        <v/>
      </c>
      <c r="P1644" s="63">
        <f>IF($A1644="","",IF(COUNTIFS(예산_원본!$T$5:$T$3004,O1644,예산_원본!$B$5:$B$3004,설정!$C$8,예산_원본!$U$5:$U$3004,L1644)&gt;0,"Y","N"))</f>
        <v/>
      </c>
      <c r="Q1644" s="63">
        <f>IF($A1644="","",IF(COUNTIF(집계!$E$7:$E$506,O1644)&gt;0,"Y","N"))</f>
        <v/>
      </c>
    </row>
    <row r="1645">
      <c r="A1645" s="60" t="n">
        <v>2026</v>
      </c>
      <c r="B1645" s="60" t="n">
        <v>9</v>
      </c>
      <c r="C1645" s="60" t="inlineStr">
        <is>
          <t>1000</t>
        </is>
      </c>
      <c r="D1645" s="60" t="n">
        <v>1801</v>
      </c>
      <c r="E1645" s="60" t="inlineStr">
        <is>
          <t>고객서비스</t>
        </is>
      </c>
      <c r="F1645" s="60" t="n">
        <v>62902000</v>
      </c>
      <c r="G1645" s="60" t="inlineStr">
        <is>
          <t>지급수수료-기타</t>
        </is>
      </c>
      <c r="H1645" s="61" t="n">
        <v>13646370</v>
      </c>
      <c r="J1645" s="63">
        <f>IF($A1645="","",IFERROR(INDEX(부서매핑!$C$5:$C$504,MATCH($D1645&amp;"",부서매핑!$A$5:$A$504,0)),"미매핑"))</f>
        <v/>
      </c>
      <c r="K1645" s="63">
        <f>IF($A1645="","",IFERROR(INDEX(계정매핑!$C$5:$C$504,MATCH($F1645&amp;"",계정매핑!$A$5:$A$504,0)),"미매핑"))</f>
        <v/>
      </c>
      <c r="L1645" s="4">
        <f>IF($A1645="","",VALUE($A1645&amp;""))</f>
        <v/>
      </c>
      <c r="M1645" s="4">
        <f>IF($A1645="","",VALUE($B1645&amp;""))</f>
        <v/>
      </c>
      <c r="N1645" s="64">
        <f>IF($A1645="","",$H1645*설정!$C$15)</f>
        <v/>
      </c>
      <c r="O1645" s="4">
        <f>IF($A1645="","",J1645&amp;"|"&amp;K1645)</f>
        <v/>
      </c>
      <c r="P1645" s="63">
        <f>IF($A1645="","",IF(COUNTIFS(예산_원본!$T$5:$T$3004,O1645,예산_원본!$B$5:$B$3004,설정!$C$8,예산_원본!$U$5:$U$3004,L1645)&gt;0,"Y","N"))</f>
        <v/>
      </c>
      <c r="Q1645" s="63">
        <f>IF($A1645="","",IF(COUNTIF(집계!$E$7:$E$506,O1645)&gt;0,"Y","N"))</f>
        <v/>
      </c>
    </row>
  </sheetData>
  <autoFilter ref="A4:Q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6" customWidth="1" min="4" max="4"/>
    <col width="30" customWidth="1" min="5" max="5"/>
  </cols>
  <sheetData>
    <row r="1">
      <c r="A1" s="1" t="inlineStr">
        <is>
          <t>계정 매핑 (G/L 계정 → 예산항목)</t>
        </is>
      </c>
    </row>
    <row r="2">
      <c r="A2" s="2" t="inlineStr">
        <is>
          <t>코드 칸은 텍스트 형식 · 새 계정이 생기면 여기에 추가 (자가진단이 미매핑 계정을 알려줌)</t>
        </is>
      </c>
    </row>
    <row r="4" ht="30" customHeight="1">
      <c r="A4" s="5" t="inlineStr">
        <is>
          <t>G/L 계정</t>
        </is>
      </c>
      <c r="B4" s="5" t="inlineStr">
        <is>
          <t>계정명</t>
        </is>
      </c>
      <c r="C4" s="5" t="inlineStr">
        <is>
          <t>예산항목코드</t>
        </is>
      </c>
      <c r="D4" s="5" t="inlineStr">
        <is>
          <t>예산항목명</t>
        </is>
      </c>
      <c r="E4" s="5" t="inlineStr">
        <is>
          <t>비고</t>
        </is>
      </c>
    </row>
    <row r="5">
      <c r="A5" s="65" t="inlineStr">
        <is>
          <t>62101000</t>
        </is>
      </c>
      <c r="B5" s="66" t="inlineStr">
        <is>
          <t>여비교통비-국내</t>
        </is>
      </c>
      <c r="C5" s="65" t="inlineStr">
        <is>
          <t>B01</t>
        </is>
      </c>
      <c r="D5" s="56" t="inlineStr">
        <is>
          <t>여비교통비</t>
        </is>
      </c>
      <c r="E5" s="56" t="n"/>
    </row>
    <row r="6">
      <c r="A6" s="65" t="inlineStr">
        <is>
          <t>62102000</t>
        </is>
      </c>
      <c r="B6" s="66" t="inlineStr">
        <is>
          <t>여비교통비-해외</t>
        </is>
      </c>
      <c r="C6" s="65" t="inlineStr">
        <is>
          <t>B01</t>
        </is>
      </c>
      <c r="D6" s="56" t="inlineStr">
        <is>
          <t>여비교통비</t>
        </is>
      </c>
      <c r="E6" s="56" t="n"/>
    </row>
    <row r="7">
      <c r="A7" s="65" t="inlineStr">
        <is>
          <t>62201000</t>
        </is>
      </c>
      <c r="B7" s="66" t="inlineStr">
        <is>
          <t>통신비</t>
        </is>
      </c>
      <c r="C7" s="65" t="inlineStr">
        <is>
          <t>B02</t>
        </is>
      </c>
      <c r="D7" s="56" t="inlineStr">
        <is>
          <t>통신비</t>
        </is>
      </c>
      <c r="E7" s="56" t="n"/>
    </row>
    <row r="8">
      <c r="A8" s="65" t="inlineStr">
        <is>
          <t>62301000</t>
        </is>
      </c>
      <c r="B8" s="66" t="inlineStr">
        <is>
          <t>소모품비</t>
        </is>
      </c>
      <c r="C8" s="65" t="inlineStr">
        <is>
          <t>B03</t>
        </is>
      </c>
      <c r="D8" s="56" t="inlineStr">
        <is>
          <t>소모품비</t>
        </is>
      </c>
      <c r="E8" s="56" t="n"/>
    </row>
    <row r="9">
      <c r="A9" s="65" t="inlineStr">
        <is>
          <t>62401000</t>
        </is>
      </c>
      <c r="B9" s="66" t="inlineStr">
        <is>
          <t>도서인쇄비</t>
        </is>
      </c>
      <c r="C9" s="65" t="inlineStr">
        <is>
          <t>B04</t>
        </is>
      </c>
      <c r="D9" s="56" t="inlineStr">
        <is>
          <t>도서인쇄비</t>
        </is>
      </c>
      <c r="E9" s="56" t="n"/>
    </row>
    <row r="10">
      <c r="A10" s="65" t="inlineStr">
        <is>
          <t>62501000</t>
        </is>
      </c>
      <c r="B10" s="66" t="inlineStr">
        <is>
          <t>회의비</t>
        </is>
      </c>
      <c r="C10" s="65" t="inlineStr">
        <is>
          <t>B05</t>
        </is>
      </c>
      <c r="D10" s="56" t="inlineStr">
        <is>
          <t>회의비</t>
        </is>
      </c>
      <c r="E10" s="56" t="n"/>
    </row>
    <row r="11">
      <c r="A11" s="65" t="inlineStr">
        <is>
          <t>62601000</t>
        </is>
      </c>
      <c r="B11" s="66" t="inlineStr">
        <is>
          <t>업무추진비</t>
        </is>
      </c>
      <c r="C11" s="65" t="inlineStr">
        <is>
          <t>B06</t>
        </is>
      </c>
      <c r="D11" s="56" t="inlineStr">
        <is>
          <t>업무추진비</t>
        </is>
      </c>
      <c r="E11" s="56" t="n"/>
    </row>
    <row r="12">
      <c r="A12" s="65" t="inlineStr">
        <is>
          <t>62701000</t>
        </is>
      </c>
      <c r="B12" s="66" t="inlineStr">
        <is>
          <t>광고선전비</t>
        </is>
      </c>
      <c r="C12" s="65" t="inlineStr">
        <is>
          <t>B07</t>
        </is>
      </c>
      <c r="D12" s="56" t="inlineStr">
        <is>
          <t>광고선전비</t>
        </is>
      </c>
      <c r="E12" s="56" t="n"/>
    </row>
    <row r="13">
      <c r="A13" s="65" t="inlineStr">
        <is>
          <t>62801000</t>
        </is>
      </c>
      <c r="B13" s="66" t="inlineStr">
        <is>
          <t>교육훈련비-사내</t>
        </is>
      </c>
      <c r="C13" s="65" t="inlineStr">
        <is>
          <t>B08</t>
        </is>
      </c>
      <c r="D13" s="56" t="inlineStr">
        <is>
          <t>교육훈련비</t>
        </is>
      </c>
      <c r="E13" s="56" t="n"/>
    </row>
    <row r="14">
      <c r="A14" s="65" t="inlineStr">
        <is>
          <t>62802000</t>
        </is>
      </c>
      <c r="B14" s="66" t="inlineStr">
        <is>
          <t>교육훈련비-외부위탁</t>
        </is>
      </c>
      <c r="C14" s="65" t="inlineStr">
        <is>
          <t>B08</t>
        </is>
      </c>
      <c r="D14" s="56" t="inlineStr">
        <is>
          <t>교육훈련비</t>
        </is>
      </c>
      <c r="E14" s="56" t="n"/>
    </row>
    <row r="15">
      <c r="A15" s="65" t="inlineStr">
        <is>
          <t>62901000</t>
        </is>
      </c>
      <c r="B15" s="66" t="inlineStr">
        <is>
          <t>지급수수료-컨설팅</t>
        </is>
      </c>
      <c r="C15" s="65" t="inlineStr">
        <is>
          <t>B09</t>
        </is>
      </c>
      <c r="D15" s="56" t="inlineStr">
        <is>
          <t>지급수수료</t>
        </is>
      </c>
      <c r="E15" s="56" t="n"/>
    </row>
    <row r="16">
      <c r="A16" s="65" t="inlineStr">
        <is>
          <t>62902000</t>
        </is>
      </c>
      <c r="B16" s="66" t="inlineStr">
        <is>
          <t>지급수수료-기타</t>
        </is>
      </c>
      <c r="C16" s="65" t="inlineStr">
        <is>
          <t>B09</t>
        </is>
      </c>
      <c r="D16" s="56" t="inlineStr">
        <is>
          <t>지급수수료</t>
        </is>
      </c>
      <c r="E16" s="56" t="n"/>
    </row>
    <row r="17">
      <c r="A17" s="65" t="inlineStr">
        <is>
          <t>63001000</t>
        </is>
      </c>
      <c r="B17" s="66" t="inlineStr">
        <is>
          <t>전산운영비-SW유지보수</t>
        </is>
      </c>
      <c r="C17" s="65" t="inlineStr">
        <is>
          <t>B10</t>
        </is>
      </c>
      <c r="D17" s="56" t="inlineStr">
        <is>
          <t>전산운영비</t>
        </is>
      </c>
      <c r="E17" s="56" t="n"/>
    </row>
    <row r="18">
      <c r="A18" s="65" t="inlineStr">
        <is>
          <t>63002000</t>
        </is>
      </c>
      <c r="B18" s="66" t="inlineStr">
        <is>
          <t>전산운영비-클라우드</t>
        </is>
      </c>
      <c r="C18" s="65" t="inlineStr">
        <is>
          <t>B10</t>
        </is>
      </c>
      <c r="D18" s="56" t="inlineStr">
        <is>
          <t>전산운영비</t>
        </is>
      </c>
      <c r="E18" s="56" t="n"/>
    </row>
    <row r="19">
      <c r="A19" s="65" t="inlineStr">
        <is>
          <t>63101000</t>
        </is>
      </c>
      <c r="B19" s="66" t="inlineStr">
        <is>
          <t>임차료</t>
        </is>
      </c>
      <c r="C19" s="65" t="inlineStr">
        <is>
          <t>B11</t>
        </is>
      </c>
      <c r="D19" s="56" t="inlineStr">
        <is>
          <t>임차료</t>
        </is>
      </c>
      <c r="E19" s="56" t="n"/>
    </row>
    <row r="20">
      <c r="A20" s="65" t="inlineStr">
        <is>
          <t>63201000</t>
        </is>
      </c>
      <c r="B20" s="66" t="inlineStr">
        <is>
          <t>차량유지비</t>
        </is>
      </c>
      <c r="C20" s="65" t="inlineStr">
        <is>
          <t>B12</t>
        </is>
      </c>
      <c r="D20" s="56" t="inlineStr">
        <is>
          <t>차량유지비</t>
        </is>
      </c>
      <c r="E20" s="56" t="n"/>
    </row>
    <row r="21">
      <c r="A21" s="67" t="n"/>
      <c r="B21" s="67" t="n"/>
      <c r="C21" s="67" t="n"/>
    </row>
    <row r="22">
      <c r="A22" s="67" t="n"/>
      <c r="B22" s="67" t="n"/>
      <c r="C22" s="67" t="n"/>
    </row>
    <row r="23">
      <c r="A23" s="67" t="n"/>
      <c r="B23" s="67" t="n"/>
      <c r="C23" s="67" t="n"/>
    </row>
    <row r="24">
      <c r="A24" s="67" t="n"/>
      <c r="B24" s="67" t="n"/>
      <c r="C24" s="67" t="n"/>
    </row>
    <row r="25">
      <c r="A25" s="67" t="n"/>
      <c r="B25" s="67" t="n"/>
      <c r="C25" s="67" t="n"/>
    </row>
    <row r="26">
      <c r="A26" s="67" t="n"/>
      <c r="B26" s="67" t="n"/>
      <c r="C26" s="67" t="n"/>
    </row>
    <row r="27">
      <c r="A27" s="67" t="n"/>
      <c r="B27" s="67" t="n"/>
      <c r="C27" s="67" t="n"/>
    </row>
    <row r="28">
      <c r="A28" s="67" t="n"/>
      <c r="B28" s="67" t="n"/>
      <c r="C28" s="67" t="n"/>
    </row>
    <row r="29">
      <c r="A29" s="67" t="n"/>
      <c r="B29" s="67" t="n"/>
      <c r="C29" s="67" t="n"/>
    </row>
    <row r="30">
      <c r="A30" s="67" t="n"/>
      <c r="B30" s="67" t="n"/>
      <c r="C30" s="67" t="n"/>
    </row>
    <row r="31">
      <c r="A31" s="67" t="n"/>
      <c r="B31" s="67" t="n"/>
      <c r="C31" s="67" t="n"/>
    </row>
    <row r="32">
      <c r="A32" s="67" t="n"/>
      <c r="B32" s="67" t="n"/>
      <c r="C32" s="67" t="n"/>
    </row>
    <row r="33">
      <c r="A33" s="67" t="n"/>
      <c r="B33" s="67" t="n"/>
      <c r="C33" s="67" t="n"/>
    </row>
    <row r="34">
      <c r="A34" s="67" t="n"/>
      <c r="B34" s="67" t="n"/>
      <c r="C34" s="67" t="n"/>
    </row>
    <row r="35">
      <c r="A35" s="67" t="n"/>
      <c r="B35" s="67" t="n"/>
      <c r="C35" s="67" t="n"/>
    </row>
    <row r="36">
      <c r="A36" s="67" t="n"/>
      <c r="B36" s="67" t="n"/>
      <c r="C36" s="67" t="n"/>
    </row>
    <row r="37">
      <c r="A37" s="67" t="n"/>
      <c r="B37" s="67" t="n"/>
      <c r="C37" s="67" t="n"/>
    </row>
    <row r="38">
      <c r="A38" s="67" t="n"/>
      <c r="B38" s="67" t="n"/>
      <c r="C38" s="67" t="n"/>
    </row>
    <row r="39">
      <c r="A39" s="67" t="n"/>
      <c r="B39" s="67" t="n"/>
      <c r="C39" s="67" t="n"/>
    </row>
    <row r="40">
      <c r="A40" s="67" t="n"/>
      <c r="B40" s="67" t="n"/>
      <c r="C40" s="67" t="n"/>
    </row>
    <row r="41">
      <c r="A41" s="67" t="n"/>
      <c r="B41" s="67" t="n"/>
      <c r="C41" s="67" t="n"/>
    </row>
    <row r="42">
      <c r="A42" s="67" t="n"/>
      <c r="B42" s="67" t="n"/>
      <c r="C42" s="67" t="n"/>
    </row>
    <row r="43">
      <c r="A43" s="67" t="n"/>
      <c r="B43" s="67" t="n"/>
      <c r="C43" s="67" t="n"/>
    </row>
    <row r="44">
      <c r="A44" s="67" t="n"/>
      <c r="B44" s="67" t="n"/>
      <c r="C44" s="67" t="n"/>
    </row>
    <row r="45">
      <c r="A45" s="67" t="n"/>
      <c r="B45" s="67" t="n"/>
      <c r="C45" s="67" t="n"/>
    </row>
    <row r="46">
      <c r="A46" s="67" t="n"/>
      <c r="B46" s="67" t="n"/>
      <c r="C46" s="67" t="n"/>
    </row>
    <row r="47">
      <c r="A47" s="67" t="n"/>
      <c r="B47" s="67" t="n"/>
      <c r="C47" s="67" t="n"/>
    </row>
    <row r="48">
      <c r="A48" s="67" t="n"/>
      <c r="B48" s="67" t="n"/>
      <c r="C48" s="67" t="n"/>
    </row>
    <row r="49">
      <c r="A49" s="67" t="n"/>
      <c r="B49" s="67" t="n"/>
      <c r="C49" s="67" t="n"/>
    </row>
    <row r="50">
      <c r="A50" s="67" t="n"/>
      <c r="B50" s="67" t="n"/>
      <c r="C50" s="67" t="n"/>
    </row>
    <row r="51">
      <c r="A51" s="67" t="n"/>
      <c r="B51" s="67" t="n"/>
      <c r="C51" s="67" t="n"/>
    </row>
    <row r="52">
      <c r="A52" s="67" t="n"/>
      <c r="B52" s="67" t="n"/>
      <c r="C52" s="67" t="n"/>
    </row>
    <row r="53">
      <c r="A53" s="67" t="n"/>
      <c r="B53" s="67" t="n"/>
      <c r="C53" s="67" t="n"/>
    </row>
    <row r="54">
      <c r="A54" s="67" t="n"/>
      <c r="B54" s="67" t="n"/>
      <c r="C54" s="67" t="n"/>
    </row>
    <row r="55">
      <c r="A55" s="67" t="n"/>
      <c r="B55" s="67" t="n"/>
      <c r="C55" s="67" t="n"/>
    </row>
    <row r="56">
      <c r="A56" s="67" t="n"/>
      <c r="B56" s="67" t="n"/>
      <c r="C56" s="67" t="n"/>
    </row>
    <row r="57">
      <c r="A57" s="67" t="n"/>
      <c r="B57" s="67" t="n"/>
      <c r="C57" s="67" t="n"/>
    </row>
    <row r="58">
      <c r="A58" s="67" t="n"/>
      <c r="B58" s="67" t="n"/>
      <c r="C58" s="67" t="n"/>
    </row>
    <row r="59">
      <c r="A59" s="67" t="n"/>
      <c r="B59" s="67" t="n"/>
      <c r="C59" s="67" t="n"/>
    </row>
    <row r="60">
      <c r="A60" s="67" t="n"/>
      <c r="B60" s="67" t="n"/>
      <c r="C60" s="67" t="n"/>
    </row>
    <row r="61">
      <c r="A61" s="67" t="n"/>
      <c r="B61" s="67" t="n"/>
      <c r="C61" s="67" t="n"/>
    </row>
    <row r="62">
      <c r="A62" s="67" t="n"/>
      <c r="B62" s="67" t="n"/>
      <c r="C62" s="67" t="n"/>
    </row>
    <row r="63">
      <c r="A63" s="67" t="n"/>
      <c r="B63" s="67" t="n"/>
      <c r="C63" s="67" t="n"/>
    </row>
    <row r="64">
      <c r="A64" s="67" t="n"/>
      <c r="B64" s="67" t="n"/>
      <c r="C64" s="67" t="n"/>
    </row>
    <row r="65">
      <c r="A65" s="67" t="n"/>
      <c r="B65" s="67" t="n"/>
      <c r="C65" s="67" t="n"/>
    </row>
    <row r="66">
      <c r="A66" s="67" t="n"/>
      <c r="B66" s="67" t="n"/>
      <c r="C66" s="67" t="n"/>
    </row>
    <row r="67">
      <c r="A67" s="67" t="n"/>
      <c r="B67" s="67" t="n"/>
      <c r="C67" s="67" t="n"/>
    </row>
    <row r="68">
      <c r="A68" s="67" t="n"/>
      <c r="B68" s="67" t="n"/>
      <c r="C68" s="67" t="n"/>
    </row>
    <row r="69">
      <c r="A69" s="67" t="n"/>
      <c r="B69" s="67" t="n"/>
      <c r="C69" s="67" t="n"/>
    </row>
    <row r="70">
      <c r="A70" s="67" t="n"/>
      <c r="B70" s="67" t="n"/>
      <c r="C70" s="67" t="n"/>
    </row>
    <row r="71">
      <c r="A71" s="67" t="n"/>
      <c r="B71" s="67" t="n"/>
      <c r="C71" s="67" t="n"/>
    </row>
    <row r="72">
      <c r="A72" s="67" t="n"/>
      <c r="B72" s="67" t="n"/>
      <c r="C72" s="67" t="n"/>
    </row>
    <row r="73">
      <c r="A73" s="67" t="n"/>
      <c r="B73" s="67" t="n"/>
      <c r="C73" s="67" t="n"/>
    </row>
    <row r="74">
      <c r="A74" s="67" t="n"/>
      <c r="B74" s="67" t="n"/>
      <c r="C74" s="67" t="n"/>
    </row>
    <row r="75">
      <c r="A75" s="67" t="n"/>
      <c r="B75" s="67" t="n"/>
      <c r="C75" s="67" t="n"/>
    </row>
    <row r="76">
      <c r="A76" s="67" t="n"/>
      <c r="B76" s="67" t="n"/>
      <c r="C76" s="67" t="n"/>
    </row>
    <row r="77">
      <c r="A77" s="67" t="n"/>
      <c r="B77" s="67" t="n"/>
      <c r="C77" s="67" t="n"/>
    </row>
    <row r="78">
      <c r="A78" s="67" t="n"/>
      <c r="B78" s="67" t="n"/>
      <c r="C78" s="67" t="n"/>
    </row>
    <row r="79">
      <c r="A79" s="67" t="n"/>
      <c r="B79" s="67" t="n"/>
      <c r="C79" s="67" t="n"/>
    </row>
    <row r="80">
      <c r="A80" s="67" t="n"/>
      <c r="B80" s="67" t="n"/>
      <c r="C80" s="67" t="n"/>
    </row>
    <row r="81">
      <c r="A81" s="67" t="n"/>
      <c r="B81" s="67" t="n"/>
      <c r="C81" s="67" t="n"/>
    </row>
    <row r="82">
      <c r="A82" s="67" t="n"/>
      <c r="B82" s="67" t="n"/>
      <c r="C82" s="67" t="n"/>
    </row>
    <row r="83">
      <c r="A83" s="67" t="n"/>
      <c r="B83" s="67" t="n"/>
      <c r="C83" s="67" t="n"/>
    </row>
    <row r="84">
      <c r="A84" s="67" t="n"/>
      <c r="B84" s="67" t="n"/>
      <c r="C84" s="67" t="n"/>
    </row>
    <row r="85">
      <c r="A85" s="67" t="n"/>
      <c r="B85" s="67" t="n"/>
      <c r="C85" s="67" t="n"/>
    </row>
    <row r="86">
      <c r="A86" s="67" t="n"/>
      <c r="B86" s="67" t="n"/>
      <c r="C86" s="67" t="n"/>
    </row>
    <row r="87">
      <c r="A87" s="67" t="n"/>
      <c r="B87" s="67" t="n"/>
      <c r="C87" s="67" t="n"/>
    </row>
    <row r="88">
      <c r="A88" s="67" t="n"/>
      <c r="B88" s="67" t="n"/>
      <c r="C88" s="67" t="n"/>
    </row>
    <row r="89">
      <c r="A89" s="67" t="n"/>
      <c r="B89" s="67" t="n"/>
      <c r="C89" s="67" t="n"/>
    </row>
    <row r="90">
      <c r="A90" s="67" t="n"/>
      <c r="B90" s="67" t="n"/>
      <c r="C90" s="67" t="n"/>
    </row>
    <row r="91">
      <c r="A91" s="67" t="n"/>
      <c r="B91" s="67" t="n"/>
      <c r="C91" s="67" t="n"/>
    </row>
    <row r="92">
      <c r="A92" s="67" t="n"/>
      <c r="B92" s="67" t="n"/>
      <c r="C92" s="67" t="n"/>
    </row>
    <row r="93">
      <c r="A93" s="67" t="n"/>
      <c r="B93" s="67" t="n"/>
      <c r="C93" s="67" t="n"/>
    </row>
    <row r="94">
      <c r="A94" s="67" t="n"/>
      <c r="B94" s="67" t="n"/>
      <c r="C94" s="67" t="n"/>
    </row>
    <row r="95">
      <c r="A95" s="67" t="n"/>
      <c r="B95" s="67" t="n"/>
      <c r="C95" s="67" t="n"/>
    </row>
    <row r="96">
      <c r="A96" s="67" t="n"/>
      <c r="B96" s="67" t="n"/>
      <c r="C96" s="67" t="n"/>
    </row>
    <row r="97">
      <c r="A97" s="67" t="n"/>
      <c r="B97" s="67" t="n"/>
      <c r="C97" s="67" t="n"/>
    </row>
    <row r="98">
      <c r="A98" s="67" t="n"/>
      <c r="B98" s="67" t="n"/>
      <c r="C98" s="67" t="n"/>
    </row>
    <row r="99">
      <c r="A99" s="67" t="n"/>
      <c r="B99" s="67" t="n"/>
      <c r="C99" s="67" t="n"/>
    </row>
    <row r="100">
      <c r="A100" s="67" t="n"/>
      <c r="B100" s="67" t="n"/>
      <c r="C100" s="67" t="n"/>
    </row>
    <row r="101">
      <c r="A101" s="67" t="n"/>
      <c r="B101" s="67" t="n"/>
      <c r="C101" s="67" t="n"/>
    </row>
    <row r="102">
      <c r="A102" s="67" t="n"/>
      <c r="B102" s="67" t="n"/>
      <c r="C102" s="67" t="n"/>
    </row>
    <row r="103">
      <c r="A103" s="67" t="n"/>
      <c r="B103" s="67" t="n"/>
      <c r="C103" s="67" t="n"/>
    </row>
    <row r="104">
      <c r="A104" s="67" t="n"/>
      <c r="B104" s="67" t="n"/>
      <c r="C104" s="67" t="n"/>
    </row>
    <row r="105">
      <c r="A105" s="67" t="n"/>
      <c r="B105" s="67" t="n"/>
      <c r="C105" s="67" t="n"/>
    </row>
    <row r="106">
      <c r="A106" s="67" t="n"/>
      <c r="B106" s="67" t="n"/>
      <c r="C106" s="67" t="n"/>
    </row>
    <row r="107">
      <c r="A107" s="67" t="n"/>
      <c r="B107" s="67" t="n"/>
      <c r="C107" s="67" t="n"/>
    </row>
    <row r="108">
      <c r="A108" s="67" t="n"/>
      <c r="B108" s="67" t="n"/>
      <c r="C108" s="67" t="n"/>
    </row>
    <row r="109">
      <c r="A109" s="67" t="n"/>
      <c r="B109" s="67" t="n"/>
      <c r="C109" s="67" t="n"/>
    </row>
    <row r="110">
      <c r="A110" s="67" t="n"/>
      <c r="B110" s="67" t="n"/>
      <c r="C110" s="67" t="n"/>
    </row>
    <row r="111">
      <c r="A111" s="67" t="n"/>
      <c r="B111" s="67" t="n"/>
      <c r="C111" s="67" t="n"/>
    </row>
    <row r="112">
      <c r="A112" s="67" t="n"/>
      <c r="B112" s="67" t="n"/>
      <c r="C112" s="67" t="n"/>
    </row>
    <row r="113">
      <c r="A113" s="67" t="n"/>
      <c r="B113" s="67" t="n"/>
      <c r="C113" s="67" t="n"/>
    </row>
    <row r="114">
      <c r="A114" s="67" t="n"/>
      <c r="B114" s="67" t="n"/>
      <c r="C114" s="67" t="n"/>
    </row>
    <row r="115">
      <c r="A115" s="67" t="n"/>
      <c r="B115" s="67" t="n"/>
      <c r="C115" s="67" t="n"/>
    </row>
    <row r="116">
      <c r="A116" s="67" t="n"/>
      <c r="B116" s="67" t="n"/>
      <c r="C116" s="67" t="n"/>
    </row>
    <row r="117">
      <c r="A117" s="67" t="n"/>
      <c r="B117" s="67" t="n"/>
      <c r="C117" s="67" t="n"/>
    </row>
    <row r="118">
      <c r="A118" s="67" t="n"/>
      <c r="B118" s="67" t="n"/>
      <c r="C118" s="67" t="n"/>
    </row>
    <row r="119">
      <c r="A119" s="67" t="n"/>
      <c r="B119" s="67" t="n"/>
      <c r="C119" s="67" t="n"/>
    </row>
    <row r="120">
      <c r="A120" s="67" t="n"/>
      <c r="B120" s="67" t="n"/>
      <c r="C120" s="67" t="n"/>
    </row>
    <row r="121">
      <c r="A121" s="67" t="n"/>
      <c r="B121" s="67" t="n"/>
      <c r="C121" s="67" t="n"/>
    </row>
    <row r="122">
      <c r="A122" s="67" t="n"/>
      <c r="B122" s="67" t="n"/>
      <c r="C122" s="67" t="n"/>
    </row>
    <row r="123">
      <c r="A123" s="67" t="n"/>
      <c r="B123" s="67" t="n"/>
      <c r="C123" s="67" t="n"/>
    </row>
    <row r="124">
      <c r="A124" s="67" t="n"/>
      <c r="B124" s="67" t="n"/>
      <c r="C124" s="67" t="n"/>
    </row>
    <row r="125">
      <c r="A125" s="67" t="n"/>
      <c r="B125" s="67" t="n"/>
      <c r="C125" s="67" t="n"/>
    </row>
    <row r="126">
      <c r="A126" s="67" t="n"/>
      <c r="B126" s="67" t="n"/>
      <c r="C126" s="67" t="n"/>
    </row>
    <row r="127">
      <c r="A127" s="67" t="n"/>
      <c r="B127" s="67" t="n"/>
      <c r="C127" s="67" t="n"/>
    </row>
    <row r="128">
      <c r="A128" s="67" t="n"/>
      <c r="B128" s="67" t="n"/>
      <c r="C128" s="67" t="n"/>
    </row>
    <row r="129">
      <c r="A129" s="67" t="n"/>
      <c r="B129" s="67" t="n"/>
      <c r="C129" s="67" t="n"/>
    </row>
    <row r="130">
      <c r="A130" s="67" t="n"/>
      <c r="B130" s="67" t="n"/>
      <c r="C130" s="67" t="n"/>
    </row>
    <row r="131">
      <c r="A131" s="67" t="n"/>
      <c r="B131" s="67" t="n"/>
      <c r="C131" s="67" t="n"/>
    </row>
    <row r="132">
      <c r="A132" s="67" t="n"/>
      <c r="B132" s="67" t="n"/>
      <c r="C132" s="67" t="n"/>
    </row>
    <row r="133">
      <c r="A133" s="67" t="n"/>
      <c r="B133" s="67" t="n"/>
      <c r="C133" s="67" t="n"/>
    </row>
    <row r="134">
      <c r="A134" s="67" t="n"/>
      <c r="B134" s="67" t="n"/>
      <c r="C134" s="67" t="n"/>
    </row>
    <row r="135">
      <c r="A135" s="67" t="n"/>
      <c r="B135" s="67" t="n"/>
      <c r="C135" s="67" t="n"/>
    </row>
    <row r="136">
      <c r="A136" s="67" t="n"/>
      <c r="B136" s="67" t="n"/>
      <c r="C136" s="67" t="n"/>
    </row>
    <row r="137">
      <c r="A137" s="67" t="n"/>
      <c r="B137" s="67" t="n"/>
      <c r="C137" s="67" t="n"/>
    </row>
    <row r="138">
      <c r="A138" s="67" t="n"/>
      <c r="B138" s="67" t="n"/>
      <c r="C138" s="67" t="n"/>
    </row>
    <row r="139">
      <c r="A139" s="67" t="n"/>
      <c r="B139" s="67" t="n"/>
      <c r="C139" s="67" t="n"/>
    </row>
    <row r="140">
      <c r="A140" s="67" t="n"/>
      <c r="B140" s="67" t="n"/>
      <c r="C140" s="67" t="n"/>
    </row>
    <row r="141">
      <c r="A141" s="67" t="n"/>
      <c r="B141" s="67" t="n"/>
      <c r="C141" s="67" t="n"/>
    </row>
    <row r="142">
      <c r="A142" s="67" t="n"/>
      <c r="B142" s="67" t="n"/>
      <c r="C142" s="67" t="n"/>
    </row>
    <row r="143">
      <c r="A143" s="67" t="n"/>
      <c r="B143" s="67" t="n"/>
      <c r="C143" s="67" t="n"/>
    </row>
    <row r="144">
      <c r="A144" s="67" t="n"/>
      <c r="B144" s="67" t="n"/>
      <c r="C144" s="67" t="n"/>
    </row>
    <row r="145">
      <c r="A145" s="67" t="n"/>
      <c r="B145" s="67" t="n"/>
      <c r="C145" s="67" t="n"/>
    </row>
    <row r="146">
      <c r="A146" s="67" t="n"/>
      <c r="B146" s="67" t="n"/>
      <c r="C146" s="67" t="n"/>
    </row>
    <row r="147">
      <c r="A147" s="67" t="n"/>
      <c r="B147" s="67" t="n"/>
      <c r="C147" s="67" t="n"/>
    </row>
    <row r="148">
      <c r="A148" s="67" t="n"/>
      <c r="B148" s="67" t="n"/>
      <c r="C148" s="67" t="n"/>
    </row>
    <row r="149">
      <c r="A149" s="67" t="n"/>
      <c r="B149" s="67" t="n"/>
      <c r="C149" s="67" t="n"/>
    </row>
    <row r="150">
      <c r="A150" s="67" t="n"/>
      <c r="B150" s="67" t="n"/>
      <c r="C150" s="67" t="n"/>
    </row>
    <row r="151">
      <c r="A151" s="67" t="n"/>
      <c r="B151" s="67" t="n"/>
      <c r="C151" s="67" t="n"/>
    </row>
    <row r="152">
      <c r="A152" s="67" t="n"/>
      <c r="B152" s="67" t="n"/>
      <c r="C152" s="67" t="n"/>
    </row>
    <row r="153">
      <c r="A153" s="67" t="n"/>
      <c r="B153" s="67" t="n"/>
      <c r="C153" s="67" t="n"/>
    </row>
    <row r="154">
      <c r="A154" s="67" t="n"/>
      <c r="B154" s="67" t="n"/>
      <c r="C154" s="67" t="n"/>
    </row>
    <row r="155">
      <c r="A155" s="67" t="n"/>
      <c r="B155" s="67" t="n"/>
      <c r="C155" s="67" t="n"/>
    </row>
    <row r="156">
      <c r="A156" s="67" t="n"/>
      <c r="B156" s="67" t="n"/>
      <c r="C156" s="67" t="n"/>
    </row>
    <row r="157">
      <c r="A157" s="67" t="n"/>
      <c r="B157" s="67" t="n"/>
      <c r="C157" s="67" t="n"/>
    </row>
    <row r="158">
      <c r="A158" s="67" t="n"/>
      <c r="B158" s="67" t="n"/>
      <c r="C158" s="67" t="n"/>
    </row>
    <row r="159">
      <c r="A159" s="67" t="n"/>
      <c r="B159" s="67" t="n"/>
      <c r="C159" s="67" t="n"/>
    </row>
    <row r="160">
      <c r="A160" s="67" t="n"/>
      <c r="B160" s="67" t="n"/>
      <c r="C160" s="67" t="n"/>
    </row>
    <row r="161">
      <c r="A161" s="67" t="n"/>
      <c r="B161" s="67" t="n"/>
      <c r="C161" s="67" t="n"/>
    </row>
    <row r="162">
      <c r="A162" s="67" t="n"/>
      <c r="B162" s="67" t="n"/>
      <c r="C162" s="67" t="n"/>
    </row>
    <row r="163">
      <c r="A163" s="67" t="n"/>
      <c r="B163" s="67" t="n"/>
      <c r="C163" s="67" t="n"/>
    </row>
    <row r="164">
      <c r="A164" s="67" t="n"/>
      <c r="B164" s="67" t="n"/>
      <c r="C164" s="67" t="n"/>
    </row>
    <row r="165">
      <c r="A165" s="67" t="n"/>
      <c r="B165" s="67" t="n"/>
      <c r="C165" s="67" t="n"/>
    </row>
    <row r="166">
      <c r="A166" s="67" t="n"/>
      <c r="B166" s="67" t="n"/>
      <c r="C166" s="67" t="n"/>
    </row>
    <row r="167">
      <c r="A167" s="67" t="n"/>
      <c r="B167" s="67" t="n"/>
      <c r="C167" s="67" t="n"/>
    </row>
    <row r="168">
      <c r="A168" s="67" t="n"/>
      <c r="B168" s="67" t="n"/>
      <c r="C168" s="67" t="n"/>
    </row>
    <row r="169">
      <c r="A169" s="67" t="n"/>
      <c r="B169" s="67" t="n"/>
      <c r="C169" s="67" t="n"/>
    </row>
    <row r="170">
      <c r="A170" s="67" t="n"/>
      <c r="B170" s="67" t="n"/>
      <c r="C170" s="67" t="n"/>
    </row>
    <row r="171">
      <c r="A171" s="67" t="n"/>
      <c r="B171" s="67" t="n"/>
      <c r="C171" s="67" t="n"/>
    </row>
    <row r="172">
      <c r="A172" s="67" t="n"/>
      <c r="B172" s="67" t="n"/>
      <c r="C172" s="67" t="n"/>
    </row>
    <row r="173">
      <c r="A173" s="67" t="n"/>
      <c r="B173" s="67" t="n"/>
      <c r="C173" s="67" t="n"/>
    </row>
    <row r="174">
      <c r="A174" s="67" t="n"/>
      <c r="B174" s="67" t="n"/>
      <c r="C174" s="67" t="n"/>
    </row>
    <row r="175">
      <c r="A175" s="67" t="n"/>
      <c r="B175" s="67" t="n"/>
      <c r="C175" s="67" t="n"/>
    </row>
    <row r="176">
      <c r="A176" s="67" t="n"/>
      <c r="B176" s="67" t="n"/>
      <c r="C176" s="67" t="n"/>
    </row>
    <row r="177">
      <c r="A177" s="67" t="n"/>
      <c r="B177" s="67" t="n"/>
      <c r="C177" s="67" t="n"/>
    </row>
    <row r="178">
      <c r="A178" s="67" t="n"/>
      <c r="B178" s="67" t="n"/>
      <c r="C178" s="67" t="n"/>
    </row>
    <row r="179">
      <c r="A179" s="67" t="n"/>
      <c r="B179" s="67" t="n"/>
      <c r="C179" s="67" t="n"/>
    </row>
    <row r="180">
      <c r="A180" s="67" t="n"/>
      <c r="B180" s="67" t="n"/>
      <c r="C180" s="67" t="n"/>
    </row>
    <row r="181">
      <c r="A181" s="67" t="n"/>
      <c r="B181" s="67" t="n"/>
      <c r="C181" s="67" t="n"/>
    </row>
    <row r="182">
      <c r="A182" s="67" t="n"/>
      <c r="B182" s="67" t="n"/>
      <c r="C182" s="67" t="n"/>
    </row>
    <row r="183">
      <c r="A183" s="67" t="n"/>
      <c r="B183" s="67" t="n"/>
      <c r="C183" s="67" t="n"/>
    </row>
    <row r="184">
      <c r="A184" s="67" t="n"/>
      <c r="B184" s="67" t="n"/>
      <c r="C184" s="67" t="n"/>
    </row>
    <row r="185">
      <c r="A185" s="67" t="n"/>
      <c r="B185" s="67" t="n"/>
      <c r="C185" s="67" t="n"/>
    </row>
    <row r="186">
      <c r="A186" s="67" t="n"/>
      <c r="B186" s="67" t="n"/>
      <c r="C186" s="67" t="n"/>
    </row>
    <row r="187">
      <c r="A187" s="67" t="n"/>
      <c r="B187" s="67" t="n"/>
      <c r="C187" s="67" t="n"/>
    </row>
    <row r="188">
      <c r="A188" s="67" t="n"/>
      <c r="B188" s="67" t="n"/>
      <c r="C188" s="67" t="n"/>
    </row>
    <row r="189">
      <c r="A189" s="67" t="n"/>
      <c r="B189" s="67" t="n"/>
      <c r="C189" s="67" t="n"/>
    </row>
    <row r="190">
      <c r="A190" s="67" t="n"/>
      <c r="B190" s="67" t="n"/>
      <c r="C190" s="67" t="n"/>
    </row>
    <row r="191">
      <c r="A191" s="67" t="n"/>
      <c r="B191" s="67" t="n"/>
      <c r="C191" s="67" t="n"/>
    </row>
    <row r="192">
      <c r="A192" s="67" t="n"/>
      <c r="B192" s="67" t="n"/>
      <c r="C192" s="67" t="n"/>
    </row>
    <row r="193">
      <c r="A193" s="67" t="n"/>
      <c r="B193" s="67" t="n"/>
      <c r="C193" s="67" t="n"/>
    </row>
    <row r="194">
      <c r="A194" s="67" t="n"/>
      <c r="B194" s="67" t="n"/>
      <c r="C194" s="67" t="n"/>
    </row>
    <row r="195">
      <c r="A195" s="67" t="n"/>
      <c r="B195" s="67" t="n"/>
      <c r="C195" s="67" t="n"/>
    </row>
    <row r="196">
      <c r="A196" s="67" t="n"/>
      <c r="B196" s="67" t="n"/>
      <c r="C196" s="67" t="n"/>
    </row>
    <row r="197">
      <c r="A197" s="67" t="n"/>
      <c r="B197" s="67" t="n"/>
      <c r="C197" s="67" t="n"/>
    </row>
    <row r="198">
      <c r="A198" s="67" t="n"/>
      <c r="B198" s="67" t="n"/>
      <c r="C198" s="67" t="n"/>
    </row>
    <row r="199">
      <c r="A199" s="67" t="n"/>
      <c r="B199" s="67" t="n"/>
      <c r="C199" s="67" t="n"/>
    </row>
    <row r="200">
      <c r="A200" s="67" t="n"/>
      <c r="B200" s="67" t="n"/>
      <c r="C200" s="67" t="n"/>
    </row>
    <row r="201">
      <c r="A201" s="67" t="n"/>
      <c r="B201" s="67" t="n"/>
      <c r="C201" s="67" t="n"/>
    </row>
    <row r="202">
      <c r="A202" s="67" t="n"/>
      <c r="B202" s="67" t="n"/>
      <c r="C202" s="67" t="n"/>
    </row>
    <row r="203">
      <c r="A203" s="67" t="n"/>
      <c r="B203" s="67" t="n"/>
      <c r="C203" s="67" t="n"/>
    </row>
    <row r="204">
      <c r="A204" s="67" t="n"/>
      <c r="B204" s="67" t="n"/>
      <c r="C204" s="67" t="n"/>
    </row>
    <row r="205">
      <c r="A205" s="67" t="n"/>
      <c r="B205" s="67" t="n"/>
      <c r="C205" s="67" t="n"/>
    </row>
    <row r="206">
      <c r="A206" s="67" t="n"/>
      <c r="B206" s="67" t="n"/>
      <c r="C206" s="67" t="n"/>
    </row>
    <row r="207">
      <c r="A207" s="67" t="n"/>
      <c r="B207" s="67" t="n"/>
      <c r="C207" s="67" t="n"/>
    </row>
    <row r="208">
      <c r="A208" s="67" t="n"/>
      <c r="B208" s="67" t="n"/>
      <c r="C208" s="67" t="n"/>
    </row>
    <row r="209">
      <c r="A209" s="67" t="n"/>
      <c r="B209" s="67" t="n"/>
      <c r="C209" s="67" t="n"/>
    </row>
    <row r="210">
      <c r="A210" s="67" t="n"/>
      <c r="B210" s="67" t="n"/>
      <c r="C210" s="67" t="n"/>
    </row>
    <row r="211">
      <c r="A211" s="67" t="n"/>
      <c r="B211" s="67" t="n"/>
      <c r="C211" s="67" t="n"/>
    </row>
    <row r="212">
      <c r="A212" s="67" t="n"/>
      <c r="B212" s="67" t="n"/>
      <c r="C212" s="67" t="n"/>
    </row>
    <row r="213">
      <c r="A213" s="67" t="n"/>
      <c r="B213" s="67" t="n"/>
      <c r="C213" s="67" t="n"/>
    </row>
    <row r="214">
      <c r="A214" s="67" t="n"/>
      <c r="B214" s="67" t="n"/>
      <c r="C214" s="67" t="n"/>
    </row>
    <row r="215">
      <c r="A215" s="67" t="n"/>
      <c r="B215" s="67" t="n"/>
      <c r="C215" s="67" t="n"/>
    </row>
    <row r="216">
      <c r="A216" s="67" t="n"/>
      <c r="B216" s="67" t="n"/>
      <c r="C216" s="67" t="n"/>
    </row>
    <row r="217">
      <c r="A217" s="67" t="n"/>
      <c r="B217" s="67" t="n"/>
      <c r="C217" s="67" t="n"/>
    </row>
    <row r="218">
      <c r="A218" s="67" t="n"/>
      <c r="B218" s="67" t="n"/>
      <c r="C218" s="67" t="n"/>
    </row>
    <row r="219">
      <c r="A219" s="67" t="n"/>
      <c r="B219" s="67" t="n"/>
      <c r="C219" s="67" t="n"/>
    </row>
    <row r="220">
      <c r="A220" s="67" t="n"/>
      <c r="B220" s="67" t="n"/>
      <c r="C220" s="67" t="n"/>
    </row>
    <row r="221">
      <c r="A221" s="67" t="n"/>
      <c r="B221" s="67" t="n"/>
      <c r="C221" s="67" t="n"/>
    </row>
    <row r="222">
      <c r="A222" s="67" t="n"/>
      <c r="B222" s="67" t="n"/>
      <c r="C222" s="67" t="n"/>
    </row>
    <row r="223">
      <c r="A223" s="67" t="n"/>
      <c r="B223" s="67" t="n"/>
      <c r="C223" s="67" t="n"/>
    </row>
    <row r="224">
      <c r="A224" s="67" t="n"/>
      <c r="B224" s="67" t="n"/>
      <c r="C224" s="67" t="n"/>
    </row>
    <row r="225">
      <c r="A225" s="67" t="n"/>
      <c r="B225" s="67" t="n"/>
      <c r="C225" s="67" t="n"/>
    </row>
    <row r="226">
      <c r="A226" s="67" t="n"/>
      <c r="B226" s="67" t="n"/>
      <c r="C226" s="67" t="n"/>
    </row>
    <row r="227">
      <c r="A227" s="67" t="n"/>
      <c r="B227" s="67" t="n"/>
      <c r="C227" s="67" t="n"/>
    </row>
    <row r="228">
      <c r="A228" s="67" t="n"/>
      <c r="B228" s="67" t="n"/>
      <c r="C228" s="67" t="n"/>
    </row>
    <row r="229">
      <c r="A229" s="67" t="n"/>
      <c r="B229" s="67" t="n"/>
      <c r="C229" s="67" t="n"/>
    </row>
    <row r="230">
      <c r="A230" s="67" t="n"/>
      <c r="B230" s="67" t="n"/>
      <c r="C230" s="67" t="n"/>
    </row>
    <row r="231">
      <c r="A231" s="67" t="n"/>
      <c r="B231" s="67" t="n"/>
      <c r="C231" s="67" t="n"/>
    </row>
    <row r="232">
      <c r="A232" s="67" t="n"/>
      <c r="B232" s="67" t="n"/>
      <c r="C232" s="67" t="n"/>
    </row>
    <row r="233">
      <c r="A233" s="67" t="n"/>
      <c r="B233" s="67" t="n"/>
      <c r="C233" s="67" t="n"/>
    </row>
    <row r="234">
      <c r="A234" s="67" t="n"/>
      <c r="B234" s="67" t="n"/>
      <c r="C234" s="67" t="n"/>
    </row>
    <row r="235">
      <c r="A235" s="67" t="n"/>
      <c r="B235" s="67" t="n"/>
      <c r="C235" s="67" t="n"/>
    </row>
    <row r="236">
      <c r="A236" s="67" t="n"/>
      <c r="B236" s="67" t="n"/>
      <c r="C236" s="67" t="n"/>
    </row>
    <row r="237">
      <c r="A237" s="67" t="n"/>
      <c r="B237" s="67" t="n"/>
      <c r="C237" s="67" t="n"/>
    </row>
    <row r="238">
      <c r="A238" s="67" t="n"/>
      <c r="B238" s="67" t="n"/>
      <c r="C238" s="67" t="n"/>
    </row>
    <row r="239">
      <c r="A239" s="67" t="n"/>
      <c r="B239" s="67" t="n"/>
      <c r="C239" s="67" t="n"/>
    </row>
    <row r="240">
      <c r="A240" s="67" t="n"/>
      <c r="B240" s="67" t="n"/>
      <c r="C240" s="67" t="n"/>
    </row>
    <row r="241">
      <c r="A241" s="67" t="n"/>
      <c r="B241" s="67" t="n"/>
      <c r="C241" s="67" t="n"/>
    </row>
    <row r="242">
      <c r="A242" s="67" t="n"/>
      <c r="B242" s="67" t="n"/>
      <c r="C242" s="67" t="n"/>
    </row>
    <row r="243">
      <c r="A243" s="67" t="n"/>
      <c r="B243" s="67" t="n"/>
      <c r="C243" s="67" t="n"/>
    </row>
    <row r="244">
      <c r="A244" s="67" t="n"/>
      <c r="B244" s="67" t="n"/>
      <c r="C244" s="67" t="n"/>
    </row>
    <row r="245">
      <c r="A245" s="67" t="n"/>
      <c r="B245" s="67" t="n"/>
      <c r="C245" s="67" t="n"/>
    </row>
    <row r="246">
      <c r="A246" s="67" t="n"/>
      <c r="B246" s="67" t="n"/>
      <c r="C246" s="67" t="n"/>
    </row>
    <row r="247">
      <c r="A247" s="67" t="n"/>
      <c r="B247" s="67" t="n"/>
      <c r="C247" s="67" t="n"/>
    </row>
    <row r="248">
      <c r="A248" s="67" t="n"/>
      <c r="B248" s="67" t="n"/>
      <c r="C248" s="67" t="n"/>
    </row>
    <row r="249">
      <c r="A249" s="67" t="n"/>
      <c r="B249" s="67" t="n"/>
      <c r="C249" s="67" t="n"/>
    </row>
    <row r="250">
      <c r="A250" s="67" t="n"/>
      <c r="B250" s="67" t="n"/>
      <c r="C250" s="67" t="n"/>
    </row>
    <row r="251">
      <c r="A251" s="67" t="n"/>
      <c r="B251" s="67" t="n"/>
      <c r="C251" s="67" t="n"/>
    </row>
    <row r="252">
      <c r="A252" s="67" t="n"/>
      <c r="B252" s="67" t="n"/>
      <c r="C252" s="67" t="n"/>
    </row>
    <row r="253">
      <c r="A253" s="67" t="n"/>
      <c r="B253" s="67" t="n"/>
      <c r="C253" s="67" t="n"/>
    </row>
    <row r="254">
      <c r="A254" s="67" t="n"/>
      <c r="B254" s="67" t="n"/>
      <c r="C254" s="67" t="n"/>
    </row>
    <row r="255">
      <c r="A255" s="67" t="n"/>
      <c r="B255" s="67" t="n"/>
      <c r="C255" s="67" t="n"/>
    </row>
    <row r="256">
      <c r="A256" s="67" t="n"/>
      <c r="B256" s="67" t="n"/>
      <c r="C256" s="67" t="n"/>
    </row>
    <row r="257">
      <c r="A257" s="67" t="n"/>
      <c r="B257" s="67" t="n"/>
      <c r="C257" s="67" t="n"/>
    </row>
    <row r="258">
      <c r="A258" s="67" t="n"/>
      <c r="B258" s="67" t="n"/>
      <c r="C258" s="67" t="n"/>
    </row>
    <row r="259">
      <c r="A259" s="67" t="n"/>
      <c r="B259" s="67" t="n"/>
      <c r="C259" s="67" t="n"/>
    </row>
    <row r="260">
      <c r="A260" s="67" t="n"/>
      <c r="B260" s="67" t="n"/>
      <c r="C260" s="67" t="n"/>
    </row>
    <row r="261">
      <c r="A261" s="67" t="n"/>
      <c r="B261" s="67" t="n"/>
      <c r="C261" s="67" t="n"/>
    </row>
    <row r="262">
      <c r="A262" s="67" t="n"/>
      <c r="B262" s="67" t="n"/>
      <c r="C262" s="67" t="n"/>
    </row>
    <row r="263">
      <c r="A263" s="67" t="n"/>
      <c r="B263" s="67" t="n"/>
      <c r="C263" s="67" t="n"/>
    </row>
    <row r="264">
      <c r="A264" s="67" t="n"/>
      <c r="B264" s="67" t="n"/>
      <c r="C264" s="67" t="n"/>
    </row>
    <row r="265">
      <c r="A265" s="67" t="n"/>
      <c r="B265" s="67" t="n"/>
      <c r="C265" s="67" t="n"/>
    </row>
    <row r="266">
      <c r="A266" s="67" t="n"/>
      <c r="B266" s="67" t="n"/>
      <c r="C266" s="67" t="n"/>
    </row>
    <row r="267">
      <c r="A267" s="67" t="n"/>
      <c r="B267" s="67" t="n"/>
      <c r="C267" s="67" t="n"/>
    </row>
    <row r="268">
      <c r="A268" s="67" t="n"/>
      <c r="B268" s="67" t="n"/>
      <c r="C268" s="67" t="n"/>
    </row>
    <row r="269">
      <c r="A269" s="67" t="n"/>
      <c r="B269" s="67" t="n"/>
      <c r="C269" s="67" t="n"/>
    </row>
    <row r="270">
      <c r="A270" s="67" t="n"/>
      <c r="B270" s="67" t="n"/>
      <c r="C270" s="67" t="n"/>
    </row>
    <row r="271">
      <c r="A271" s="67" t="n"/>
      <c r="B271" s="67" t="n"/>
      <c r="C271" s="67" t="n"/>
    </row>
    <row r="272">
      <c r="A272" s="67" t="n"/>
      <c r="B272" s="67" t="n"/>
      <c r="C272" s="67" t="n"/>
    </row>
    <row r="273">
      <c r="A273" s="67" t="n"/>
      <c r="B273" s="67" t="n"/>
      <c r="C273" s="67" t="n"/>
    </row>
    <row r="274">
      <c r="A274" s="67" t="n"/>
      <c r="B274" s="67" t="n"/>
      <c r="C274" s="67" t="n"/>
    </row>
    <row r="275">
      <c r="A275" s="67" t="n"/>
      <c r="B275" s="67" t="n"/>
      <c r="C275" s="67" t="n"/>
    </row>
    <row r="276">
      <c r="A276" s="67" t="n"/>
      <c r="B276" s="67" t="n"/>
      <c r="C276" s="67" t="n"/>
    </row>
    <row r="277">
      <c r="A277" s="67" t="n"/>
      <c r="B277" s="67" t="n"/>
      <c r="C277" s="67" t="n"/>
    </row>
    <row r="278">
      <c r="A278" s="67" t="n"/>
      <c r="B278" s="67" t="n"/>
      <c r="C278" s="67" t="n"/>
    </row>
    <row r="279">
      <c r="A279" s="67" t="n"/>
      <c r="B279" s="67" t="n"/>
      <c r="C279" s="67" t="n"/>
    </row>
    <row r="280">
      <c r="A280" s="67" t="n"/>
      <c r="B280" s="67" t="n"/>
      <c r="C280" s="67" t="n"/>
    </row>
    <row r="281">
      <c r="A281" s="67" t="n"/>
      <c r="B281" s="67" t="n"/>
      <c r="C281" s="67" t="n"/>
    </row>
    <row r="282">
      <c r="A282" s="67" t="n"/>
      <c r="B282" s="67" t="n"/>
      <c r="C282" s="67" t="n"/>
    </row>
    <row r="283">
      <c r="A283" s="67" t="n"/>
      <c r="B283" s="67" t="n"/>
      <c r="C283" s="67" t="n"/>
    </row>
    <row r="284">
      <c r="A284" s="67" t="n"/>
      <c r="B284" s="67" t="n"/>
      <c r="C284" s="67" t="n"/>
    </row>
    <row r="285">
      <c r="A285" s="67" t="n"/>
      <c r="B285" s="67" t="n"/>
      <c r="C285" s="67" t="n"/>
    </row>
    <row r="286">
      <c r="A286" s="67" t="n"/>
      <c r="B286" s="67" t="n"/>
      <c r="C286" s="67" t="n"/>
    </row>
    <row r="287">
      <c r="A287" s="67" t="n"/>
      <c r="B287" s="67" t="n"/>
      <c r="C287" s="67" t="n"/>
    </row>
    <row r="288">
      <c r="A288" s="67" t="n"/>
      <c r="B288" s="67" t="n"/>
      <c r="C288" s="67" t="n"/>
    </row>
    <row r="289">
      <c r="A289" s="67" t="n"/>
      <c r="B289" s="67" t="n"/>
      <c r="C289" s="67" t="n"/>
    </row>
    <row r="290">
      <c r="A290" s="67" t="n"/>
      <c r="B290" s="67" t="n"/>
      <c r="C290" s="67" t="n"/>
    </row>
    <row r="291">
      <c r="A291" s="67" t="n"/>
      <c r="B291" s="67" t="n"/>
      <c r="C291" s="67" t="n"/>
    </row>
    <row r="292">
      <c r="A292" s="67" t="n"/>
      <c r="B292" s="67" t="n"/>
      <c r="C292" s="67" t="n"/>
    </row>
    <row r="293">
      <c r="A293" s="67" t="n"/>
      <c r="B293" s="67" t="n"/>
      <c r="C293" s="67" t="n"/>
    </row>
    <row r="294">
      <c r="A294" s="67" t="n"/>
      <c r="B294" s="67" t="n"/>
      <c r="C294" s="67" t="n"/>
    </row>
    <row r="295">
      <c r="A295" s="67" t="n"/>
      <c r="B295" s="67" t="n"/>
      <c r="C295" s="67" t="n"/>
    </row>
    <row r="296">
      <c r="A296" s="67" t="n"/>
      <c r="B296" s="67" t="n"/>
      <c r="C296" s="67" t="n"/>
    </row>
    <row r="297">
      <c r="A297" s="67" t="n"/>
      <c r="B297" s="67" t="n"/>
      <c r="C297" s="67" t="n"/>
    </row>
    <row r="298">
      <c r="A298" s="67" t="n"/>
      <c r="B298" s="67" t="n"/>
      <c r="C298" s="67" t="n"/>
    </row>
    <row r="299">
      <c r="A299" s="67" t="n"/>
      <c r="B299" s="67" t="n"/>
      <c r="C299" s="67" t="n"/>
    </row>
    <row r="300">
      <c r="A300" s="67" t="n"/>
      <c r="B300" s="67" t="n"/>
      <c r="C300" s="67" t="n"/>
    </row>
    <row r="301">
      <c r="A301" s="67" t="n"/>
      <c r="B301" s="67" t="n"/>
      <c r="C301" s="67" t="n"/>
    </row>
    <row r="302">
      <c r="A302" s="67" t="n"/>
      <c r="B302" s="67" t="n"/>
      <c r="C302" s="67" t="n"/>
    </row>
    <row r="303">
      <c r="A303" s="67" t="n"/>
      <c r="B303" s="67" t="n"/>
      <c r="C303" s="67" t="n"/>
    </row>
    <row r="304">
      <c r="A304" s="67" t="n"/>
      <c r="B304" s="67" t="n"/>
      <c r="C304" s="67" t="n"/>
    </row>
    <row r="305">
      <c r="A305" s="67" t="n"/>
      <c r="B305" s="67" t="n"/>
      <c r="C305" s="67" t="n"/>
    </row>
    <row r="306">
      <c r="A306" s="67" t="n"/>
      <c r="B306" s="67" t="n"/>
      <c r="C306" s="67" t="n"/>
    </row>
    <row r="307">
      <c r="A307" s="67" t="n"/>
      <c r="B307" s="67" t="n"/>
      <c r="C307" s="67" t="n"/>
    </row>
    <row r="308">
      <c r="A308" s="67" t="n"/>
      <c r="B308" s="67" t="n"/>
      <c r="C308" s="67" t="n"/>
    </row>
    <row r="309">
      <c r="A309" s="67" t="n"/>
      <c r="B309" s="67" t="n"/>
      <c r="C309" s="67" t="n"/>
    </row>
    <row r="310">
      <c r="A310" s="67" t="n"/>
      <c r="B310" s="67" t="n"/>
      <c r="C310" s="67" t="n"/>
    </row>
    <row r="311">
      <c r="A311" s="67" t="n"/>
      <c r="B311" s="67" t="n"/>
      <c r="C311" s="67" t="n"/>
    </row>
    <row r="312">
      <c r="A312" s="67" t="n"/>
      <c r="B312" s="67" t="n"/>
      <c r="C312" s="67" t="n"/>
    </row>
    <row r="313">
      <c r="A313" s="67" t="n"/>
      <c r="B313" s="67" t="n"/>
      <c r="C313" s="67" t="n"/>
    </row>
    <row r="314">
      <c r="A314" s="67" t="n"/>
      <c r="B314" s="67" t="n"/>
      <c r="C314" s="67" t="n"/>
    </row>
    <row r="315">
      <c r="A315" s="67" t="n"/>
      <c r="B315" s="67" t="n"/>
      <c r="C315" s="67" t="n"/>
    </row>
    <row r="316">
      <c r="A316" s="67" t="n"/>
      <c r="B316" s="67" t="n"/>
      <c r="C316" s="67" t="n"/>
    </row>
    <row r="317">
      <c r="A317" s="67" t="n"/>
      <c r="B317" s="67" t="n"/>
      <c r="C317" s="67" t="n"/>
    </row>
    <row r="318">
      <c r="A318" s="67" t="n"/>
      <c r="B318" s="67" t="n"/>
      <c r="C318" s="67" t="n"/>
    </row>
    <row r="319">
      <c r="A319" s="67" t="n"/>
      <c r="B319" s="67" t="n"/>
      <c r="C319" s="67" t="n"/>
    </row>
    <row r="320">
      <c r="A320" s="67" t="n"/>
      <c r="B320" s="67" t="n"/>
      <c r="C320" s="67" t="n"/>
    </row>
    <row r="321">
      <c r="A321" s="67" t="n"/>
      <c r="B321" s="67" t="n"/>
      <c r="C321" s="67" t="n"/>
    </row>
    <row r="322">
      <c r="A322" s="67" t="n"/>
      <c r="B322" s="67" t="n"/>
      <c r="C322" s="67" t="n"/>
    </row>
    <row r="323">
      <c r="A323" s="67" t="n"/>
      <c r="B323" s="67" t="n"/>
      <c r="C323" s="67" t="n"/>
    </row>
    <row r="324">
      <c r="A324" s="67" t="n"/>
      <c r="B324" s="67" t="n"/>
      <c r="C324" s="67" t="n"/>
    </row>
    <row r="325">
      <c r="A325" s="67" t="n"/>
      <c r="B325" s="67" t="n"/>
      <c r="C325" s="67" t="n"/>
    </row>
    <row r="326">
      <c r="A326" s="67" t="n"/>
      <c r="B326" s="67" t="n"/>
      <c r="C326" s="67" t="n"/>
    </row>
    <row r="327">
      <c r="A327" s="67" t="n"/>
      <c r="B327" s="67" t="n"/>
      <c r="C327" s="67" t="n"/>
    </row>
    <row r="328">
      <c r="A328" s="67" t="n"/>
      <c r="B328" s="67" t="n"/>
      <c r="C328" s="67" t="n"/>
    </row>
    <row r="329">
      <c r="A329" s="67" t="n"/>
      <c r="B329" s="67" t="n"/>
      <c r="C329" s="67" t="n"/>
    </row>
    <row r="330">
      <c r="A330" s="67" t="n"/>
      <c r="B330" s="67" t="n"/>
      <c r="C330" s="67" t="n"/>
    </row>
    <row r="331">
      <c r="A331" s="67" t="n"/>
      <c r="B331" s="67" t="n"/>
      <c r="C331" s="67" t="n"/>
    </row>
    <row r="332">
      <c r="A332" s="67" t="n"/>
      <c r="B332" s="67" t="n"/>
      <c r="C332" s="67" t="n"/>
    </row>
    <row r="333">
      <c r="A333" s="67" t="n"/>
      <c r="B333" s="67" t="n"/>
      <c r="C333" s="67" t="n"/>
    </row>
    <row r="334">
      <c r="A334" s="67" t="n"/>
      <c r="B334" s="67" t="n"/>
      <c r="C334" s="67" t="n"/>
    </row>
    <row r="335">
      <c r="A335" s="67" t="n"/>
      <c r="B335" s="67" t="n"/>
      <c r="C335" s="67" t="n"/>
    </row>
    <row r="336">
      <c r="A336" s="67" t="n"/>
      <c r="B336" s="67" t="n"/>
      <c r="C336" s="67" t="n"/>
    </row>
    <row r="337">
      <c r="A337" s="67" t="n"/>
      <c r="B337" s="67" t="n"/>
      <c r="C337" s="67" t="n"/>
    </row>
    <row r="338">
      <c r="A338" s="67" t="n"/>
      <c r="B338" s="67" t="n"/>
      <c r="C338" s="67" t="n"/>
    </row>
    <row r="339">
      <c r="A339" s="67" t="n"/>
      <c r="B339" s="67" t="n"/>
      <c r="C339" s="67" t="n"/>
    </row>
    <row r="340">
      <c r="A340" s="67" t="n"/>
      <c r="B340" s="67" t="n"/>
      <c r="C340" s="67" t="n"/>
    </row>
    <row r="341">
      <c r="A341" s="67" t="n"/>
      <c r="B341" s="67" t="n"/>
      <c r="C341" s="67" t="n"/>
    </row>
    <row r="342">
      <c r="A342" s="67" t="n"/>
      <c r="B342" s="67" t="n"/>
      <c r="C342" s="67" t="n"/>
    </row>
    <row r="343">
      <c r="A343" s="67" t="n"/>
      <c r="B343" s="67" t="n"/>
      <c r="C343" s="67" t="n"/>
    </row>
    <row r="344">
      <c r="A344" s="67" t="n"/>
      <c r="B344" s="67" t="n"/>
      <c r="C344" s="67" t="n"/>
    </row>
    <row r="345">
      <c r="A345" s="67" t="n"/>
      <c r="B345" s="67" t="n"/>
      <c r="C345" s="67" t="n"/>
    </row>
    <row r="346">
      <c r="A346" s="67" t="n"/>
      <c r="B346" s="67" t="n"/>
      <c r="C346" s="67" t="n"/>
    </row>
    <row r="347">
      <c r="A347" s="67" t="n"/>
      <c r="B347" s="67" t="n"/>
      <c r="C347" s="67" t="n"/>
    </row>
    <row r="348">
      <c r="A348" s="67" t="n"/>
      <c r="B348" s="67" t="n"/>
      <c r="C348" s="67" t="n"/>
    </row>
    <row r="349">
      <c r="A349" s="67" t="n"/>
      <c r="B349" s="67" t="n"/>
      <c r="C349" s="67" t="n"/>
    </row>
    <row r="350">
      <c r="A350" s="67" t="n"/>
      <c r="B350" s="67" t="n"/>
      <c r="C350" s="67" t="n"/>
    </row>
    <row r="351">
      <c r="A351" s="67" t="n"/>
      <c r="B351" s="67" t="n"/>
      <c r="C351" s="67" t="n"/>
    </row>
    <row r="352">
      <c r="A352" s="67" t="n"/>
      <c r="B352" s="67" t="n"/>
      <c r="C352" s="67" t="n"/>
    </row>
    <row r="353">
      <c r="A353" s="67" t="n"/>
      <c r="B353" s="67" t="n"/>
      <c r="C353" s="67" t="n"/>
    </row>
    <row r="354">
      <c r="A354" s="67" t="n"/>
      <c r="B354" s="67" t="n"/>
      <c r="C354" s="67" t="n"/>
    </row>
    <row r="355">
      <c r="A355" s="67" t="n"/>
      <c r="B355" s="67" t="n"/>
      <c r="C355" s="67" t="n"/>
    </row>
    <row r="356">
      <c r="A356" s="67" t="n"/>
      <c r="B356" s="67" t="n"/>
      <c r="C356" s="67" t="n"/>
    </row>
    <row r="357">
      <c r="A357" s="67" t="n"/>
      <c r="B357" s="67" t="n"/>
      <c r="C357" s="67" t="n"/>
    </row>
    <row r="358">
      <c r="A358" s="67" t="n"/>
      <c r="B358" s="67" t="n"/>
      <c r="C358" s="67" t="n"/>
    </row>
    <row r="359">
      <c r="A359" s="67" t="n"/>
      <c r="B359" s="67" t="n"/>
      <c r="C359" s="67" t="n"/>
    </row>
    <row r="360">
      <c r="A360" s="67" t="n"/>
      <c r="B360" s="67" t="n"/>
      <c r="C360" s="67" t="n"/>
    </row>
    <row r="361">
      <c r="A361" s="67" t="n"/>
      <c r="B361" s="67" t="n"/>
      <c r="C361" s="67" t="n"/>
    </row>
    <row r="362">
      <c r="A362" s="67" t="n"/>
      <c r="B362" s="67" t="n"/>
      <c r="C362" s="67" t="n"/>
    </row>
    <row r="363">
      <c r="A363" s="67" t="n"/>
      <c r="B363" s="67" t="n"/>
      <c r="C363" s="67" t="n"/>
    </row>
    <row r="364">
      <c r="A364" s="67" t="n"/>
      <c r="B364" s="67" t="n"/>
      <c r="C364" s="67" t="n"/>
    </row>
    <row r="365">
      <c r="A365" s="67" t="n"/>
      <c r="B365" s="67" t="n"/>
      <c r="C365" s="67" t="n"/>
    </row>
    <row r="366">
      <c r="A366" s="67" t="n"/>
      <c r="B366" s="67" t="n"/>
      <c r="C366" s="67" t="n"/>
    </row>
    <row r="367">
      <c r="A367" s="67" t="n"/>
      <c r="B367" s="67" t="n"/>
      <c r="C367" s="67" t="n"/>
    </row>
    <row r="368">
      <c r="A368" s="67" t="n"/>
      <c r="B368" s="67" t="n"/>
      <c r="C368" s="67" t="n"/>
    </row>
    <row r="369">
      <c r="A369" s="67" t="n"/>
      <c r="B369" s="67" t="n"/>
      <c r="C369" s="67" t="n"/>
    </row>
    <row r="370">
      <c r="A370" s="67" t="n"/>
      <c r="B370" s="67" t="n"/>
      <c r="C370" s="67" t="n"/>
    </row>
    <row r="371">
      <c r="A371" s="67" t="n"/>
      <c r="B371" s="67" t="n"/>
      <c r="C371" s="67" t="n"/>
    </row>
    <row r="372">
      <c r="A372" s="67" t="n"/>
      <c r="B372" s="67" t="n"/>
      <c r="C372" s="67" t="n"/>
    </row>
    <row r="373">
      <c r="A373" s="67" t="n"/>
      <c r="B373" s="67" t="n"/>
      <c r="C373" s="67" t="n"/>
    </row>
    <row r="374">
      <c r="A374" s="67" t="n"/>
      <c r="B374" s="67" t="n"/>
      <c r="C374" s="67" t="n"/>
    </row>
    <row r="375">
      <c r="A375" s="67" t="n"/>
      <c r="B375" s="67" t="n"/>
      <c r="C375" s="67" t="n"/>
    </row>
    <row r="376">
      <c r="A376" s="67" t="n"/>
      <c r="B376" s="67" t="n"/>
      <c r="C376" s="67" t="n"/>
    </row>
    <row r="377">
      <c r="A377" s="67" t="n"/>
      <c r="B377" s="67" t="n"/>
      <c r="C377" s="67" t="n"/>
    </row>
    <row r="378">
      <c r="A378" s="67" t="n"/>
      <c r="B378" s="67" t="n"/>
      <c r="C378" s="67" t="n"/>
    </row>
    <row r="379">
      <c r="A379" s="67" t="n"/>
      <c r="B379" s="67" t="n"/>
      <c r="C379" s="67" t="n"/>
    </row>
    <row r="380">
      <c r="A380" s="67" t="n"/>
      <c r="B380" s="67" t="n"/>
      <c r="C380" s="67" t="n"/>
    </row>
    <row r="381">
      <c r="A381" s="67" t="n"/>
      <c r="B381" s="67" t="n"/>
      <c r="C381" s="67" t="n"/>
    </row>
    <row r="382">
      <c r="A382" s="67" t="n"/>
      <c r="B382" s="67" t="n"/>
      <c r="C382" s="67" t="n"/>
    </row>
    <row r="383">
      <c r="A383" s="67" t="n"/>
      <c r="B383" s="67" t="n"/>
      <c r="C383" s="67" t="n"/>
    </row>
    <row r="384">
      <c r="A384" s="67" t="n"/>
      <c r="B384" s="67" t="n"/>
      <c r="C384" s="67" t="n"/>
    </row>
    <row r="385">
      <c r="A385" s="67" t="n"/>
      <c r="B385" s="67" t="n"/>
      <c r="C385" s="67" t="n"/>
    </row>
    <row r="386">
      <c r="A386" s="67" t="n"/>
      <c r="B386" s="67" t="n"/>
      <c r="C386" s="67" t="n"/>
    </row>
    <row r="387">
      <c r="A387" s="67" t="n"/>
      <c r="B387" s="67" t="n"/>
      <c r="C387" s="67" t="n"/>
    </row>
    <row r="388">
      <c r="A388" s="67" t="n"/>
      <c r="B388" s="67" t="n"/>
      <c r="C388" s="67" t="n"/>
    </row>
    <row r="389">
      <c r="A389" s="67" t="n"/>
      <c r="B389" s="67" t="n"/>
      <c r="C389" s="67" t="n"/>
    </row>
    <row r="390">
      <c r="A390" s="67" t="n"/>
      <c r="B390" s="67" t="n"/>
      <c r="C390" s="67" t="n"/>
    </row>
    <row r="391">
      <c r="A391" s="67" t="n"/>
      <c r="B391" s="67" t="n"/>
      <c r="C391" s="67" t="n"/>
    </row>
    <row r="392">
      <c r="A392" s="67" t="n"/>
      <c r="B392" s="67" t="n"/>
      <c r="C392" s="67" t="n"/>
    </row>
    <row r="393">
      <c r="A393" s="67" t="n"/>
      <c r="B393" s="67" t="n"/>
      <c r="C393" s="67" t="n"/>
    </row>
    <row r="394">
      <c r="A394" s="67" t="n"/>
      <c r="B394" s="67" t="n"/>
      <c r="C394" s="67" t="n"/>
    </row>
    <row r="395">
      <c r="A395" s="67" t="n"/>
      <c r="B395" s="67" t="n"/>
      <c r="C395" s="67" t="n"/>
    </row>
    <row r="396">
      <c r="A396" s="67" t="n"/>
      <c r="B396" s="67" t="n"/>
      <c r="C396" s="67" t="n"/>
    </row>
    <row r="397">
      <c r="A397" s="67" t="n"/>
      <c r="B397" s="67" t="n"/>
      <c r="C397" s="67" t="n"/>
    </row>
    <row r="398">
      <c r="A398" s="67" t="n"/>
      <c r="B398" s="67" t="n"/>
      <c r="C398" s="67" t="n"/>
    </row>
    <row r="399">
      <c r="A399" s="67" t="n"/>
      <c r="B399" s="67" t="n"/>
      <c r="C399" s="67" t="n"/>
    </row>
    <row r="400">
      <c r="A400" s="67" t="n"/>
      <c r="B400" s="67" t="n"/>
      <c r="C400" s="67" t="n"/>
    </row>
    <row r="401">
      <c r="A401" s="67" t="n"/>
      <c r="B401" s="67" t="n"/>
      <c r="C401" s="67" t="n"/>
    </row>
    <row r="402">
      <c r="A402" s="67" t="n"/>
      <c r="B402" s="67" t="n"/>
      <c r="C402" s="67" t="n"/>
    </row>
    <row r="403">
      <c r="A403" s="67" t="n"/>
      <c r="B403" s="67" t="n"/>
      <c r="C403" s="67" t="n"/>
    </row>
    <row r="404">
      <c r="A404" s="67" t="n"/>
      <c r="B404" s="67" t="n"/>
      <c r="C404" s="67" t="n"/>
    </row>
    <row r="405">
      <c r="A405" s="67" t="n"/>
      <c r="B405" s="67" t="n"/>
      <c r="C405" s="67" t="n"/>
    </row>
    <row r="406">
      <c r="A406" s="67" t="n"/>
      <c r="B406" s="67" t="n"/>
      <c r="C406" s="67" t="n"/>
    </row>
    <row r="407">
      <c r="A407" s="67" t="n"/>
      <c r="B407" s="67" t="n"/>
      <c r="C407" s="67" t="n"/>
    </row>
    <row r="408">
      <c r="A408" s="67" t="n"/>
      <c r="B408" s="67" t="n"/>
      <c r="C408" s="67" t="n"/>
    </row>
    <row r="409">
      <c r="A409" s="67" t="n"/>
      <c r="B409" s="67" t="n"/>
      <c r="C409" s="67" t="n"/>
    </row>
    <row r="410">
      <c r="A410" s="67" t="n"/>
      <c r="B410" s="67" t="n"/>
      <c r="C410" s="67" t="n"/>
    </row>
    <row r="411">
      <c r="A411" s="67" t="n"/>
      <c r="B411" s="67" t="n"/>
      <c r="C411" s="67" t="n"/>
    </row>
    <row r="412">
      <c r="A412" s="67" t="n"/>
      <c r="B412" s="67" t="n"/>
      <c r="C412" s="67" t="n"/>
    </row>
    <row r="413">
      <c r="A413" s="67" t="n"/>
      <c r="B413" s="67" t="n"/>
      <c r="C413" s="67" t="n"/>
    </row>
    <row r="414">
      <c r="A414" s="67" t="n"/>
      <c r="B414" s="67" t="n"/>
      <c r="C414" s="67" t="n"/>
    </row>
    <row r="415">
      <c r="A415" s="67" t="n"/>
      <c r="B415" s="67" t="n"/>
      <c r="C415" s="67" t="n"/>
    </row>
    <row r="416">
      <c r="A416" s="67" t="n"/>
      <c r="B416" s="67" t="n"/>
      <c r="C416" s="67" t="n"/>
    </row>
    <row r="417">
      <c r="A417" s="67" t="n"/>
      <c r="B417" s="67" t="n"/>
      <c r="C417" s="67" t="n"/>
    </row>
    <row r="418">
      <c r="A418" s="67" t="n"/>
      <c r="B418" s="67" t="n"/>
      <c r="C418" s="67" t="n"/>
    </row>
    <row r="419">
      <c r="A419" s="67" t="n"/>
      <c r="B419" s="67" t="n"/>
      <c r="C419" s="67" t="n"/>
    </row>
    <row r="420">
      <c r="A420" s="67" t="n"/>
      <c r="B420" s="67" t="n"/>
      <c r="C420" s="67" t="n"/>
    </row>
    <row r="421">
      <c r="A421" s="67" t="n"/>
      <c r="B421" s="67" t="n"/>
      <c r="C421" s="67" t="n"/>
    </row>
    <row r="422">
      <c r="A422" s="67" t="n"/>
      <c r="B422" s="67" t="n"/>
      <c r="C422" s="67" t="n"/>
    </row>
    <row r="423">
      <c r="A423" s="67" t="n"/>
      <c r="B423" s="67" t="n"/>
      <c r="C423" s="67" t="n"/>
    </row>
    <row r="424">
      <c r="A424" s="67" t="n"/>
      <c r="B424" s="67" t="n"/>
      <c r="C424" s="67" t="n"/>
    </row>
    <row r="425">
      <c r="A425" s="67" t="n"/>
      <c r="B425" s="67" t="n"/>
      <c r="C425" s="67" t="n"/>
    </row>
    <row r="426">
      <c r="A426" s="67" t="n"/>
      <c r="B426" s="67" t="n"/>
      <c r="C426" s="67" t="n"/>
    </row>
    <row r="427">
      <c r="A427" s="67" t="n"/>
      <c r="B427" s="67" t="n"/>
      <c r="C427" s="67" t="n"/>
    </row>
    <row r="428">
      <c r="A428" s="67" t="n"/>
      <c r="B428" s="67" t="n"/>
      <c r="C428" s="67" t="n"/>
    </row>
    <row r="429">
      <c r="A429" s="67" t="n"/>
      <c r="B429" s="67" t="n"/>
      <c r="C429" s="67" t="n"/>
    </row>
    <row r="430">
      <c r="A430" s="67" t="n"/>
      <c r="B430" s="67" t="n"/>
      <c r="C430" s="67" t="n"/>
    </row>
    <row r="431">
      <c r="A431" s="67" t="n"/>
      <c r="B431" s="67" t="n"/>
      <c r="C431" s="67" t="n"/>
    </row>
    <row r="432">
      <c r="A432" s="67" t="n"/>
      <c r="B432" s="67" t="n"/>
      <c r="C432" s="67" t="n"/>
    </row>
    <row r="433">
      <c r="A433" s="67" t="n"/>
      <c r="B433" s="67" t="n"/>
      <c r="C433" s="67" t="n"/>
    </row>
    <row r="434">
      <c r="A434" s="67" t="n"/>
      <c r="B434" s="67" t="n"/>
      <c r="C434" s="67" t="n"/>
    </row>
    <row r="435">
      <c r="A435" s="67" t="n"/>
      <c r="B435" s="67" t="n"/>
      <c r="C435" s="67" t="n"/>
    </row>
    <row r="436">
      <c r="A436" s="67" t="n"/>
      <c r="B436" s="67" t="n"/>
      <c r="C436" s="67" t="n"/>
    </row>
    <row r="437">
      <c r="A437" s="67" t="n"/>
      <c r="B437" s="67" t="n"/>
      <c r="C437" s="67" t="n"/>
    </row>
    <row r="438">
      <c r="A438" s="67" t="n"/>
      <c r="B438" s="67" t="n"/>
      <c r="C438" s="67" t="n"/>
    </row>
    <row r="439">
      <c r="A439" s="67" t="n"/>
      <c r="B439" s="67" t="n"/>
      <c r="C439" s="67" t="n"/>
    </row>
    <row r="440">
      <c r="A440" s="67" t="n"/>
      <c r="B440" s="67" t="n"/>
      <c r="C440" s="67" t="n"/>
    </row>
    <row r="441">
      <c r="A441" s="67" t="n"/>
      <c r="B441" s="67" t="n"/>
      <c r="C441" s="67" t="n"/>
    </row>
    <row r="442">
      <c r="A442" s="67" t="n"/>
      <c r="B442" s="67" t="n"/>
      <c r="C442" s="67" t="n"/>
    </row>
    <row r="443">
      <c r="A443" s="67" t="n"/>
      <c r="B443" s="67" t="n"/>
      <c r="C443" s="67" t="n"/>
    </row>
    <row r="444">
      <c r="A444" s="67" t="n"/>
      <c r="B444" s="67" t="n"/>
      <c r="C444" s="67" t="n"/>
    </row>
    <row r="445">
      <c r="A445" s="67" t="n"/>
      <c r="B445" s="67" t="n"/>
      <c r="C445" s="67" t="n"/>
    </row>
    <row r="446">
      <c r="A446" s="67" t="n"/>
      <c r="B446" s="67" t="n"/>
      <c r="C446" s="67" t="n"/>
    </row>
    <row r="447">
      <c r="A447" s="67" t="n"/>
      <c r="B447" s="67" t="n"/>
      <c r="C447" s="67" t="n"/>
    </row>
    <row r="448">
      <c r="A448" s="67" t="n"/>
      <c r="B448" s="67" t="n"/>
      <c r="C448" s="67" t="n"/>
    </row>
    <row r="449">
      <c r="A449" s="67" t="n"/>
      <c r="B449" s="67" t="n"/>
      <c r="C449" s="67" t="n"/>
    </row>
    <row r="450">
      <c r="A450" s="67" t="n"/>
      <c r="B450" s="67" t="n"/>
      <c r="C450" s="67" t="n"/>
    </row>
    <row r="451">
      <c r="A451" s="67" t="n"/>
      <c r="B451" s="67" t="n"/>
      <c r="C451" s="67" t="n"/>
    </row>
    <row r="452">
      <c r="A452" s="67" t="n"/>
      <c r="B452" s="67" t="n"/>
      <c r="C452" s="67" t="n"/>
    </row>
    <row r="453">
      <c r="A453" s="67" t="n"/>
      <c r="B453" s="67" t="n"/>
      <c r="C453" s="67" t="n"/>
    </row>
    <row r="454">
      <c r="A454" s="67" t="n"/>
      <c r="B454" s="67" t="n"/>
      <c r="C454" s="67" t="n"/>
    </row>
    <row r="455">
      <c r="A455" s="67" t="n"/>
      <c r="B455" s="67" t="n"/>
      <c r="C455" s="67" t="n"/>
    </row>
    <row r="456">
      <c r="A456" s="67" t="n"/>
      <c r="B456" s="67" t="n"/>
      <c r="C456" s="67" t="n"/>
    </row>
    <row r="457">
      <c r="A457" s="67" t="n"/>
      <c r="B457" s="67" t="n"/>
      <c r="C457" s="67" t="n"/>
    </row>
    <row r="458">
      <c r="A458" s="67" t="n"/>
      <c r="B458" s="67" t="n"/>
      <c r="C458" s="67" t="n"/>
    </row>
    <row r="459">
      <c r="A459" s="67" t="n"/>
      <c r="B459" s="67" t="n"/>
      <c r="C459" s="67" t="n"/>
    </row>
    <row r="460">
      <c r="A460" s="67" t="n"/>
      <c r="B460" s="67" t="n"/>
      <c r="C460" s="67" t="n"/>
    </row>
    <row r="461">
      <c r="A461" s="67" t="n"/>
      <c r="B461" s="67" t="n"/>
      <c r="C461" s="67" t="n"/>
    </row>
    <row r="462">
      <c r="A462" s="67" t="n"/>
      <c r="B462" s="67" t="n"/>
      <c r="C462" s="67" t="n"/>
    </row>
    <row r="463">
      <c r="A463" s="67" t="n"/>
      <c r="B463" s="67" t="n"/>
      <c r="C463" s="67" t="n"/>
    </row>
    <row r="464">
      <c r="A464" s="67" t="n"/>
      <c r="B464" s="67" t="n"/>
      <c r="C464" s="67" t="n"/>
    </row>
    <row r="465">
      <c r="A465" s="67" t="n"/>
      <c r="B465" s="67" t="n"/>
      <c r="C465" s="67" t="n"/>
    </row>
    <row r="466">
      <c r="A466" s="67" t="n"/>
      <c r="B466" s="67" t="n"/>
      <c r="C466" s="67" t="n"/>
    </row>
    <row r="467">
      <c r="A467" s="67" t="n"/>
      <c r="B467" s="67" t="n"/>
      <c r="C467" s="67" t="n"/>
    </row>
    <row r="468">
      <c r="A468" s="67" t="n"/>
      <c r="B468" s="67" t="n"/>
      <c r="C468" s="67" t="n"/>
    </row>
    <row r="469">
      <c r="A469" s="67" t="n"/>
      <c r="B469" s="67" t="n"/>
      <c r="C469" s="67" t="n"/>
    </row>
    <row r="470">
      <c r="A470" s="67" t="n"/>
      <c r="B470" s="67" t="n"/>
      <c r="C470" s="67" t="n"/>
    </row>
    <row r="471">
      <c r="A471" s="67" t="n"/>
      <c r="B471" s="67" t="n"/>
      <c r="C471" s="67" t="n"/>
    </row>
    <row r="472">
      <c r="A472" s="67" t="n"/>
      <c r="B472" s="67" t="n"/>
      <c r="C472" s="67" t="n"/>
    </row>
    <row r="473">
      <c r="A473" s="67" t="n"/>
      <c r="B473" s="67" t="n"/>
      <c r="C473" s="67" t="n"/>
    </row>
    <row r="474">
      <c r="A474" s="67" t="n"/>
      <c r="B474" s="67" t="n"/>
      <c r="C474" s="67" t="n"/>
    </row>
    <row r="475">
      <c r="A475" s="67" t="n"/>
      <c r="B475" s="67" t="n"/>
      <c r="C475" s="67" t="n"/>
    </row>
    <row r="476">
      <c r="A476" s="67" t="n"/>
      <c r="B476" s="67" t="n"/>
      <c r="C476" s="67" t="n"/>
    </row>
    <row r="477">
      <c r="A477" s="67" t="n"/>
      <c r="B477" s="67" t="n"/>
      <c r="C477" s="67" t="n"/>
    </row>
    <row r="478">
      <c r="A478" s="67" t="n"/>
      <c r="B478" s="67" t="n"/>
      <c r="C478" s="67" t="n"/>
    </row>
    <row r="479">
      <c r="A479" s="67" t="n"/>
      <c r="B479" s="67" t="n"/>
      <c r="C479" s="67" t="n"/>
    </row>
    <row r="480">
      <c r="A480" s="67" t="n"/>
      <c r="B480" s="67" t="n"/>
      <c r="C480" s="67" t="n"/>
    </row>
    <row r="481">
      <c r="A481" s="67" t="n"/>
      <c r="B481" s="67" t="n"/>
      <c r="C481" s="67" t="n"/>
    </row>
    <row r="482">
      <c r="A482" s="67" t="n"/>
      <c r="B482" s="67" t="n"/>
      <c r="C482" s="67" t="n"/>
    </row>
    <row r="483">
      <c r="A483" s="67" t="n"/>
      <c r="B483" s="67" t="n"/>
      <c r="C483" s="67" t="n"/>
    </row>
    <row r="484">
      <c r="A484" s="67" t="n"/>
      <c r="B484" s="67" t="n"/>
      <c r="C484" s="67" t="n"/>
    </row>
    <row r="485">
      <c r="A485" s="67" t="n"/>
      <c r="B485" s="67" t="n"/>
      <c r="C485" s="67" t="n"/>
    </row>
    <row r="486">
      <c r="A486" s="67" t="n"/>
      <c r="B486" s="67" t="n"/>
      <c r="C486" s="67" t="n"/>
    </row>
    <row r="487">
      <c r="A487" s="67" t="n"/>
      <c r="B487" s="67" t="n"/>
      <c r="C487" s="67" t="n"/>
    </row>
    <row r="488">
      <c r="A488" s="67" t="n"/>
      <c r="B488" s="67" t="n"/>
      <c r="C488" s="67" t="n"/>
    </row>
    <row r="489">
      <c r="A489" s="67" t="n"/>
      <c r="B489" s="67" t="n"/>
      <c r="C489" s="67" t="n"/>
    </row>
    <row r="490">
      <c r="A490" s="67" t="n"/>
      <c r="B490" s="67" t="n"/>
      <c r="C490" s="67" t="n"/>
    </row>
    <row r="491">
      <c r="A491" s="67" t="n"/>
      <c r="B491" s="67" t="n"/>
      <c r="C491" s="67" t="n"/>
    </row>
    <row r="492">
      <c r="A492" s="67" t="n"/>
      <c r="B492" s="67" t="n"/>
      <c r="C492" s="67" t="n"/>
    </row>
    <row r="493">
      <c r="A493" s="67" t="n"/>
      <c r="B493" s="67" t="n"/>
      <c r="C493" s="67" t="n"/>
    </row>
    <row r="494">
      <c r="A494" s="67" t="n"/>
      <c r="B494" s="67" t="n"/>
      <c r="C494" s="67" t="n"/>
    </row>
    <row r="495">
      <c r="A495" s="67" t="n"/>
      <c r="B495" s="67" t="n"/>
      <c r="C495" s="67" t="n"/>
    </row>
    <row r="496">
      <c r="A496" s="67" t="n"/>
      <c r="B496" s="67" t="n"/>
      <c r="C496" s="67" t="n"/>
    </row>
    <row r="497">
      <c r="A497" s="67" t="n"/>
      <c r="B497" s="67" t="n"/>
      <c r="C497" s="67" t="n"/>
    </row>
    <row r="498">
      <c r="A498" s="67" t="n"/>
      <c r="B498" s="67" t="n"/>
      <c r="C498" s="67" t="n"/>
    </row>
    <row r="499">
      <c r="A499" s="67" t="n"/>
      <c r="B499" s="67" t="n"/>
      <c r="C499" s="67" t="n"/>
    </row>
    <row r="500">
      <c r="A500" s="67" t="n"/>
      <c r="B500" s="67" t="n"/>
      <c r="C500" s="67" t="n"/>
    </row>
    <row r="501">
      <c r="A501" s="67" t="n"/>
      <c r="B501" s="67" t="n"/>
      <c r="C501" s="67" t="n"/>
    </row>
    <row r="502">
      <c r="A502" s="67" t="n"/>
      <c r="B502" s="67" t="n"/>
      <c r="C502" s="67" t="n"/>
    </row>
    <row r="503">
      <c r="A503" s="67" t="n"/>
      <c r="B503" s="67" t="n"/>
      <c r="C503" s="67" t="n"/>
    </row>
    <row r="504">
      <c r="A504" s="67" t="n"/>
      <c r="B504" s="67" t="n"/>
      <c r="C504" s="6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  <col width="30" customWidth="1" min="5" max="5"/>
  </cols>
  <sheetData>
    <row r="1">
      <c r="A1" s="1" t="inlineStr">
        <is>
          <t>부서 매핑 (코스트센터 → 부서)</t>
        </is>
      </c>
    </row>
    <row r="2">
      <c r="A2" s="2" t="inlineStr">
        <is>
          <t>코드 칸은 텍스트 형식 · 조직개편 시 여기만 고치면 전체 반영</t>
        </is>
      </c>
    </row>
    <row r="4" ht="30" customHeight="1">
      <c r="A4" s="5" t="inlineStr">
        <is>
          <t>코스트센터</t>
        </is>
      </c>
      <c r="B4" s="5" t="inlineStr">
        <is>
          <t>코스트센터명</t>
        </is>
      </c>
      <c r="C4" s="5" t="inlineStr">
        <is>
          <t>부서코드</t>
        </is>
      </c>
      <c r="D4" s="5" t="inlineStr">
        <is>
          <t>부서명</t>
        </is>
      </c>
      <c r="E4" s="5" t="inlineStr">
        <is>
          <t>비고</t>
        </is>
      </c>
    </row>
    <row r="5">
      <c r="A5" s="65" t="inlineStr">
        <is>
          <t>1101</t>
        </is>
      </c>
      <c r="B5" s="66" t="inlineStr">
        <is>
          <t>경영기획</t>
        </is>
      </c>
      <c r="C5" s="65" t="inlineStr">
        <is>
          <t>D100</t>
        </is>
      </c>
      <c r="D5" s="56" t="inlineStr">
        <is>
          <t>경영기획팀</t>
        </is>
      </c>
      <c r="E5" s="56" t="n"/>
    </row>
    <row r="6">
      <c r="A6" s="65" t="inlineStr">
        <is>
          <t>1201</t>
        </is>
      </c>
      <c r="B6" s="66" t="inlineStr">
        <is>
          <t>재무회계</t>
        </is>
      </c>
      <c r="C6" s="65" t="inlineStr">
        <is>
          <t>D200</t>
        </is>
      </c>
      <c r="D6" s="56" t="inlineStr">
        <is>
          <t>재무회계팀</t>
        </is>
      </c>
      <c r="E6" s="56" t="n"/>
    </row>
    <row r="7">
      <c r="A7" s="65" t="inlineStr">
        <is>
          <t>1301</t>
        </is>
      </c>
      <c r="B7" s="66" t="inlineStr">
        <is>
          <t>인사</t>
        </is>
      </c>
      <c r="C7" s="65" t="inlineStr">
        <is>
          <t>D300</t>
        </is>
      </c>
      <c r="D7" s="56" t="inlineStr">
        <is>
          <t>인사팀</t>
        </is>
      </c>
      <c r="E7" s="56" t="n"/>
    </row>
    <row r="8">
      <c r="A8" s="65" t="inlineStr">
        <is>
          <t>1401</t>
        </is>
      </c>
      <c r="B8" s="66" t="inlineStr">
        <is>
          <t>상품개발</t>
        </is>
      </c>
      <c r="C8" s="65" t="inlineStr">
        <is>
          <t>D400</t>
        </is>
      </c>
      <c r="D8" s="56" t="inlineStr">
        <is>
          <t>상품개발팀</t>
        </is>
      </c>
      <c r="E8" s="56" t="n"/>
    </row>
    <row r="9">
      <c r="A9" s="65" t="inlineStr">
        <is>
          <t>1501</t>
        </is>
      </c>
      <c r="B9" s="66" t="inlineStr">
        <is>
          <t>마케팅전략</t>
        </is>
      </c>
      <c r="C9" s="65" t="inlineStr">
        <is>
          <t>D500</t>
        </is>
      </c>
      <c r="D9" s="56" t="inlineStr">
        <is>
          <t>마케팅팀</t>
        </is>
      </c>
      <c r="E9" s="56" t="n"/>
    </row>
    <row r="10">
      <c r="A10" s="65" t="inlineStr">
        <is>
          <t>1502</t>
        </is>
      </c>
      <c r="B10" s="66" t="inlineStr">
        <is>
          <t>디지털마케팅</t>
        </is>
      </c>
      <c r="C10" s="65" t="inlineStr">
        <is>
          <t>D500</t>
        </is>
      </c>
      <c r="D10" s="56" t="inlineStr">
        <is>
          <t>마케팅팀</t>
        </is>
      </c>
      <c r="E10" s="56" t="n"/>
    </row>
    <row r="11">
      <c r="A11" s="65" t="inlineStr">
        <is>
          <t>1601</t>
        </is>
      </c>
      <c r="B11" s="66" t="inlineStr">
        <is>
          <t>영업지원-본사</t>
        </is>
      </c>
      <c r="C11" s="65" t="inlineStr">
        <is>
          <t>D600</t>
        </is>
      </c>
      <c r="D11" s="56" t="inlineStr">
        <is>
          <t>영업지원팀</t>
        </is>
      </c>
      <c r="E11" s="56" t="n"/>
    </row>
    <row r="12">
      <c r="A12" s="65" t="inlineStr">
        <is>
          <t>1602</t>
        </is>
      </c>
      <c r="B12" s="66" t="inlineStr">
        <is>
          <t>영업지원-지역본부</t>
        </is>
      </c>
      <c r="C12" s="65" t="inlineStr">
        <is>
          <t>D600</t>
        </is>
      </c>
      <c r="D12" s="56" t="inlineStr">
        <is>
          <t>영업지원팀</t>
        </is>
      </c>
      <c r="E12" s="56" t="n"/>
    </row>
    <row r="13">
      <c r="A13" s="65" t="inlineStr">
        <is>
          <t>1701</t>
        </is>
      </c>
      <c r="B13" s="66" t="inlineStr">
        <is>
          <t>IT운영</t>
        </is>
      </c>
      <c r="C13" s="65" t="inlineStr">
        <is>
          <t>D700</t>
        </is>
      </c>
      <c r="D13" s="56" t="inlineStr">
        <is>
          <t>IT운영팀</t>
        </is>
      </c>
      <c r="E13" s="56" t="n"/>
    </row>
    <row r="14">
      <c r="A14" s="65" t="inlineStr">
        <is>
          <t>1801</t>
        </is>
      </c>
      <c r="B14" s="66" t="inlineStr">
        <is>
          <t>고객서비스</t>
        </is>
      </c>
      <c r="C14" s="65" t="inlineStr">
        <is>
          <t>D800</t>
        </is>
      </c>
      <c r="D14" s="56" t="inlineStr">
        <is>
          <t>고객서비스팀</t>
        </is>
      </c>
      <c r="E14" s="56" t="n"/>
    </row>
    <row r="15">
      <c r="A15" s="67" t="n"/>
      <c r="B15" s="67" t="n"/>
      <c r="C15" s="67" t="n"/>
    </row>
    <row r="16">
      <c r="A16" s="67" t="n"/>
      <c r="B16" s="67" t="n"/>
      <c r="C16" s="67" t="n"/>
    </row>
    <row r="17">
      <c r="A17" s="67" t="n"/>
      <c r="B17" s="67" t="n"/>
      <c r="C17" s="67" t="n"/>
    </row>
    <row r="18">
      <c r="A18" s="67" t="n"/>
      <c r="B18" s="67" t="n"/>
      <c r="C18" s="67" t="n"/>
    </row>
    <row r="19">
      <c r="A19" s="67" t="n"/>
      <c r="B19" s="67" t="n"/>
      <c r="C19" s="67" t="n"/>
    </row>
    <row r="20">
      <c r="A20" s="67" t="n"/>
      <c r="B20" s="67" t="n"/>
      <c r="C20" s="67" t="n"/>
    </row>
    <row r="21">
      <c r="A21" s="67" t="n"/>
      <c r="B21" s="67" t="n"/>
      <c r="C21" s="67" t="n"/>
    </row>
    <row r="22">
      <c r="A22" s="67" t="n"/>
      <c r="B22" s="67" t="n"/>
      <c r="C22" s="67" t="n"/>
    </row>
    <row r="23">
      <c r="A23" s="67" t="n"/>
      <c r="B23" s="67" t="n"/>
      <c r="C23" s="67" t="n"/>
    </row>
    <row r="24">
      <c r="A24" s="67" t="n"/>
      <c r="B24" s="67" t="n"/>
      <c r="C24" s="67" t="n"/>
    </row>
    <row r="25">
      <c r="A25" s="67" t="n"/>
      <c r="B25" s="67" t="n"/>
      <c r="C25" s="67" t="n"/>
    </row>
    <row r="26">
      <c r="A26" s="67" t="n"/>
      <c r="B26" s="67" t="n"/>
      <c r="C26" s="67" t="n"/>
    </row>
    <row r="27">
      <c r="A27" s="67" t="n"/>
      <c r="B27" s="67" t="n"/>
      <c r="C27" s="67" t="n"/>
    </row>
    <row r="28">
      <c r="A28" s="67" t="n"/>
      <c r="B28" s="67" t="n"/>
      <c r="C28" s="67" t="n"/>
    </row>
    <row r="29">
      <c r="A29" s="67" t="n"/>
      <c r="B29" s="67" t="n"/>
      <c r="C29" s="67" t="n"/>
    </row>
    <row r="30">
      <c r="A30" s="67" t="n"/>
      <c r="B30" s="67" t="n"/>
      <c r="C30" s="67" t="n"/>
    </row>
    <row r="31">
      <c r="A31" s="67" t="n"/>
      <c r="B31" s="67" t="n"/>
      <c r="C31" s="67" t="n"/>
    </row>
    <row r="32">
      <c r="A32" s="67" t="n"/>
      <c r="B32" s="67" t="n"/>
      <c r="C32" s="67" t="n"/>
    </row>
    <row r="33">
      <c r="A33" s="67" t="n"/>
      <c r="B33" s="67" t="n"/>
      <c r="C33" s="67" t="n"/>
    </row>
    <row r="34">
      <c r="A34" s="67" t="n"/>
      <c r="B34" s="67" t="n"/>
      <c r="C34" s="67" t="n"/>
    </row>
    <row r="35">
      <c r="A35" s="67" t="n"/>
      <c r="B35" s="67" t="n"/>
      <c r="C35" s="67" t="n"/>
    </row>
    <row r="36">
      <c r="A36" s="67" t="n"/>
      <c r="B36" s="67" t="n"/>
      <c r="C36" s="67" t="n"/>
    </row>
    <row r="37">
      <c r="A37" s="67" t="n"/>
      <c r="B37" s="67" t="n"/>
      <c r="C37" s="67" t="n"/>
    </row>
    <row r="38">
      <c r="A38" s="67" t="n"/>
      <c r="B38" s="67" t="n"/>
      <c r="C38" s="67" t="n"/>
    </row>
    <row r="39">
      <c r="A39" s="67" t="n"/>
      <c r="B39" s="67" t="n"/>
      <c r="C39" s="67" t="n"/>
    </row>
    <row r="40">
      <c r="A40" s="67" t="n"/>
      <c r="B40" s="67" t="n"/>
      <c r="C40" s="67" t="n"/>
    </row>
    <row r="41">
      <c r="A41" s="67" t="n"/>
      <c r="B41" s="67" t="n"/>
      <c r="C41" s="67" t="n"/>
    </row>
    <row r="42">
      <c r="A42" s="67" t="n"/>
      <c r="B42" s="67" t="n"/>
      <c r="C42" s="67" t="n"/>
    </row>
    <row r="43">
      <c r="A43" s="67" t="n"/>
      <c r="B43" s="67" t="n"/>
      <c r="C43" s="67" t="n"/>
    </row>
    <row r="44">
      <c r="A44" s="67" t="n"/>
      <c r="B44" s="67" t="n"/>
      <c r="C44" s="67" t="n"/>
    </row>
    <row r="45">
      <c r="A45" s="67" t="n"/>
      <c r="B45" s="67" t="n"/>
      <c r="C45" s="67" t="n"/>
    </row>
    <row r="46">
      <c r="A46" s="67" t="n"/>
      <c r="B46" s="67" t="n"/>
      <c r="C46" s="67" t="n"/>
    </row>
    <row r="47">
      <c r="A47" s="67" t="n"/>
      <c r="B47" s="67" t="n"/>
      <c r="C47" s="67" t="n"/>
    </row>
    <row r="48">
      <c r="A48" s="67" t="n"/>
      <c r="B48" s="67" t="n"/>
      <c r="C48" s="67" t="n"/>
    </row>
    <row r="49">
      <c r="A49" s="67" t="n"/>
      <c r="B49" s="67" t="n"/>
      <c r="C49" s="67" t="n"/>
    </row>
    <row r="50">
      <c r="A50" s="67" t="n"/>
      <c r="B50" s="67" t="n"/>
      <c r="C50" s="67" t="n"/>
    </row>
    <row r="51">
      <c r="A51" s="67" t="n"/>
      <c r="B51" s="67" t="n"/>
      <c r="C51" s="67" t="n"/>
    </row>
    <row r="52">
      <c r="A52" s="67" t="n"/>
      <c r="B52" s="67" t="n"/>
      <c r="C52" s="67" t="n"/>
    </row>
    <row r="53">
      <c r="A53" s="67" t="n"/>
      <c r="B53" s="67" t="n"/>
      <c r="C53" s="67" t="n"/>
    </row>
    <row r="54">
      <c r="A54" s="67" t="n"/>
      <c r="B54" s="67" t="n"/>
      <c r="C54" s="67" t="n"/>
    </row>
    <row r="55">
      <c r="A55" s="67" t="n"/>
      <c r="B55" s="67" t="n"/>
      <c r="C55" s="67" t="n"/>
    </row>
    <row r="56">
      <c r="A56" s="67" t="n"/>
      <c r="B56" s="67" t="n"/>
      <c r="C56" s="67" t="n"/>
    </row>
    <row r="57">
      <c r="A57" s="67" t="n"/>
      <c r="B57" s="67" t="n"/>
      <c r="C57" s="67" t="n"/>
    </row>
    <row r="58">
      <c r="A58" s="67" t="n"/>
      <c r="B58" s="67" t="n"/>
      <c r="C58" s="67" t="n"/>
    </row>
    <row r="59">
      <c r="A59" s="67" t="n"/>
      <c r="B59" s="67" t="n"/>
      <c r="C59" s="67" t="n"/>
    </row>
    <row r="60">
      <c r="A60" s="67" t="n"/>
      <c r="B60" s="67" t="n"/>
      <c r="C60" s="67" t="n"/>
    </row>
    <row r="61">
      <c r="A61" s="67" t="n"/>
      <c r="B61" s="67" t="n"/>
      <c r="C61" s="67" t="n"/>
    </row>
    <row r="62">
      <c r="A62" s="67" t="n"/>
      <c r="B62" s="67" t="n"/>
      <c r="C62" s="67" t="n"/>
    </row>
    <row r="63">
      <c r="A63" s="67" t="n"/>
      <c r="B63" s="67" t="n"/>
      <c r="C63" s="67" t="n"/>
    </row>
    <row r="64">
      <c r="A64" s="67" t="n"/>
      <c r="B64" s="67" t="n"/>
      <c r="C64" s="67" t="n"/>
    </row>
    <row r="65">
      <c r="A65" s="67" t="n"/>
      <c r="B65" s="67" t="n"/>
      <c r="C65" s="67" t="n"/>
    </row>
    <row r="66">
      <c r="A66" s="67" t="n"/>
      <c r="B66" s="67" t="n"/>
      <c r="C66" s="67" t="n"/>
    </row>
    <row r="67">
      <c r="A67" s="67" t="n"/>
      <c r="B67" s="67" t="n"/>
      <c r="C67" s="67" t="n"/>
    </row>
    <row r="68">
      <c r="A68" s="67" t="n"/>
      <c r="B68" s="67" t="n"/>
      <c r="C68" s="67" t="n"/>
    </row>
    <row r="69">
      <c r="A69" s="67" t="n"/>
      <c r="B69" s="67" t="n"/>
      <c r="C69" s="67" t="n"/>
    </row>
    <row r="70">
      <c r="A70" s="67" t="n"/>
      <c r="B70" s="67" t="n"/>
      <c r="C70" s="67" t="n"/>
    </row>
    <row r="71">
      <c r="A71" s="67" t="n"/>
      <c r="B71" s="67" t="n"/>
      <c r="C71" s="67" t="n"/>
    </row>
    <row r="72">
      <c r="A72" s="67" t="n"/>
      <c r="B72" s="67" t="n"/>
      <c r="C72" s="67" t="n"/>
    </row>
    <row r="73">
      <c r="A73" s="67" t="n"/>
      <c r="B73" s="67" t="n"/>
      <c r="C73" s="67" t="n"/>
    </row>
    <row r="74">
      <c r="A74" s="67" t="n"/>
      <c r="B74" s="67" t="n"/>
      <c r="C74" s="67" t="n"/>
    </row>
    <row r="75">
      <c r="A75" s="67" t="n"/>
      <c r="B75" s="67" t="n"/>
      <c r="C75" s="67" t="n"/>
    </row>
    <row r="76">
      <c r="A76" s="67" t="n"/>
      <c r="B76" s="67" t="n"/>
      <c r="C76" s="67" t="n"/>
    </row>
    <row r="77">
      <c r="A77" s="67" t="n"/>
      <c r="B77" s="67" t="n"/>
      <c r="C77" s="67" t="n"/>
    </row>
    <row r="78">
      <c r="A78" s="67" t="n"/>
      <c r="B78" s="67" t="n"/>
      <c r="C78" s="67" t="n"/>
    </row>
    <row r="79">
      <c r="A79" s="67" t="n"/>
      <c r="B79" s="67" t="n"/>
      <c r="C79" s="67" t="n"/>
    </row>
    <row r="80">
      <c r="A80" s="67" t="n"/>
      <c r="B80" s="67" t="n"/>
      <c r="C80" s="67" t="n"/>
    </row>
    <row r="81">
      <c r="A81" s="67" t="n"/>
      <c r="B81" s="67" t="n"/>
      <c r="C81" s="67" t="n"/>
    </row>
    <row r="82">
      <c r="A82" s="67" t="n"/>
      <c r="B82" s="67" t="n"/>
      <c r="C82" s="67" t="n"/>
    </row>
    <row r="83">
      <c r="A83" s="67" t="n"/>
      <c r="B83" s="67" t="n"/>
      <c r="C83" s="67" t="n"/>
    </row>
    <row r="84">
      <c r="A84" s="67" t="n"/>
      <c r="B84" s="67" t="n"/>
      <c r="C84" s="67" t="n"/>
    </row>
    <row r="85">
      <c r="A85" s="67" t="n"/>
      <c r="B85" s="67" t="n"/>
      <c r="C85" s="67" t="n"/>
    </row>
    <row r="86">
      <c r="A86" s="67" t="n"/>
      <c r="B86" s="67" t="n"/>
      <c r="C86" s="67" t="n"/>
    </row>
    <row r="87">
      <c r="A87" s="67" t="n"/>
      <c r="B87" s="67" t="n"/>
      <c r="C87" s="67" t="n"/>
    </row>
    <row r="88">
      <c r="A88" s="67" t="n"/>
      <c r="B88" s="67" t="n"/>
      <c r="C88" s="67" t="n"/>
    </row>
    <row r="89">
      <c r="A89" s="67" t="n"/>
      <c r="B89" s="67" t="n"/>
      <c r="C89" s="67" t="n"/>
    </row>
    <row r="90">
      <c r="A90" s="67" t="n"/>
      <c r="B90" s="67" t="n"/>
      <c r="C90" s="67" t="n"/>
    </row>
    <row r="91">
      <c r="A91" s="67" t="n"/>
      <c r="B91" s="67" t="n"/>
      <c r="C91" s="67" t="n"/>
    </row>
    <row r="92">
      <c r="A92" s="67" t="n"/>
      <c r="B92" s="67" t="n"/>
      <c r="C92" s="67" t="n"/>
    </row>
    <row r="93">
      <c r="A93" s="67" t="n"/>
      <c r="B93" s="67" t="n"/>
      <c r="C93" s="67" t="n"/>
    </row>
    <row r="94">
      <c r="A94" s="67" t="n"/>
      <c r="B94" s="67" t="n"/>
      <c r="C94" s="67" t="n"/>
    </row>
    <row r="95">
      <c r="A95" s="67" t="n"/>
      <c r="B95" s="67" t="n"/>
      <c r="C95" s="67" t="n"/>
    </row>
    <row r="96">
      <c r="A96" s="67" t="n"/>
      <c r="B96" s="67" t="n"/>
      <c r="C96" s="67" t="n"/>
    </row>
    <row r="97">
      <c r="A97" s="67" t="n"/>
      <c r="B97" s="67" t="n"/>
      <c r="C97" s="67" t="n"/>
    </row>
    <row r="98">
      <c r="A98" s="67" t="n"/>
      <c r="B98" s="67" t="n"/>
      <c r="C98" s="67" t="n"/>
    </row>
    <row r="99">
      <c r="A99" s="67" t="n"/>
      <c r="B99" s="67" t="n"/>
      <c r="C99" s="67" t="n"/>
    </row>
    <row r="100">
      <c r="A100" s="67" t="n"/>
      <c r="B100" s="67" t="n"/>
      <c r="C100" s="67" t="n"/>
    </row>
    <row r="101">
      <c r="A101" s="67" t="n"/>
      <c r="B101" s="67" t="n"/>
      <c r="C101" s="67" t="n"/>
    </row>
    <row r="102">
      <c r="A102" s="67" t="n"/>
      <c r="B102" s="67" t="n"/>
      <c r="C102" s="67" t="n"/>
    </row>
    <row r="103">
      <c r="A103" s="67" t="n"/>
      <c r="B103" s="67" t="n"/>
      <c r="C103" s="67" t="n"/>
    </row>
    <row r="104">
      <c r="A104" s="67" t="n"/>
      <c r="B104" s="67" t="n"/>
      <c r="C104" s="67" t="n"/>
    </row>
    <row r="105">
      <c r="A105" s="67" t="n"/>
      <c r="B105" s="67" t="n"/>
      <c r="C105" s="67" t="n"/>
    </row>
    <row r="106">
      <c r="A106" s="67" t="n"/>
      <c r="B106" s="67" t="n"/>
      <c r="C106" s="67" t="n"/>
    </row>
    <row r="107">
      <c r="A107" s="67" t="n"/>
      <c r="B107" s="67" t="n"/>
      <c r="C107" s="67" t="n"/>
    </row>
    <row r="108">
      <c r="A108" s="67" t="n"/>
      <c r="B108" s="67" t="n"/>
      <c r="C108" s="67" t="n"/>
    </row>
    <row r="109">
      <c r="A109" s="67" t="n"/>
      <c r="B109" s="67" t="n"/>
      <c r="C109" s="67" t="n"/>
    </row>
    <row r="110">
      <c r="A110" s="67" t="n"/>
      <c r="B110" s="67" t="n"/>
      <c r="C110" s="67" t="n"/>
    </row>
    <row r="111">
      <c r="A111" s="67" t="n"/>
      <c r="B111" s="67" t="n"/>
      <c r="C111" s="67" t="n"/>
    </row>
    <row r="112">
      <c r="A112" s="67" t="n"/>
      <c r="B112" s="67" t="n"/>
      <c r="C112" s="67" t="n"/>
    </row>
    <row r="113">
      <c r="A113" s="67" t="n"/>
      <c r="B113" s="67" t="n"/>
      <c r="C113" s="67" t="n"/>
    </row>
    <row r="114">
      <c r="A114" s="67" t="n"/>
      <c r="B114" s="67" t="n"/>
      <c r="C114" s="67" t="n"/>
    </row>
    <row r="115">
      <c r="A115" s="67" t="n"/>
      <c r="B115" s="67" t="n"/>
      <c r="C115" s="67" t="n"/>
    </row>
    <row r="116">
      <c r="A116" s="67" t="n"/>
      <c r="B116" s="67" t="n"/>
      <c r="C116" s="67" t="n"/>
    </row>
    <row r="117">
      <c r="A117" s="67" t="n"/>
      <c r="B117" s="67" t="n"/>
      <c r="C117" s="67" t="n"/>
    </row>
    <row r="118">
      <c r="A118" s="67" t="n"/>
      <c r="B118" s="67" t="n"/>
      <c r="C118" s="67" t="n"/>
    </row>
    <row r="119">
      <c r="A119" s="67" t="n"/>
      <c r="B119" s="67" t="n"/>
      <c r="C119" s="67" t="n"/>
    </row>
    <row r="120">
      <c r="A120" s="67" t="n"/>
      <c r="B120" s="67" t="n"/>
      <c r="C120" s="67" t="n"/>
    </row>
    <row r="121">
      <c r="A121" s="67" t="n"/>
      <c r="B121" s="67" t="n"/>
      <c r="C121" s="67" t="n"/>
    </row>
    <row r="122">
      <c r="A122" s="67" t="n"/>
      <c r="B122" s="67" t="n"/>
      <c r="C122" s="67" t="n"/>
    </row>
    <row r="123">
      <c r="A123" s="67" t="n"/>
      <c r="B123" s="67" t="n"/>
      <c r="C123" s="67" t="n"/>
    </row>
    <row r="124">
      <c r="A124" s="67" t="n"/>
      <c r="B124" s="67" t="n"/>
      <c r="C124" s="67" t="n"/>
    </row>
    <row r="125">
      <c r="A125" s="67" t="n"/>
      <c r="B125" s="67" t="n"/>
      <c r="C125" s="67" t="n"/>
    </row>
    <row r="126">
      <c r="A126" s="67" t="n"/>
      <c r="B126" s="67" t="n"/>
      <c r="C126" s="67" t="n"/>
    </row>
    <row r="127">
      <c r="A127" s="67" t="n"/>
      <c r="B127" s="67" t="n"/>
      <c r="C127" s="67" t="n"/>
    </row>
    <row r="128">
      <c r="A128" s="67" t="n"/>
      <c r="B128" s="67" t="n"/>
      <c r="C128" s="67" t="n"/>
    </row>
    <row r="129">
      <c r="A129" s="67" t="n"/>
      <c r="B129" s="67" t="n"/>
      <c r="C129" s="67" t="n"/>
    </row>
    <row r="130">
      <c r="A130" s="67" t="n"/>
      <c r="B130" s="67" t="n"/>
      <c r="C130" s="67" t="n"/>
    </row>
    <row r="131">
      <c r="A131" s="67" t="n"/>
      <c r="B131" s="67" t="n"/>
      <c r="C131" s="67" t="n"/>
    </row>
    <row r="132">
      <c r="A132" s="67" t="n"/>
      <c r="B132" s="67" t="n"/>
      <c r="C132" s="67" t="n"/>
    </row>
    <row r="133">
      <c r="A133" s="67" t="n"/>
      <c r="B133" s="67" t="n"/>
      <c r="C133" s="67" t="n"/>
    </row>
    <row r="134">
      <c r="A134" s="67" t="n"/>
      <c r="B134" s="67" t="n"/>
      <c r="C134" s="67" t="n"/>
    </row>
    <row r="135">
      <c r="A135" s="67" t="n"/>
      <c r="B135" s="67" t="n"/>
      <c r="C135" s="67" t="n"/>
    </row>
    <row r="136">
      <c r="A136" s="67" t="n"/>
      <c r="B136" s="67" t="n"/>
      <c r="C136" s="67" t="n"/>
    </row>
    <row r="137">
      <c r="A137" s="67" t="n"/>
      <c r="B137" s="67" t="n"/>
      <c r="C137" s="67" t="n"/>
    </row>
    <row r="138">
      <c r="A138" s="67" t="n"/>
      <c r="B138" s="67" t="n"/>
      <c r="C138" s="67" t="n"/>
    </row>
    <row r="139">
      <c r="A139" s="67" t="n"/>
      <c r="B139" s="67" t="n"/>
      <c r="C139" s="67" t="n"/>
    </row>
    <row r="140">
      <c r="A140" s="67" t="n"/>
      <c r="B140" s="67" t="n"/>
      <c r="C140" s="67" t="n"/>
    </row>
    <row r="141">
      <c r="A141" s="67" t="n"/>
      <c r="B141" s="67" t="n"/>
      <c r="C141" s="67" t="n"/>
    </row>
    <row r="142">
      <c r="A142" s="67" t="n"/>
      <c r="B142" s="67" t="n"/>
      <c r="C142" s="67" t="n"/>
    </row>
    <row r="143">
      <c r="A143" s="67" t="n"/>
      <c r="B143" s="67" t="n"/>
      <c r="C143" s="67" t="n"/>
    </row>
    <row r="144">
      <c r="A144" s="67" t="n"/>
      <c r="B144" s="67" t="n"/>
      <c r="C144" s="67" t="n"/>
    </row>
    <row r="145">
      <c r="A145" s="67" t="n"/>
      <c r="B145" s="67" t="n"/>
      <c r="C145" s="67" t="n"/>
    </row>
    <row r="146">
      <c r="A146" s="67" t="n"/>
      <c r="B146" s="67" t="n"/>
      <c r="C146" s="67" t="n"/>
    </row>
    <row r="147">
      <c r="A147" s="67" t="n"/>
      <c r="B147" s="67" t="n"/>
      <c r="C147" s="67" t="n"/>
    </row>
    <row r="148">
      <c r="A148" s="67" t="n"/>
      <c r="B148" s="67" t="n"/>
      <c r="C148" s="67" t="n"/>
    </row>
    <row r="149">
      <c r="A149" s="67" t="n"/>
      <c r="B149" s="67" t="n"/>
      <c r="C149" s="67" t="n"/>
    </row>
    <row r="150">
      <c r="A150" s="67" t="n"/>
      <c r="B150" s="67" t="n"/>
      <c r="C150" s="67" t="n"/>
    </row>
    <row r="151">
      <c r="A151" s="67" t="n"/>
      <c r="B151" s="67" t="n"/>
      <c r="C151" s="67" t="n"/>
    </row>
    <row r="152">
      <c r="A152" s="67" t="n"/>
      <c r="B152" s="67" t="n"/>
      <c r="C152" s="67" t="n"/>
    </row>
    <row r="153">
      <c r="A153" s="67" t="n"/>
      <c r="B153" s="67" t="n"/>
      <c r="C153" s="67" t="n"/>
    </row>
    <row r="154">
      <c r="A154" s="67" t="n"/>
      <c r="B154" s="67" t="n"/>
      <c r="C154" s="67" t="n"/>
    </row>
    <row r="155">
      <c r="A155" s="67" t="n"/>
      <c r="B155" s="67" t="n"/>
      <c r="C155" s="67" t="n"/>
    </row>
    <row r="156">
      <c r="A156" s="67" t="n"/>
      <c r="B156" s="67" t="n"/>
      <c r="C156" s="67" t="n"/>
    </row>
    <row r="157">
      <c r="A157" s="67" t="n"/>
      <c r="B157" s="67" t="n"/>
      <c r="C157" s="67" t="n"/>
    </row>
    <row r="158">
      <c r="A158" s="67" t="n"/>
      <c r="B158" s="67" t="n"/>
      <c r="C158" s="67" t="n"/>
    </row>
    <row r="159">
      <c r="A159" s="67" t="n"/>
      <c r="B159" s="67" t="n"/>
      <c r="C159" s="67" t="n"/>
    </row>
    <row r="160">
      <c r="A160" s="67" t="n"/>
      <c r="B160" s="67" t="n"/>
      <c r="C160" s="67" t="n"/>
    </row>
    <row r="161">
      <c r="A161" s="67" t="n"/>
      <c r="B161" s="67" t="n"/>
      <c r="C161" s="67" t="n"/>
    </row>
    <row r="162">
      <c r="A162" s="67" t="n"/>
      <c r="B162" s="67" t="n"/>
      <c r="C162" s="67" t="n"/>
    </row>
    <row r="163">
      <c r="A163" s="67" t="n"/>
      <c r="B163" s="67" t="n"/>
      <c r="C163" s="67" t="n"/>
    </row>
    <row r="164">
      <c r="A164" s="67" t="n"/>
      <c r="B164" s="67" t="n"/>
      <c r="C164" s="67" t="n"/>
    </row>
    <row r="165">
      <c r="A165" s="67" t="n"/>
      <c r="B165" s="67" t="n"/>
      <c r="C165" s="67" t="n"/>
    </row>
    <row r="166">
      <c r="A166" s="67" t="n"/>
      <c r="B166" s="67" t="n"/>
      <c r="C166" s="67" t="n"/>
    </row>
    <row r="167">
      <c r="A167" s="67" t="n"/>
      <c r="B167" s="67" t="n"/>
      <c r="C167" s="67" t="n"/>
    </row>
    <row r="168">
      <c r="A168" s="67" t="n"/>
      <c r="B168" s="67" t="n"/>
      <c r="C168" s="67" t="n"/>
    </row>
    <row r="169">
      <c r="A169" s="67" t="n"/>
      <c r="B169" s="67" t="n"/>
      <c r="C169" s="67" t="n"/>
    </row>
    <row r="170">
      <c r="A170" s="67" t="n"/>
      <c r="B170" s="67" t="n"/>
      <c r="C170" s="67" t="n"/>
    </row>
    <row r="171">
      <c r="A171" s="67" t="n"/>
      <c r="B171" s="67" t="n"/>
      <c r="C171" s="67" t="n"/>
    </row>
    <row r="172">
      <c r="A172" s="67" t="n"/>
      <c r="B172" s="67" t="n"/>
      <c r="C172" s="67" t="n"/>
    </row>
    <row r="173">
      <c r="A173" s="67" t="n"/>
      <c r="B173" s="67" t="n"/>
      <c r="C173" s="67" t="n"/>
    </row>
    <row r="174">
      <c r="A174" s="67" t="n"/>
      <c r="B174" s="67" t="n"/>
      <c r="C174" s="67" t="n"/>
    </row>
    <row r="175">
      <c r="A175" s="67" t="n"/>
      <c r="B175" s="67" t="n"/>
      <c r="C175" s="67" t="n"/>
    </row>
    <row r="176">
      <c r="A176" s="67" t="n"/>
      <c r="B176" s="67" t="n"/>
      <c r="C176" s="67" t="n"/>
    </row>
    <row r="177">
      <c r="A177" s="67" t="n"/>
      <c r="B177" s="67" t="n"/>
      <c r="C177" s="67" t="n"/>
    </row>
    <row r="178">
      <c r="A178" s="67" t="n"/>
      <c r="B178" s="67" t="n"/>
      <c r="C178" s="67" t="n"/>
    </row>
    <row r="179">
      <c r="A179" s="67" t="n"/>
      <c r="B179" s="67" t="n"/>
      <c r="C179" s="67" t="n"/>
    </row>
    <row r="180">
      <c r="A180" s="67" t="n"/>
      <c r="B180" s="67" t="n"/>
      <c r="C180" s="67" t="n"/>
    </row>
    <row r="181">
      <c r="A181" s="67" t="n"/>
      <c r="B181" s="67" t="n"/>
      <c r="C181" s="67" t="n"/>
    </row>
    <row r="182">
      <c r="A182" s="67" t="n"/>
      <c r="B182" s="67" t="n"/>
      <c r="C182" s="67" t="n"/>
    </row>
    <row r="183">
      <c r="A183" s="67" t="n"/>
      <c r="B183" s="67" t="n"/>
      <c r="C183" s="67" t="n"/>
    </row>
    <row r="184">
      <c r="A184" s="67" t="n"/>
      <c r="B184" s="67" t="n"/>
      <c r="C184" s="67" t="n"/>
    </row>
    <row r="185">
      <c r="A185" s="67" t="n"/>
      <c r="B185" s="67" t="n"/>
      <c r="C185" s="67" t="n"/>
    </row>
    <row r="186">
      <c r="A186" s="67" t="n"/>
      <c r="B186" s="67" t="n"/>
      <c r="C186" s="67" t="n"/>
    </row>
    <row r="187">
      <c r="A187" s="67" t="n"/>
      <c r="B187" s="67" t="n"/>
      <c r="C187" s="67" t="n"/>
    </row>
    <row r="188">
      <c r="A188" s="67" t="n"/>
      <c r="B188" s="67" t="n"/>
      <c r="C188" s="67" t="n"/>
    </row>
    <row r="189">
      <c r="A189" s="67" t="n"/>
      <c r="B189" s="67" t="n"/>
      <c r="C189" s="67" t="n"/>
    </row>
    <row r="190">
      <c r="A190" s="67" t="n"/>
      <c r="B190" s="67" t="n"/>
      <c r="C190" s="67" t="n"/>
    </row>
    <row r="191">
      <c r="A191" s="67" t="n"/>
      <c r="B191" s="67" t="n"/>
      <c r="C191" s="67" t="n"/>
    </row>
    <row r="192">
      <c r="A192" s="67" t="n"/>
      <c r="B192" s="67" t="n"/>
      <c r="C192" s="67" t="n"/>
    </row>
    <row r="193">
      <c r="A193" s="67" t="n"/>
      <c r="B193" s="67" t="n"/>
      <c r="C193" s="67" t="n"/>
    </row>
    <row r="194">
      <c r="A194" s="67" t="n"/>
      <c r="B194" s="67" t="n"/>
      <c r="C194" s="67" t="n"/>
    </row>
    <row r="195">
      <c r="A195" s="67" t="n"/>
      <c r="B195" s="67" t="n"/>
      <c r="C195" s="67" t="n"/>
    </row>
    <row r="196">
      <c r="A196" s="67" t="n"/>
      <c r="B196" s="67" t="n"/>
      <c r="C196" s="67" t="n"/>
    </row>
    <row r="197">
      <c r="A197" s="67" t="n"/>
      <c r="B197" s="67" t="n"/>
      <c r="C197" s="67" t="n"/>
    </row>
    <row r="198">
      <c r="A198" s="67" t="n"/>
      <c r="B198" s="67" t="n"/>
      <c r="C198" s="67" t="n"/>
    </row>
    <row r="199">
      <c r="A199" s="67" t="n"/>
      <c r="B199" s="67" t="n"/>
      <c r="C199" s="67" t="n"/>
    </row>
    <row r="200">
      <c r="A200" s="67" t="n"/>
      <c r="B200" s="67" t="n"/>
      <c r="C200" s="67" t="n"/>
    </row>
    <row r="201">
      <c r="A201" s="67" t="n"/>
      <c r="B201" s="67" t="n"/>
      <c r="C201" s="67" t="n"/>
    </row>
    <row r="202">
      <c r="A202" s="67" t="n"/>
      <c r="B202" s="67" t="n"/>
      <c r="C202" s="67" t="n"/>
    </row>
    <row r="203">
      <c r="A203" s="67" t="n"/>
      <c r="B203" s="67" t="n"/>
      <c r="C203" s="67" t="n"/>
    </row>
    <row r="204">
      <c r="A204" s="67" t="n"/>
      <c r="B204" s="67" t="n"/>
      <c r="C204" s="67" t="n"/>
    </row>
    <row r="205">
      <c r="A205" s="67" t="n"/>
      <c r="B205" s="67" t="n"/>
      <c r="C205" s="67" t="n"/>
    </row>
    <row r="206">
      <c r="A206" s="67" t="n"/>
      <c r="B206" s="67" t="n"/>
      <c r="C206" s="67" t="n"/>
    </row>
    <row r="207">
      <c r="A207" s="67" t="n"/>
      <c r="B207" s="67" t="n"/>
      <c r="C207" s="67" t="n"/>
    </row>
    <row r="208">
      <c r="A208" s="67" t="n"/>
      <c r="B208" s="67" t="n"/>
      <c r="C208" s="67" t="n"/>
    </row>
    <row r="209">
      <c r="A209" s="67" t="n"/>
      <c r="B209" s="67" t="n"/>
      <c r="C209" s="67" t="n"/>
    </row>
    <row r="210">
      <c r="A210" s="67" t="n"/>
      <c r="B210" s="67" t="n"/>
      <c r="C210" s="67" t="n"/>
    </row>
    <row r="211">
      <c r="A211" s="67" t="n"/>
      <c r="B211" s="67" t="n"/>
      <c r="C211" s="67" t="n"/>
    </row>
    <row r="212">
      <c r="A212" s="67" t="n"/>
      <c r="B212" s="67" t="n"/>
      <c r="C212" s="67" t="n"/>
    </row>
    <row r="213">
      <c r="A213" s="67" t="n"/>
      <c r="B213" s="67" t="n"/>
      <c r="C213" s="67" t="n"/>
    </row>
    <row r="214">
      <c r="A214" s="67" t="n"/>
      <c r="B214" s="67" t="n"/>
      <c r="C214" s="67" t="n"/>
    </row>
    <row r="215">
      <c r="A215" s="67" t="n"/>
      <c r="B215" s="67" t="n"/>
      <c r="C215" s="67" t="n"/>
    </row>
    <row r="216">
      <c r="A216" s="67" t="n"/>
      <c r="B216" s="67" t="n"/>
      <c r="C216" s="67" t="n"/>
    </row>
    <row r="217">
      <c r="A217" s="67" t="n"/>
      <c r="B217" s="67" t="n"/>
      <c r="C217" s="67" t="n"/>
    </row>
    <row r="218">
      <c r="A218" s="67" t="n"/>
      <c r="B218" s="67" t="n"/>
      <c r="C218" s="67" t="n"/>
    </row>
    <row r="219">
      <c r="A219" s="67" t="n"/>
      <c r="B219" s="67" t="n"/>
      <c r="C219" s="67" t="n"/>
    </row>
    <row r="220">
      <c r="A220" s="67" t="n"/>
      <c r="B220" s="67" t="n"/>
      <c r="C220" s="67" t="n"/>
    </row>
    <row r="221">
      <c r="A221" s="67" t="n"/>
      <c r="B221" s="67" t="n"/>
      <c r="C221" s="67" t="n"/>
    </row>
    <row r="222">
      <c r="A222" s="67" t="n"/>
      <c r="B222" s="67" t="n"/>
      <c r="C222" s="67" t="n"/>
    </row>
    <row r="223">
      <c r="A223" s="67" t="n"/>
      <c r="B223" s="67" t="n"/>
      <c r="C223" s="67" t="n"/>
    </row>
    <row r="224">
      <c r="A224" s="67" t="n"/>
      <c r="B224" s="67" t="n"/>
      <c r="C224" s="67" t="n"/>
    </row>
    <row r="225">
      <c r="A225" s="67" t="n"/>
      <c r="B225" s="67" t="n"/>
      <c r="C225" s="67" t="n"/>
    </row>
    <row r="226">
      <c r="A226" s="67" t="n"/>
      <c r="B226" s="67" t="n"/>
      <c r="C226" s="67" t="n"/>
    </row>
    <row r="227">
      <c r="A227" s="67" t="n"/>
      <c r="B227" s="67" t="n"/>
      <c r="C227" s="67" t="n"/>
    </row>
    <row r="228">
      <c r="A228" s="67" t="n"/>
      <c r="B228" s="67" t="n"/>
      <c r="C228" s="67" t="n"/>
    </row>
    <row r="229">
      <c r="A229" s="67" t="n"/>
      <c r="B229" s="67" t="n"/>
      <c r="C229" s="67" t="n"/>
    </row>
    <row r="230">
      <c r="A230" s="67" t="n"/>
      <c r="B230" s="67" t="n"/>
      <c r="C230" s="67" t="n"/>
    </row>
    <row r="231">
      <c r="A231" s="67" t="n"/>
      <c r="B231" s="67" t="n"/>
      <c r="C231" s="67" t="n"/>
    </row>
    <row r="232">
      <c r="A232" s="67" t="n"/>
      <c r="B232" s="67" t="n"/>
      <c r="C232" s="67" t="n"/>
    </row>
    <row r="233">
      <c r="A233" s="67" t="n"/>
      <c r="B233" s="67" t="n"/>
      <c r="C233" s="67" t="n"/>
    </row>
    <row r="234">
      <c r="A234" s="67" t="n"/>
      <c r="B234" s="67" t="n"/>
      <c r="C234" s="67" t="n"/>
    </row>
    <row r="235">
      <c r="A235" s="67" t="n"/>
      <c r="B235" s="67" t="n"/>
      <c r="C235" s="67" t="n"/>
    </row>
    <row r="236">
      <c r="A236" s="67" t="n"/>
      <c r="B236" s="67" t="n"/>
      <c r="C236" s="67" t="n"/>
    </row>
    <row r="237">
      <c r="A237" s="67" t="n"/>
      <c r="B237" s="67" t="n"/>
      <c r="C237" s="67" t="n"/>
    </row>
    <row r="238">
      <c r="A238" s="67" t="n"/>
      <c r="B238" s="67" t="n"/>
      <c r="C238" s="67" t="n"/>
    </row>
    <row r="239">
      <c r="A239" s="67" t="n"/>
      <c r="B239" s="67" t="n"/>
      <c r="C239" s="67" t="n"/>
    </row>
    <row r="240">
      <c r="A240" s="67" t="n"/>
      <c r="B240" s="67" t="n"/>
      <c r="C240" s="67" t="n"/>
    </row>
    <row r="241">
      <c r="A241" s="67" t="n"/>
      <c r="B241" s="67" t="n"/>
      <c r="C241" s="67" t="n"/>
    </row>
    <row r="242">
      <c r="A242" s="67" t="n"/>
      <c r="B242" s="67" t="n"/>
      <c r="C242" s="67" t="n"/>
    </row>
    <row r="243">
      <c r="A243" s="67" t="n"/>
      <c r="B243" s="67" t="n"/>
      <c r="C243" s="67" t="n"/>
    </row>
    <row r="244">
      <c r="A244" s="67" t="n"/>
      <c r="B244" s="67" t="n"/>
      <c r="C244" s="67" t="n"/>
    </row>
    <row r="245">
      <c r="A245" s="67" t="n"/>
      <c r="B245" s="67" t="n"/>
      <c r="C245" s="67" t="n"/>
    </row>
    <row r="246">
      <c r="A246" s="67" t="n"/>
      <c r="B246" s="67" t="n"/>
      <c r="C246" s="67" t="n"/>
    </row>
    <row r="247">
      <c r="A247" s="67" t="n"/>
      <c r="B247" s="67" t="n"/>
      <c r="C247" s="67" t="n"/>
    </row>
    <row r="248">
      <c r="A248" s="67" t="n"/>
      <c r="B248" s="67" t="n"/>
      <c r="C248" s="67" t="n"/>
    </row>
    <row r="249">
      <c r="A249" s="67" t="n"/>
      <c r="B249" s="67" t="n"/>
      <c r="C249" s="67" t="n"/>
    </row>
    <row r="250">
      <c r="A250" s="67" t="n"/>
      <c r="B250" s="67" t="n"/>
      <c r="C250" s="67" t="n"/>
    </row>
    <row r="251">
      <c r="A251" s="67" t="n"/>
      <c r="B251" s="67" t="n"/>
      <c r="C251" s="67" t="n"/>
    </row>
    <row r="252">
      <c r="A252" s="67" t="n"/>
      <c r="B252" s="67" t="n"/>
      <c r="C252" s="67" t="n"/>
    </row>
    <row r="253">
      <c r="A253" s="67" t="n"/>
      <c r="B253" s="67" t="n"/>
      <c r="C253" s="67" t="n"/>
    </row>
    <row r="254">
      <c r="A254" s="67" t="n"/>
      <c r="B254" s="67" t="n"/>
      <c r="C254" s="67" t="n"/>
    </row>
    <row r="255">
      <c r="A255" s="67" t="n"/>
      <c r="B255" s="67" t="n"/>
      <c r="C255" s="67" t="n"/>
    </row>
    <row r="256">
      <c r="A256" s="67" t="n"/>
      <c r="B256" s="67" t="n"/>
      <c r="C256" s="67" t="n"/>
    </row>
    <row r="257">
      <c r="A257" s="67" t="n"/>
      <c r="B257" s="67" t="n"/>
      <c r="C257" s="67" t="n"/>
    </row>
    <row r="258">
      <c r="A258" s="67" t="n"/>
      <c r="B258" s="67" t="n"/>
      <c r="C258" s="67" t="n"/>
    </row>
    <row r="259">
      <c r="A259" s="67" t="n"/>
      <c r="B259" s="67" t="n"/>
      <c r="C259" s="67" t="n"/>
    </row>
    <row r="260">
      <c r="A260" s="67" t="n"/>
      <c r="B260" s="67" t="n"/>
      <c r="C260" s="67" t="n"/>
    </row>
    <row r="261">
      <c r="A261" s="67" t="n"/>
      <c r="B261" s="67" t="n"/>
      <c r="C261" s="67" t="n"/>
    </row>
    <row r="262">
      <c r="A262" s="67" t="n"/>
      <c r="B262" s="67" t="n"/>
      <c r="C262" s="67" t="n"/>
    </row>
    <row r="263">
      <c r="A263" s="67" t="n"/>
      <c r="B263" s="67" t="n"/>
      <c r="C263" s="67" t="n"/>
    </row>
    <row r="264">
      <c r="A264" s="67" t="n"/>
      <c r="B264" s="67" t="n"/>
      <c r="C264" s="67" t="n"/>
    </row>
    <row r="265">
      <c r="A265" s="67" t="n"/>
      <c r="B265" s="67" t="n"/>
      <c r="C265" s="67" t="n"/>
    </row>
    <row r="266">
      <c r="A266" s="67" t="n"/>
      <c r="B266" s="67" t="n"/>
      <c r="C266" s="67" t="n"/>
    </row>
    <row r="267">
      <c r="A267" s="67" t="n"/>
      <c r="B267" s="67" t="n"/>
      <c r="C267" s="67" t="n"/>
    </row>
    <row r="268">
      <c r="A268" s="67" t="n"/>
      <c r="B268" s="67" t="n"/>
      <c r="C268" s="67" t="n"/>
    </row>
    <row r="269">
      <c r="A269" s="67" t="n"/>
      <c r="B269" s="67" t="n"/>
      <c r="C269" s="67" t="n"/>
    </row>
    <row r="270">
      <c r="A270" s="67" t="n"/>
      <c r="B270" s="67" t="n"/>
      <c r="C270" s="67" t="n"/>
    </row>
    <row r="271">
      <c r="A271" s="67" t="n"/>
      <c r="B271" s="67" t="n"/>
      <c r="C271" s="67" t="n"/>
    </row>
    <row r="272">
      <c r="A272" s="67" t="n"/>
      <c r="B272" s="67" t="n"/>
      <c r="C272" s="67" t="n"/>
    </row>
    <row r="273">
      <c r="A273" s="67" t="n"/>
      <c r="B273" s="67" t="n"/>
      <c r="C273" s="67" t="n"/>
    </row>
    <row r="274">
      <c r="A274" s="67" t="n"/>
      <c r="B274" s="67" t="n"/>
      <c r="C274" s="67" t="n"/>
    </row>
    <row r="275">
      <c r="A275" s="67" t="n"/>
      <c r="B275" s="67" t="n"/>
      <c r="C275" s="67" t="n"/>
    </row>
    <row r="276">
      <c r="A276" s="67" t="n"/>
      <c r="B276" s="67" t="n"/>
      <c r="C276" s="67" t="n"/>
    </row>
    <row r="277">
      <c r="A277" s="67" t="n"/>
      <c r="B277" s="67" t="n"/>
      <c r="C277" s="67" t="n"/>
    </row>
    <row r="278">
      <c r="A278" s="67" t="n"/>
      <c r="B278" s="67" t="n"/>
      <c r="C278" s="67" t="n"/>
    </row>
    <row r="279">
      <c r="A279" s="67" t="n"/>
      <c r="B279" s="67" t="n"/>
      <c r="C279" s="67" t="n"/>
    </row>
    <row r="280">
      <c r="A280" s="67" t="n"/>
      <c r="B280" s="67" t="n"/>
      <c r="C280" s="67" t="n"/>
    </row>
    <row r="281">
      <c r="A281" s="67" t="n"/>
      <c r="B281" s="67" t="n"/>
      <c r="C281" s="67" t="n"/>
    </row>
    <row r="282">
      <c r="A282" s="67" t="n"/>
      <c r="B282" s="67" t="n"/>
      <c r="C282" s="67" t="n"/>
    </row>
    <row r="283">
      <c r="A283" s="67" t="n"/>
      <c r="B283" s="67" t="n"/>
      <c r="C283" s="67" t="n"/>
    </row>
    <row r="284">
      <c r="A284" s="67" t="n"/>
      <c r="B284" s="67" t="n"/>
      <c r="C284" s="67" t="n"/>
    </row>
    <row r="285">
      <c r="A285" s="67" t="n"/>
      <c r="B285" s="67" t="n"/>
      <c r="C285" s="67" t="n"/>
    </row>
    <row r="286">
      <c r="A286" s="67" t="n"/>
      <c r="B286" s="67" t="n"/>
      <c r="C286" s="67" t="n"/>
    </row>
    <row r="287">
      <c r="A287" s="67" t="n"/>
      <c r="B287" s="67" t="n"/>
      <c r="C287" s="67" t="n"/>
    </row>
    <row r="288">
      <c r="A288" s="67" t="n"/>
      <c r="B288" s="67" t="n"/>
      <c r="C288" s="67" t="n"/>
    </row>
    <row r="289">
      <c r="A289" s="67" t="n"/>
      <c r="B289" s="67" t="n"/>
      <c r="C289" s="67" t="n"/>
    </row>
    <row r="290">
      <c r="A290" s="67" t="n"/>
      <c r="B290" s="67" t="n"/>
      <c r="C290" s="67" t="n"/>
    </row>
    <row r="291">
      <c r="A291" s="67" t="n"/>
      <c r="B291" s="67" t="n"/>
      <c r="C291" s="67" t="n"/>
    </row>
    <row r="292">
      <c r="A292" s="67" t="n"/>
      <c r="B292" s="67" t="n"/>
      <c r="C292" s="67" t="n"/>
    </row>
    <row r="293">
      <c r="A293" s="67" t="n"/>
      <c r="B293" s="67" t="n"/>
      <c r="C293" s="67" t="n"/>
    </row>
    <row r="294">
      <c r="A294" s="67" t="n"/>
      <c r="B294" s="67" t="n"/>
      <c r="C294" s="67" t="n"/>
    </row>
    <row r="295">
      <c r="A295" s="67" t="n"/>
      <c r="B295" s="67" t="n"/>
      <c r="C295" s="67" t="n"/>
    </row>
    <row r="296">
      <c r="A296" s="67" t="n"/>
      <c r="B296" s="67" t="n"/>
      <c r="C296" s="67" t="n"/>
    </row>
    <row r="297">
      <c r="A297" s="67" t="n"/>
      <c r="B297" s="67" t="n"/>
      <c r="C297" s="67" t="n"/>
    </row>
    <row r="298">
      <c r="A298" s="67" t="n"/>
      <c r="B298" s="67" t="n"/>
      <c r="C298" s="67" t="n"/>
    </row>
    <row r="299">
      <c r="A299" s="67" t="n"/>
      <c r="B299" s="67" t="n"/>
      <c r="C299" s="67" t="n"/>
    </row>
    <row r="300">
      <c r="A300" s="67" t="n"/>
      <c r="B300" s="67" t="n"/>
      <c r="C300" s="67" t="n"/>
    </row>
    <row r="301">
      <c r="A301" s="67" t="n"/>
      <c r="B301" s="67" t="n"/>
      <c r="C301" s="67" t="n"/>
    </row>
    <row r="302">
      <c r="A302" s="67" t="n"/>
      <c r="B302" s="67" t="n"/>
      <c r="C302" s="67" t="n"/>
    </row>
    <row r="303">
      <c r="A303" s="67" t="n"/>
      <c r="B303" s="67" t="n"/>
      <c r="C303" s="67" t="n"/>
    </row>
    <row r="304">
      <c r="A304" s="67" t="n"/>
      <c r="B304" s="67" t="n"/>
      <c r="C304" s="67" t="n"/>
    </row>
    <row r="305">
      <c r="A305" s="67" t="n"/>
      <c r="B305" s="67" t="n"/>
      <c r="C305" s="67" t="n"/>
    </row>
    <row r="306">
      <c r="A306" s="67" t="n"/>
      <c r="B306" s="67" t="n"/>
      <c r="C306" s="67" t="n"/>
    </row>
    <row r="307">
      <c r="A307" s="67" t="n"/>
      <c r="B307" s="67" t="n"/>
      <c r="C307" s="67" t="n"/>
    </row>
    <row r="308">
      <c r="A308" s="67" t="n"/>
      <c r="B308" s="67" t="n"/>
      <c r="C308" s="67" t="n"/>
    </row>
    <row r="309">
      <c r="A309" s="67" t="n"/>
      <c r="B309" s="67" t="n"/>
      <c r="C309" s="67" t="n"/>
    </row>
    <row r="310">
      <c r="A310" s="67" t="n"/>
      <c r="B310" s="67" t="n"/>
      <c r="C310" s="67" t="n"/>
    </row>
    <row r="311">
      <c r="A311" s="67" t="n"/>
      <c r="B311" s="67" t="n"/>
      <c r="C311" s="67" t="n"/>
    </row>
    <row r="312">
      <c r="A312" s="67" t="n"/>
      <c r="B312" s="67" t="n"/>
      <c r="C312" s="67" t="n"/>
    </row>
    <row r="313">
      <c r="A313" s="67" t="n"/>
      <c r="B313" s="67" t="n"/>
      <c r="C313" s="67" t="n"/>
    </row>
    <row r="314">
      <c r="A314" s="67" t="n"/>
      <c r="B314" s="67" t="n"/>
      <c r="C314" s="67" t="n"/>
    </row>
    <row r="315">
      <c r="A315" s="67" t="n"/>
      <c r="B315" s="67" t="n"/>
      <c r="C315" s="67" t="n"/>
    </row>
    <row r="316">
      <c r="A316" s="67" t="n"/>
      <c r="B316" s="67" t="n"/>
      <c r="C316" s="67" t="n"/>
    </row>
    <row r="317">
      <c r="A317" s="67" t="n"/>
      <c r="B317" s="67" t="n"/>
      <c r="C317" s="67" t="n"/>
    </row>
    <row r="318">
      <c r="A318" s="67" t="n"/>
      <c r="B318" s="67" t="n"/>
      <c r="C318" s="67" t="n"/>
    </row>
    <row r="319">
      <c r="A319" s="67" t="n"/>
      <c r="B319" s="67" t="n"/>
      <c r="C319" s="67" t="n"/>
    </row>
    <row r="320">
      <c r="A320" s="67" t="n"/>
      <c r="B320" s="67" t="n"/>
      <c r="C320" s="67" t="n"/>
    </row>
    <row r="321">
      <c r="A321" s="67" t="n"/>
      <c r="B321" s="67" t="n"/>
      <c r="C321" s="67" t="n"/>
    </row>
    <row r="322">
      <c r="A322" s="67" t="n"/>
      <c r="B322" s="67" t="n"/>
      <c r="C322" s="67" t="n"/>
    </row>
    <row r="323">
      <c r="A323" s="67" t="n"/>
      <c r="B323" s="67" t="n"/>
      <c r="C323" s="67" t="n"/>
    </row>
    <row r="324">
      <c r="A324" s="67" t="n"/>
      <c r="B324" s="67" t="n"/>
      <c r="C324" s="67" t="n"/>
    </row>
    <row r="325">
      <c r="A325" s="67" t="n"/>
      <c r="B325" s="67" t="n"/>
      <c r="C325" s="67" t="n"/>
    </row>
    <row r="326">
      <c r="A326" s="67" t="n"/>
      <c r="B326" s="67" t="n"/>
      <c r="C326" s="67" t="n"/>
    </row>
    <row r="327">
      <c r="A327" s="67" t="n"/>
      <c r="B327" s="67" t="n"/>
      <c r="C327" s="67" t="n"/>
    </row>
    <row r="328">
      <c r="A328" s="67" t="n"/>
      <c r="B328" s="67" t="n"/>
      <c r="C328" s="67" t="n"/>
    </row>
    <row r="329">
      <c r="A329" s="67" t="n"/>
      <c r="B329" s="67" t="n"/>
      <c r="C329" s="67" t="n"/>
    </row>
    <row r="330">
      <c r="A330" s="67" t="n"/>
      <c r="B330" s="67" t="n"/>
      <c r="C330" s="67" t="n"/>
    </row>
    <row r="331">
      <c r="A331" s="67" t="n"/>
      <c r="B331" s="67" t="n"/>
      <c r="C331" s="67" t="n"/>
    </row>
    <row r="332">
      <c r="A332" s="67" t="n"/>
      <c r="B332" s="67" t="n"/>
      <c r="C332" s="67" t="n"/>
    </row>
    <row r="333">
      <c r="A333" s="67" t="n"/>
      <c r="B333" s="67" t="n"/>
      <c r="C333" s="67" t="n"/>
    </row>
    <row r="334">
      <c r="A334" s="67" t="n"/>
      <c r="B334" s="67" t="n"/>
      <c r="C334" s="67" t="n"/>
    </row>
    <row r="335">
      <c r="A335" s="67" t="n"/>
      <c r="B335" s="67" t="n"/>
      <c r="C335" s="67" t="n"/>
    </row>
    <row r="336">
      <c r="A336" s="67" t="n"/>
      <c r="B336" s="67" t="n"/>
      <c r="C336" s="67" t="n"/>
    </row>
    <row r="337">
      <c r="A337" s="67" t="n"/>
      <c r="B337" s="67" t="n"/>
      <c r="C337" s="67" t="n"/>
    </row>
    <row r="338">
      <c r="A338" s="67" t="n"/>
      <c r="B338" s="67" t="n"/>
      <c r="C338" s="67" t="n"/>
    </row>
    <row r="339">
      <c r="A339" s="67" t="n"/>
      <c r="B339" s="67" t="n"/>
      <c r="C339" s="67" t="n"/>
    </row>
    <row r="340">
      <c r="A340" s="67" t="n"/>
      <c r="B340" s="67" t="n"/>
      <c r="C340" s="67" t="n"/>
    </row>
    <row r="341">
      <c r="A341" s="67" t="n"/>
      <c r="B341" s="67" t="n"/>
      <c r="C341" s="67" t="n"/>
    </row>
    <row r="342">
      <c r="A342" s="67" t="n"/>
      <c r="B342" s="67" t="n"/>
      <c r="C342" s="67" t="n"/>
    </row>
    <row r="343">
      <c r="A343" s="67" t="n"/>
      <c r="B343" s="67" t="n"/>
      <c r="C343" s="67" t="n"/>
    </row>
    <row r="344">
      <c r="A344" s="67" t="n"/>
      <c r="B344" s="67" t="n"/>
      <c r="C344" s="67" t="n"/>
    </row>
    <row r="345">
      <c r="A345" s="67" t="n"/>
      <c r="B345" s="67" t="n"/>
      <c r="C345" s="67" t="n"/>
    </row>
    <row r="346">
      <c r="A346" s="67" t="n"/>
      <c r="B346" s="67" t="n"/>
      <c r="C346" s="67" t="n"/>
    </row>
    <row r="347">
      <c r="A347" s="67" t="n"/>
      <c r="B347" s="67" t="n"/>
      <c r="C347" s="67" t="n"/>
    </row>
    <row r="348">
      <c r="A348" s="67" t="n"/>
      <c r="B348" s="67" t="n"/>
      <c r="C348" s="67" t="n"/>
    </row>
    <row r="349">
      <c r="A349" s="67" t="n"/>
      <c r="B349" s="67" t="n"/>
      <c r="C349" s="67" t="n"/>
    </row>
    <row r="350">
      <c r="A350" s="67" t="n"/>
      <c r="B350" s="67" t="n"/>
      <c r="C350" s="67" t="n"/>
    </row>
    <row r="351">
      <c r="A351" s="67" t="n"/>
      <c r="B351" s="67" t="n"/>
      <c r="C351" s="67" t="n"/>
    </row>
    <row r="352">
      <c r="A352" s="67" t="n"/>
      <c r="B352" s="67" t="n"/>
      <c r="C352" s="67" t="n"/>
    </row>
    <row r="353">
      <c r="A353" s="67" t="n"/>
      <c r="B353" s="67" t="n"/>
      <c r="C353" s="67" t="n"/>
    </row>
    <row r="354">
      <c r="A354" s="67" t="n"/>
      <c r="B354" s="67" t="n"/>
      <c r="C354" s="67" t="n"/>
    </row>
    <row r="355">
      <c r="A355" s="67" t="n"/>
      <c r="B355" s="67" t="n"/>
      <c r="C355" s="67" t="n"/>
    </row>
    <row r="356">
      <c r="A356" s="67" t="n"/>
      <c r="B356" s="67" t="n"/>
      <c r="C356" s="67" t="n"/>
    </row>
    <row r="357">
      <c r="A357" s="67" t="n"/>
      <c r="B357" s="67" t="n"/>
      <c r="C357" s="67" t="n"/>
    </row>
    <row r="358">
      <c r="A358" s="67" t="n"/>
      <c r="B358" s="67" t="n"/>
      <c r="C358" s="67" t="n"/>
    </row>
    <row r="359">
      <c r="A359" s="67" t="n"/>
      <c r="B359" s="67" t="n"/>
      <c r="C359" s="67" t="n"/>
    </row>
    <row r="360">
      <c r="A360" s="67" t="n"/>
      <c r="B360" s="67" t="n"/>
      <c r="C360" s="67" t="n"/>
    </row>
    <row r="361">
      <c r="A361" s="67" t="n"/>
      <c r="B361" s="67" t="n"/>
      <c r="C361" s="67" t="n"/>
    </row>
    <row r="362">
      <c r="A362" s="67" t="n"/>
      <c r="B362" s="67" t="n"/>
      <c r="C362" s="67" t="n"/>
    </row>
    <row r="363">
      <c r="A363" s="67" t="n"/>
      <c r="B363" s="67" t="n"/>
      <c r="C363" s="67" t="n"/>
    </row>
    <row r="364">
      <c r="A364" s="67" t="n"/>
      <c r="B364" s="67" t="n"/>
      <c r="C364" s="67" t="n"/>
    </row>
    <row r="365">
      <c r="A365" s="67" t="n"/>
      <c r="B365" s="67" t="n"/>
      <c r="C365" s="67" t="n"/>
    </row>
    <row r="366">
      <c r="A366" s="67" t="n"/>
      <c r="B366" s="67" t="n"/>
      <c r="C366" s="67" t="n"/>
    </row>
    <row r="367">
      <c r="A367" s="67" t="n"/>
      <c r="B367" s="67" t="n"/>
      <c r="C367" s="67" t="n"/>
    </row>
    <row r="368">
      <c r="A368" s="67" t="n"/>
      <c r="B368" s="67" t="n"/>
      <c r="C368" s="67" t="n"/>
    </row>
    <row r="369">
      <c r="A369" s="67" t="n"/>
      <c r="B369" s="67" t="n"/>
      <c r="C369" s="67" t="n"/>
    </row>
    <row r="370">
      <c r="A370" s="67" t="n"/>
      <c r="B370" s="67" t="n"/>
      <c r="C370" s="67" t="n"/>
    </row>
    <row r="371">
      <c r="A371" s="67" t="n"/>
      <c r="B371" s="67" t="n"/>
      <c r="C371" s="67" t="n"/>
    </row>
    <row r="372">
      <c r="A372" s="67" t="n"/>
      <c r="B372" s="67" t="n"/>
      <c r="C372" s="67" t="n"/>
    </row>
    <row r="373">
      <c r="A373" s="67" t="n"/>
      <c r="B373" s="67" t="n"/>
      <c r="C373" s="67" t="n"/>
    </row>
    <row r="374">
      <c r="A374" s="67" t="n"/>
      <c r="B374" s="67" t="n"/>
      <c r="C374" s="67" t="n"/>
    </row>
    <row r="375">
      <c r="A375" s="67" t="n"/>
      <c r="B375" s="67" t="n"/>
      <c r="C375" s="67" t="n"/>
    </row>
    <row r="376">
      <c r="A376" s="67" t="n"/>
      <c r="B376" s="67" t="n"/>
      <c r="C376" s="67" t="n"/>
    </row>
    <row r="377">
      <c r="A377" s="67" t="n"/>
      <c r="B377" s="67" t="n"/>
      <c r="C377" s="67" t="n"/>
    </row>
    <row r="378">
      <c r="A378" s="67" t="n"/>
      <c r="B378" s="67" t="n"/>
      <c r="C378" s="67" t="n"/>
    </row>
    <row r="379">
      <c r="A379" s="67" t="n"/>
      <c r="B379" s="67" t="n"/>
      <c r="C379" s="67" t="n"/>
    </row>
    <row r="380">
      <c r="A380" s="67" t="n"/>
      <c r="B380" s="67" t="n"/>
      <c r="C380" s="67" t="n"/>
    </row>
    <row r="381">
      <c r="A381" s="67" t="n"/>
      <c r="B381" s="67" t="n"/>
      <c r="C381" s="67" t="n"/>
    </row>
    <row r="382">
      <c r="A382" s="67" t="n"/>
      <c r="B382" s="67" t="n"/>
      <c r="C382" s="67" t="n"/>
    </row>
    <row r="383">
      <c r="A383" s="67" t="n"/>
      <c r="B383" s="67" t="n"/>
      <c r="C383" s="67" t="n"/>
    </row>
    <row r="384">
      <c r="A384" s="67" t="n"/>
      <c r="B384" s="67" t="n"/>
      <c r="C384" s="67" t="n"/>
    </row>
    <row r="385">
      <c r="A385" s="67" t="n"/>
      <c r="B385" s="67" t="n"/>
      <c r="C385" s="67" t="n"/>
    </row>
    <row r="386">
      <c r="A386" s="67" t="n"/>
      <c r="B386" s="67" t="n"/>
      <c r="C386" s="67" t="n"/>
    </row>
    <row r="387">
      <c r="A387" s="67" t="n"/>
      <c r="B387" s="67" t="n"/>
      <c r="C387" s="67" t="n"/>
    </row>
    <row r="388">
      <c r="A388" s="67" t="n"/>
      <c r="B388" s="67" t="n"/>
      <c r="C388" s="67" t="n"/>
    </row>
    <row r="389">
      <c r="A389" s="67" t="n"/>
      <c r="B389" s="67" t="n"/>
      <c r="C389" s="67" t="n"/>
    </row>
    <row r="390">
      <c r="A390" s="67" t="n"/>
      <c r="B390" s="67" t="n"/>
      <c r="C390" s="67" t="n"/>
    </row>
    <row r="391">
      <c r="A391" s="67" t="n"/>
      <c r="B391" s="67" t="n"/>
      <c r="C391" s="67" t="n"/>
    </row>
    <row r="392">
      <c r="A392" s="67" t="n"/>
      <c r="B392" s="67" t="n"/>
      <c r="C392" s="67" t="n"/>
    </row>
    <row r="393">
      <c r="A393" s="67" t="n"/>
      <c r="B393" s="67" t="n"/>
      <c r="C393" s="67" t="n"/>
    </row>
    <row r="394">
      <c r="A394" s="67" t="n"/>
      <c r="B394" s="67" t="n"/>
      <c r="C394" s="67" t="n"/>
    </row>
    <row r="395">
      <c r="A395" s="67" t="n"/>
      <c r="B395" s="67" t="n"/>
      <c r="C395" s="67" t="n"/>
    </row>
    <row r="396">
      <c r="A396" s="67" t="n"/>
      <c r="B396" s="67" t="n"/>
      <c r="C396" s="67" t="n"/>
    </row>
    <row r="397">
      <c r="A397" s="67" t="n"/>
      <c r="B397" s="67" t="n"/>
      <c r="C397" s="67" t="n"/>
    </row>
    <row r="398">
      <c r="A398" s="67" t="n"/>
      <c r="B398" s="67" t="n"/>
      <c r="C398" s="67" t="n"/>
    </row>
    <row r="399">
      <c r="A399" s="67" t="n"/>
      <c r="B399" s="67" t="n"/>
      <c r="C399" s="67" t="n"/>
    </row>
    <row r="400">
      <c r="A400" s="67" t="n"/>
      <c r="B400" s="67" t="n"/>
      <c r="C400" s="67" t="n"/>
    </row>
    <row r="401">
      <c r="A401" s="67" t="n"/>
      <c r="B401" s="67" t="n"/>
      <c r="C401" s="67" t="n"/>
    </row>
    <row r="402">
      <c r="A402" s="67" t="n"/>
      <c r="B402" s="67" t="n"/>
      <c r="C402" s="67" t="n"/>
    </row>
    <row r="403">
      <c r="A403" s="67" t="n"/>
      <c r="B403" s="67" t="n"/>
      <c r="C403" s="67" t="n"/>
    </row>
    <row r="404">
      <c r="A404" s="67" t="n"/>
      <c r="B404" s="67" t="n"/>
      <c r="C404" s="67" t="n"/>
    </row>
    <row r="405">
      <c r="A405" s="67" t="n"/>
      <c r="B405" s="67" t="n"/>
      <c r="C405" s="67" t="n"/>
    </row>
    <row r="406">
      <c r="A406" s="67" t="n"/>
      <c r="B406" s="67" t="n"/>
      <c r="C406" s="67" t="n"/>
    </row>
    <row r="407">
      <c r="A407" s="67" t="n"/>
      <c r="B407" s="67" t="n"/>
      <c r="C407" s="67" t="n"/>
    </row>
    <row r="408">
      <c r="A408" s="67" t="n"/>
      <c r="B408" s="67" t="n"/>
      <c r="C408" s="67" t="n"/>
    </row>
    <row r="409">
      <c r="A409" s="67" t="n"/>
      <c r="B409" s="67" t="n"/>
      <c r="C409" s="67" t="n"/>
    </row>
    <row r="410">
      <c r="A410" s="67" t="n"/>
      <c r="B410" s="67" t="n"/>
      <c r="C410" s="67" t="n"/>
    </row>
    <row r="411">
      <c r="A411" s="67" t="n"/>
      <c r="B411" s="67" t="n"/>
      <c r="C411" s="67" t="n"/>
    </row>
    <row r="412">
      <c r="A412" s="67" t="n"/>
      <c r="B412" s="67" t="n"/>
      <c r="C412" s="67" t="n"/>
    </row>
    <row r="413">
      <c r="A413" s="67" t="n"/>
      <c r="B413" s="67" t="n"/>
      <c r="C413" s="67" t="n"/>
    </row>
    <row r="414">
      <c r="A414" s="67" t="n"/>
      <c r="B414" s="67" t="n"/>
      <c r="C414" s="67" t="n"/>
    </row>
    <row r="415">
      <c r="A415" s="67" t="n"/>
      <c r="B415" s="67" t="n"/>
      <c r="C415" s="67" t="n"/>
    </row>
    <row r="416">
      <c r="A416" s="67" t="n"/>
      <c r="B416" s="67" t="n"/>
      <c r="C416" s="67" t="n"/>
    </row>
    <row r="417">
      <c r="A417" s="67" t="n"/>
      <c r="B417" s="67" t="n"/>
      <c r="C417" s="67" t="n"/>
    </row>
    <row r="418">
      <c r="A418" s="67" t="n"/>
      <c r="B418" s="67" t="n"/>
      <c r="C418" s="67" t="n"/>
    </row>
    <row r="419">
      <c r="A419" s="67" t="n"/>
      <c r="B419" s="67" t="n"/>
      <c r="C419" s="67" t="n"/>
    </row>
    <row r="420">
      <c r="A420" s="67" t="n"/>
      <c r="B420" s="67" t="n"/>
      <c r="C420" s="67" t="n"/>
    </row>
    <row r="421">
      <c r="A421" s="67" t="n"/>
      <c r="B421" s="67" t="n"/>
      <c r="C421" s="67" t="n"/>
    </row>
    <row r="422">
      <c r="A422" s="67" t="n"/>
      <c r="B422" s="67" t="n"/>
      <c r="C422" s="67" t="n"/>
    </row>
    <row r="423">
      <c r="A423" s="67" t="n"/>
      <c r="B423" s="67" t="n"/>
      <c r="C423" s="67" t="n"/>
    </row>
    <row r="424">
      <c r="A424" s="67" t="n"/>
      <c r="B424" s="67" t="n"/>
      <c r="C424" s="67" t="n"/>
    </row>
    <row r="425">
      <c r="A425" s="67" t="n"/>
      <c r="B425" s="67" t="n"/>
      <c r="C425" s="67" t="n"/>
    </row>
    <row r="426">
      <c r="A426" s="67" t="n"/>
      <c r="B426" s="67" t="n"/>
      <c r="C426" s="67" t="n"/>
    </row>
    <row r="427">
      <c r="A427" s="67" t="n"/>
      <c r="B427" s="67" t="n"/>
      <c r="C427" s="67" t="n"/>
    </row>
    <row r="428">
      <c r="A428" s="67" t="n"/>
      <c r="B428" s="67" t="n"/>
      <c r="C428" s="67" t="n"/>
    </row>
    <row r="429">
      <c r="A429" s="67" t="n"/>
      <c r="B429" s="67" t="n"/>
      <c r="C429" s="67" t="n"/>
    </row>
    <row r="430">
      <c r="A430" s="67" t="n"/>
      <c r="B430" s="67" t="n"/>
      <c r="C430" s="67" t="n"/>
    </row>
    <row r="431">
      <c r="A431" s="67" t="n"/>
      <c r="B431" s="67" t="n"/>
      <c r="C431" s="67" t="n"/>
    </row>
    <row r="432">
      <c r="A432" s="67" t="n"/>
      <c r="B432" s="67" t="n"/>
      <c r="C432" s="67" t="n"/>
    </row>
    <row r="433">
      <c r="A433" s="67" t="n"/>
      <c r="B433" s="67" t="n"/>
      <c r="C433" s="67" t="n"/>
    </row>
    <row r="434">
      <c r="A434" s="67" t="n"/>
      <c r="B434" s="67" t="n"/>
      <c r="C434" s="67" t="n"/>
    </row>
    <row r="435">
      <c r="A435" s="67" t="n"/>
      <c r="B435" s="67" t="n"/>
      <c r="C435" s="67" t="n"/>
    </row>
    <row r="436">
      <c r="A436" s="67" t="n"/>
      <c r="B436" s="67" t="n"/>
      <c r="C436" s="67" t="n"/>
    </row>
    <row r="437">
      <c r="A437" s="67" t="n"/>
      <c r="B437" s="67" t="n"/>
      <c r="C437" s="67" t="n"/>
    </row>
    <row r="438">
      <c r="A438" s="67" t="n"/>
      <c r="B438" s="67" t="n"/>
      <c r="C438" s="67" t="n"/>
    </row>
    <row r="439">
      <c r="A439" s="67" t="n"/>
      <c r="B439" s="67" t="n"/>
      <c r="C439" s="67" t="n"/>
    </row>
    <row r="440">
      <c r="A440" s="67" t="n"/>
      <c r="B440" s="67" t="n"/>
      <c r="C440" s="67" t="n"/>
    </row>
    <row r="441">
      <c r="A441" s="67" t="n"/>
      <c r="B441" s="67" t="n"/>
      <c r="C441" s="67" t="n"/>
    </row>
    <row r="442">
      <c r="A442" s="67" t="n"/>
      <c r="B442" s="67" t="n"/>
      <c r="C442" s="67" t="n"/>
    </row>
    <row r="443">
      <c r="A443" s="67" t="n"/>
      <c r="B443" s="67" t="n"/>
      <c r="C443" s="67" t="n"/>
    </row>
    <row r="444">
      <c r="A444" s="67" t="n"/>
      <c r="B444" s="67" t="n"/>
      <c r="C444" s="67" t="n"/>
    </row>
    <row r="445">
      <c r="A445" s="67" t="n"/>
      <c r="B445" s="67" t="n"/>
      <c r="C445" s="67" t="n"/>
    </row>
    <row r="446">
      <c r="A446" s="67" t="n"/>
      <c r="B446" s="67" t="n"/>
      <c r="C446" s="67" t="n"/>
    </row>
    <row r="447">
      <c r="A447" s="67" t="n"/>
      <c r="B447" s="67" t="n"/>
      <c r="C447" s="67" t="n"/>
    </row>
    <row r="448">
      <c r="A448" s="67" t="n"/>
      <c r="B448" s="67" t="n"/>
      <c r="C448" s="67" t="n"/>
    </row>
    <row r="449">
      <c r="A449" s="67" t="n"/>
      <c r="B449" s="67" t="n"/>
      <c r="C449" s="67" t="n"/>
    </row>
    <row r="450">
      <c r="A450" s="67" t="n"/>
      <c r="B450" s="67" t="n"/>
      <c r="C450" s="67" t="n"/>
    </row>
    <row r="451">
      <c r="A451" s="67" t="n"/>
      <c r="B451" s="67" t="n"/>
      <c r="C451" s="67" t="n"/>
    </row>
    <row r="452">
      <c r="A452" s="67" t="n"/>
      <c r="B452" s="67" t="n"/>
      <c r="C452" s="67" t="n"/>
    </row>
    <row r="453">
      <c r="A453" s="67" t="n"/>
      <c r="B453" s="67" t="n"/>
      <c r="C453" s="67" t="n"/>
    </row>
    <row r="454">
      <c r="A454" s="67" t="n"/>
      <c r="B454" s="67" t="n"/>
      <c r="C454" s="67" t="n"/>
    </row>
    <row r="455">
      <c r="A455" s="67" t="n"/>
      <c r="B455" s="67" t="n"/>
      <c r="C455" s="67" t="n"/>
    </row>
    <row r="456">
      <c r="A456" s="67" t="n"/>
      <c r="B456" s="67" t="n"/>
      <c r="C456" s="67" t="n"/>
    </row>
    <row r="457">
      <c r="A457" s="67" t="n"/>
      <c r="B457" s="67" t="n"/>
      <c r="C457" s="67" t="n"/>
    </row>
    <row r="458">
      <c r="A458" s="67" t="n"/>
      <c r="B458" s="67" t="n"/>
      <c r="C458" s="67" t="n"/>
    </row>
    <row r="459">
      <c r="A459" s="67" t="n"/>
      <c r="B459" s="67" t="n"/>
      <c r="C459" s="67" t="n"/>
    </row>
    <row r="460">
      <c r="A460" s="67" t="n"/>
      <c r="B460" s="67" t="n"/>
      <c r="C460" s="67" t="n"/>
    </row>
    <row r="461">
      <c r="A461" s="67" t="n"/>
      <c r="B461" s="67" t="n"/>
      <c r="C461" s="67" t="n"/>
    </row>
    <row r="462">
      <c r="A462" s="67" t="n"/>
      <c r="B462" s="67" t="n"/>
      <c r="C462" s="67" t="n"/>
    </row>
    <row r="463">
      <c r="A463" s="67" t="n"/>
      <c r="B463" s="67" t="n"/>
      <c r="C463" s="67" t="n"/>
    </row>
    <row r="464">
      <c r="A464" s="67" t="n"/>
      <c r="B464" s="67" t="n"/>
      <c r="C464" s="67" t="n"/>
    </row>
    <row r="465">
      <c r="A465" s="67" t="n"/>
      <c r="B465" s="67" t="n"/>
      <c r="C465" s="67" t="n"/>
    </row>
    <row r="466">
      <c r="A466" s="67" t="n"/>
      <c r="B466" s="67" t="n"/>
      <c r="C466" s="67" t="n"/>
    </row>
    <row r="467">
      <c r="A467" s="67" t="n"/>
      <c r="B467" s="67" t="n"/>
      <c r="C467" s="67" t="n"/>
    </row>
    <row r="468">
      <c r="A468" s="67" t="n"/>
      <c r="B468" s="67" t="n"/>
      <c r="C468" s="67" t="n"/>
    </row>
    <row r="469">
      <c r="A469" s="67" t="n"/>
      <c r="B469" s="67" t="n"/>
      <c r="C469" s="67" t="n"/>
    </row>
    <row r="470">
      <c r="A470" s="67" t="n"/>
      <c r="B470" s="67" t="n"/>
      <c r="C470" s="67" t="n"/>
    </row>
    <row r="471">
      <c r="A471" s="67" t="n"/>
      <c r="B471" s="67" t="n"/>
      <c r="C471" s="67" t="n"/>
    </row>
    <row r="472">
      <c r="A472" s="67" t="n"/>
      <c r="B472" s="67" t="n"/>
      <c r="C472" s="67" t="n"/>
    </row>
    <row r="473">
      <c r="A473" s="67" t="n"/>
      <c r="B473" s="67" t="n"/>
      <c r="C473" s="67" t="n"/>
    </row>
    <row r="474">
      <c r="A474" s="67" t="n"/>
      <c r="B474" s="67" t="n"/>
      <c r="C474" s="67" t="n"/>
    </row>
    <row r="475">
      <c r="A475" s="67" t="n"/>
      <c r="B475" s="67" t="n"/>
      <c r="C475" s="67" t="n"/>
    </row>
    <row r="476">
      <c r="A476" s="67" t="n"/>
      <c r="B476" s="67" t="n"/>
      <c r="C476" s="67" t="n"/>
    </row>
    <row r="477">
      <c r="A477" s="67" t="n"/>
      <c r="B477" s="67" t="n"/>
      <c r="C477" s="67" t="n"/>
    </row>
    <row r="478">
      <c r="A478" s="67" t="n"/>
      <c r="B478" s="67" t="n"/>
      <c r="C478" s="67" t="n"/>
    </row>
    <row r="479">
      <c r="A479" s="67" t="n"/>
      <c r="B479" s="67" t="n"/>
      <c r="C479" s="67" t="n"/>
    </row>
    <row r="480">
      <c r="A480" s="67" t="n"/>
      <c r="B480" s="67" t="n"/>
      <c r="C480" s="67" t="n"/>
    </row>
    <row r="481">
      <c r="A481" s="67" t="n"/>
      <c r="B481" s="67" t="n"/>
      <c r="C481" s="67" t="n"/>
    </row>
    <row r="482">
      <c r="A482" s="67" t="n"/>
      <c r="B482" s="67" t="n"/>
      <c r="C482" s="67" t="n"/>
    </row>
    <row r="483">
      <c r="A483" s="67" t="n"/>
      <c r="B483" s="67" t="n"/>
      <c r="C483" s="67" t="n"/>
    </row>
    <row r="484">
      <c r="A484" s="67" t="n"/>
      <c r="B484" s="67" t="n"/>
      <c r="C484" s="67" t="n"/>
    </row>
    <row r="485">
      <c r="A485" s="67" t="n"/>
      <c r="B485" s="67" t="n"/>
      <c r="C485" s="67" t="n"/>
    </row>
    <row r="486">
      <c r="A486" s="67" t="n"/>
      <c r="B486" s="67" t="n"/>
      <c r="C486" s="67" t="n"/>
    </row>
    <row r="487">
      <c r="A487" s="67" t="n"/>
      <c r="B487" s="67" t="n"/>
      <c r="C487" s="67" t="n"/>
    </row>
    <row r="488">
      <c r="A488" s="67" t="n"/>
      <c r="B488" s="67" t="n"/>
      <c r="C488" s="67" t="n"/>
    </row>
    <row r="489">
      <c r="A489" s="67" t="n"/>
      <c r="B489" s="67" t="n"/>
      <c r="C489" s="67" t="n"/>
    </row>
    <row r="490">
      <c r="A490" s="67" t="n"/>
      <c r="B490" s="67" t="n"/>
      <c r="C490" s="67" t="n"/>
    </row>
    <row r="491">
      <c r="A491" s="67" t="n"/>
      <c r="B491" s="67" t="n"/>
      <c r="C491" s="67" t="n"/>
    </row>
    <row r="492">
      <c r="A492" s="67" t="n"/>
      <c r="B492" s="67" t="n"/>
      <c r="C492" s="67" t="n"/>
    </row>
    <row r="493">
      <c r="A493" s="67" t="n"/>
      <c r="B493" s="67" t="n"/>
      <c r="C493" s="67" t="n"/>
    </row>
    <row r="494">
      <c r="A494" s="67" t="n"/>
      <c r="B494" s="67" t="n"/>
      <c r="C494" s="67" t="n"/>
    </row>
    <row r="495">
      <c r="A495" s="67" t="n"/>
      <c r="B495" s="67" t="n"/>
      <c r="C495" s="67" t="n"/>
    </row>
    <row r="496">
      <c r="A496" s="67" t="n"/>
      <c r="B496" s="67" t="n"/>
      <c r="C496" s="67" t="n"/>
    </row>
    <row r="497">
      <c r="A497" s="67" t="n"/>
      <c r="B497" s="67" t="n"/>
      <c r="C497" s="67" t="n"/>
    </row>
    <row r="498">
      <c r="A498" s="67" t="n"/>
      <c r="B498" s="67" t="n"/>
      <c r="C498" s="67" t="n"/>
    </row>
    <row r="499">
      <c r="A499" s="67" t="n"/>
      <c r="B499" s="67" t="n"/>
      <c r="C499" s="67" t="n"/>
    </row>
    <row r="500">
      <c r="A500" s="67" t="n"/>
      <c r="B500" s="67" t="n"/>
      <c r="C500" s="67" t="n"/>
    </row>
    <row r="501">
      <c r="A501" s="67" t="n"/>
      <c r="B501" s="67" t="n"/>
      <c r="C501" s="67" t="n"/>
    </row>
    <row r="502">
      <c r="A502" s="67" t="n"/>
      <c r="B502" s="67" t="n"/>
      <c r="C502" s="67" t="n"/>
    </row>
    <row r="503">
      <c r="A503" s="67" t="n"/>
      <c r="B503" s="67" t="n"/>
      <c r="C503" s="67" t="n"/>
    </row>
    <row r="504">
      <c r="A504" s="67" t="n"/>
      <c r="B504" s="67" t="n"/>
      <c r="C504" s="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2026-10-14T01:22:19Z</dcterms:created>
  <dcterms:modified xsi:type="dcterms:W3CDTF">2026-10-14T01:22:20Z</dcterms:modified>
</cp:coreProperties>
</file>